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tables/table1.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saveExternalLinkValues="0" codeName="ThisWorkbook"/>
  <mc:AlternateContent xmlns:mc="http://schemas.openxmlformats.org/markup-compatibility/2006">
    <mc:Choice Requires="x15">
      <x15ac:absPath xmlns:x15ac="http://schemas.microsoft.com/office/spreadsheetml/2010/11/ac" url="C:\projects\copilot_nuevo\backend\fae_core\escandallo\"/>
    </mc:Choice>
  </mc:AlternateContent>
  <xr:revisionPtr revIDLastSave="0" documentId="8_{ACD4B315-8AE4-4049-BDE9-FCBEB22B9128}" xr6:coauthVersionLast="47" xr6:coauthVersionMax="47" xr10:uidLastSave="{00000000-0000-0000-0000-000000000000}"/>
  <bookViews>
    <workbookView xWindow="28680" yWindow="-120" windowWidth="29040" windowHeight="15720" tabRatio="814" activeTab="1" xr2:uid="{00000000-000D-0000-FFFF-FFFF00000000}"/>
  </bookViews>
  <sheets>
    <sheet name="Help" sheetId="68" r:id="rId1"/>
    <sheet name="0. Change Control" sheetId="60" r:id="rId2"/>
    <sheet name="1.1. Bill of materials" sheetId="2" r:id="rId3"/>
    <sheet name="1.2. Working plan" sheetId="54" r:id="rId4"/>
    <sheet name="1.3. Machine Cost Sheet" sheetId="63" r:id="rId5"/>
    <sheet name="1.4. Investments &amp; Development" sheetId="52" r:id="rId6"/>
    <sheet name="4. Quote OEM" sheetId="65" r:id="rId7"/>
    <sheet name="2. Cost Summary" sheetId="1" r:id="rId8"/>
    <sheet name="3. Price decision matrix" sheetId="67" r:id="rId9"/>
    <sheet name="MOD+MOI+Overheads" sheetId="37" r:id="rId10"/>
    <sheet name="LISTAS DATOS" sheetId="41" r:id="rId11"/>
    <sheet name="NO ACTIVO - Coste máquina" sheetId="56" r:id="rId12"/>
    <sheet name="Hoja3" sheetId="71" r:id="rId13"/>
  </sheets>
  <externalReferences>
    <externalReference r:id="rId14"/>
    <externalReference r:id="rId15"/>
  </externalReferences>
  <definedNames>
    <definedName name="_xlnm._FilterDatabase" localSheetId="5" hidden="1">'1.4. Investments &amp; Development'!$B$4:$CC$31</definedName>
    <definedName name="_xlnm._FilterDatabase" localSheetId="11" hidden="1">'NO ACTIVO - Coste máquina'!$B$2:$F$339</definedName>
    <definedName name="_xlnm.Print_Area" localSheetId="1">'0. Change Control'!$B$2:$G$25</definedName>
    <definedName name="_xlnm.Print_Area" localSheetId="2">'1.1. Bill of materials'!$B$1:$AE$56</definedName>
    <definedName name="_xlnm.Print_Area" localSheetId="3">'1.2. Working plan'!$B$2:$AF$40</definedName>
    <definedName name="_xlnm.Print_Area" localSheetId="4">'1.3. Machine Cost Sheet'!$B$1:$Q$82</definedName>
    <definedName name="_xlnm.Print_Area" localSheetId="5">'1.4. Investments &amp; Development'!$B$2:$Q$31</definedName>
    <definedName name="_xlnm.Print_Area" localSheetId="7">'2. Cost Summary'!$B$2:$G$150</definedName>
    <definedName name="_xlnm.Print_Area" localSheetId="8">'3. Price decision matrix'!$B$2:$R$66</definedName>
    <definedName name="_xlnm.Print_Area" localSheetId="6">'4. Quote OEM'!$B$2:$Q$264</definedName>
    <definedName name="_xlnm.Print_Area" localSheetId="0">Help!$B$1:$P$132</definedName>
    <definedName name="Codigo">#REF!</definedName>
    <definedName name="Códigos">'[1]Listado Maquinas'!$A:$A</definedName>
    <definedName name="COMPLEJIDAD">'LISTAS DATOS'!$A$57:$A$61</definedName>
    <definedName name="COMPLEJIDAD_BE">'LISTAS DATOS'!#REF!</definedName>
    <definedName name="Importe">[1]SeccionesFAE!#REF!</definedName>
    <definedName name="Instalaciones">[1]SeccionesFAE!$D:$D</definedName>
    <definedName name="MÁQUINA_INY">'LISTAS DATOS'!$A$22:$A$22</definedName>
    <definedName name="OPCIÓN_PROCESO">'LISTAS DATOS'!$A$29:$A$29</definedName>
    <definedName name="PLANTA">'LISTAS DATOS'!$A$3:$A$7</definedName>
    <definedName name="SECCION">[1]SeccionesFAE!$A:$A</definedName>
    <definedName name="TIPO_amort">'LISTAS DATOS'!$A$31:$A$35</definedName>
    <definedName name="TIPO_PRECIO">'LISTAS DATOS'!$A$24:$A$28</definedName>
    <definedName name="_xlnm.Print_Titles" localSheetId="7">'2. Cost Summary'!$2:$9</definedName>
    <definedName name="Z_FB0F6CE0_FA24_4C91_B94D_E1D3F29C4E59_.wvu.PrintArea" localSheetId="1" hidden="1">'0. Change Control'!$C$17:$N$32</definedName>
    <definedName name="Z_FB0F6CE0_FA24_4C91_B94D_E1D3F29C4E59_.wvu.PrintArea" localSheetId="2" hidden="1">'1.1. Bill of materials'!$E$4:$AE$5</definedName>
    <definedName name="Z_FB0F6CE0_FA24_4C91_B94D_E1D3F29C4E59_.wvu.PrintArea" localSheetId="7" hidden="1">'2. Cost Summary'!$C$19:$K$33</definedName>
    <definedName name="Z_FB0F6CE0_FA24_4C91_B94D_E1D3F29C4E59_.wvu.PrintArea" localSheetId="6" hidden="1">'4. Quote OEM'!#REF!</definedName>
    <definedName name="ZONAS">'LISTAS DATOS'!$A$10:$A$21</definedName>
  </definedNames>
  <calcPr calcId="191028"/>
  <customWorkbookViews>
    <customWorkbookView name="OLIVAS - Vista personalizada" guid="{FB0F6CE0-FA24-4C91-B94D-E1D3F29C4E59}" mergeInterval="0" personalView="1" maximized="1" windowWidth="796" windowHeight="438" tabRatio="876" activeSheetId="1"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0" i="2" l="1"/>
  <c r="Y11" i="2"/>
  <c r="H19" i="37"/>
  <c r="U11" i="54" l="1"/>
  <c r="T11" i="54" s="1"/>
  <c r="S11" i="54"/>
  <c r="S10" i="54"/>
  <c r="U10" i="54"/>
  <c r="T10" i="54" s="1"/>
  <c r="S9" i="54"/>
  <c r="U9" i="54"/>
  <c r="T9" i="54" s="1"/>
  <c r="V9" i="54"/>
  <c r="W9" i="54"/>
  <c r="AB10" i="54" l="1"/>
  <c r="AB11" i="54"/>
  <c r="AB9" i="54"/>
  <c r="F42" i="52"/>
  <c r="F43" i="52"/>
  <c r="F44" i="52"/>
  <c r="F45" i="52"/>
  <c r="F46" i="52"/>
  <c r="F47" i="52"/>
  <c r="F48" i="52"/>
  <c r="F49" i="52"/>
  <c r="F50" i="52"/>
  <c r="F51" i="52"/>
  <c r="F52" i="52"/>
  <c r="F53" i="52"/>
  <c r="F54" i="52"/>
  <c r="F55" i="52"/>
  <c r="F56" i="52"/>
  <c r="F57" i="52"/>
  <c r="F58" i="52"/>
  <c r="F59" i="52"/>
  <c r="F60" i="52"/>
  <c r="F41" i="52"/>
  <c r="E42" i="52"/>
  <c r="E43" i="52"/>
  <c r="E44" i="52"/>
  <c r="E45" i="52"/>
  <c r="E46" i="52"/>
  <c r="E47" i="52"/>
  <c r="E48" i="52"/>
  <c r="E49" i="52"/>
  <c r="E50" i="52"/>
  <c r="E51" i="52"/>
  <c r="E52" i="52"/>
  <c r="E53" i="52"/>
  <c r="E54" i="52"/>
  <c r="E55" i="52"/>
  <c r="E56" i="52"/>
  <c r="E57" i="52"/>
  <c r="E58" i="52"/>
  <c r="E59" i="52"/>
  <c r="E60" i="52"/>
  <c r="E41" i="52"/>
  <c r="G8" i="60"/>
  <c r="E8" i="60"/>
  <c r="C4" i="60"/>
  <c r="Q88" i="65"/>
  <c r="B68" i="67"/>
  <c r="B150" i="1"/>
  <c r="B97" i="52"/>
  <c r="B82" i="63"/>
  <c r="B40" i="54"/>
  <c r="B56" i="2"/>
  <c r="B27" i="60"/>
  <c r="N4" i="67"/>
  <c r="O11" i="67"/>
  <c r="G5" i="1" l="1"/>
  <c r="G6" i="1"/>
  <c r="G7" i="1"/>
  <c r="G4" i="1"/>
  <c r="E5" i="1"/>
  <c r="E6" i="1"/>
  <c r="E7" i="1"/>
  <c r="E8" i="1"/>
  <c r="E4" i="1"/>
  <c r="C5" i="1"/>
  <c r="C6" i="1"/>
  <c r="C7" i="1"/>
  <c r="C8" i="1"/>
  <c r="G8" i="1" l="1"/>
  <c r="E11" i="67"/>
  <c r="E42" i="67" s="1"/>
  <c r="D42" i="67"/>
  <c r="D57" i="67" s="1"/>
  <c r="D13" i="67"/>
  <c r="D43" i="67" s="1"/>
  <c r="E43" i="67" s="1"/>
  <c r="P22" i="67"/>
  <c r="O42" i="67"/>
  <c r="P11" i="67"/>
  <c r="P42" i="67" s="1"/>
  <c r="O13" i="67"/>
  <c r="O20" i="67" s="1"/>
  <c r="O22" i="67" s="1"/>
  <c r="P13" i="67"/>
  <c r="P20" i="67" s="1"/>
  <c r="O16" i="67"/>
  <c r="O21" i="67" s="1"/>
  <c r="P16" i="67"/>
  <c r="P21" i="67" s="1"/>
  <c r="P24" i="67"/>
  <c r="D29" i="67"/>
  <c r="O29" i="67"/>
  <c r="P29" i="67"/>
  <c r="P30" i="67"/>
  <c r="H8" i="67"/>
  <c r="O24" i="67" l="1"/>
  <c r="P25" i="67" s="1"/>
  <c r="O30" i="67"/>
  <c r="P17" i="67"/>
  <c r="O17" i="67"/>
  <c r="E41" i="67"/>
  <c r="E57" i="67" s="1"/>
  <c r="E29" i="67"/>
  <c r="F11" i="67"/>
  <c r="F42" i="67" s="1"/>
  <c r="Q7" i="52"/>
  <c r="Q8" i="52"/>
  <c r="Q9" i="52"/>
  <c r="Q10" i="52"/>
  <c r="Q11" i="52"/>
  <c r="Q12" i="52"/>
  <c r="Q13" i="52"/>
  <c r="Q14" i="52"/>
  <c r="Q15" i="52"/>
  <c r="Q16" i="52"/>
  <c r="Q17" i="52"/>
  <c r="Q18" i="52"/>
  <c r="Q19" i="52"/>
  <c r="Q20" i="52"/>
  <c r="Q21" i="52"/>
  <c r="Q22" i="52"/>
  <c r="Q23" i="52"/>
  <c r="Q24" i="52"/>
  <c r="Q25" i="52"/>
  <c r="Q27" i="52"/>
  <c r="Q28" i="52"/>
  <c r="Q29" i="52"/>
  <c r="J12" i="52"/>
  <c r="J13" i="52"/>
  <c r="L13" i="52" s="1"/>
  <c r="J14" i="52"/>
  <c r="L14" i="52" s="1"/>
  <c r="J15" i="52"/>
  <c r="J16" i="52"/>
  <c r="J17" i="52"/>
  <c r="J18" i="52"/>
  <c r="J19" i="52"/>
  <c r="J20" i="52"/>
  <c r="J21" i="52"/>
  <c r="J22" i="52"/>
  <c r="J23" i="52"/>
  <c r="J24" i="52"/>
  <c r="J25" i="52"/>
  <c r="J11" i="52"/>
  <c r="L11" i="52" s="1"/>
  <c r="N42" i="52"/>
  <c r="N43" i="52"/>
  <c r="N44" i="52"/>
  <c r="N45" i="52"/>
  <c r="N46" i="52"/>
  <c r="N47" i="52"/>
  <c r="N48" i="52"/>
  <c r="N49" i="52"/>
  <c r="N50" i="52"/>
  <c r="N51" i="52"/>
  <c r="N52" i="52"/>
  <c r="N53" i="52"/>
  <c r="N54" i="52"/>
  <c r="N55" i="52"/>
  <c r="N56" i="52"/>
  <c r="N57" i="52"/>
  <c r="N58" i="52"/>
  <c r="N59" i="52"/>
  <c r="N60" i="52"/>
  <c r="N61" i="52"/>
  <c r="N62" i="52"/>
  <c r="N63" i="52"/>
  <c r="N64" i="52"/>
  <c r="N65" i="52"/>
  <c r="N66" i="52"/>
  <c r="N67" i="52"/>
  <c r="N68" i="52"/>
  <c r="N69" i="52"/>
  <c r="N70" i="52"/>
  <c r="N71" i="52"/>
  <c r="N72" i="52"/>
  <c r="N73" i="52"/>
  <c r="N74" i="52"/>
  <c r="N75" i="52"/>
  <c r="N76" i="52"/>
  <c r="N77" i="52"/>
  <c r="N78" i="52"/>
  <c r="N79" i="52"/>
  <c r="N80" i="52"/>
  <c r="N81" i="52"/>
  <c r="N41" i="52"/>
  <c r="P26" i="67" l="1"/>
  <c r="F29" i="67"/>
  <c r="G11" i="67"/>
  <c r="H11" i="67"/>
  <c r="H42" i="67" s="1"/>
  <c r="N82" i="52"/>
  <c r="G27" i="52" s="1"/>
  <c r="N83" i="52"/>
  <c r="G28" i="52" s="1"/>
  <c r="B87" i="65"/>
  <c r="B175" i="65" s="1"/>
  <c r="B263" i="65" s="1"/>
  <c r="Q173" i="65"/>
  <c r="Q261" i="65" s="1"/>
  <c r="Q85" i="65"/>
  <c r="D28" i="65"/>
  <c r="E28" i="65"/>
  <c r="F28" i="65"/>
  <c r="G28" i="65"/>
  <c r="I28" i="65"/>
  <c r="J28" i="65"/>
  <c r="K28" i="65"/>
  <c r="L28" i="65"/>
  <c r="M28" i="65"/>
  <c r="N28" i="65"/>
  <c r="O28" i="65"/>
  <c r="B34" i="65"/>
  <c r="C34" i="65"/>
  <c r="B40" i="65"/>
  <c r="D27" i="65"/>
  <c r="E27" i="65" s="1"/>
  <c r="F27" i="65" s="1"/>
  <c r="G27" i="65" s="1"/>
  <c r="H27" i="65" s="1"/>
  <c r="I27" i="65" s="1"/>
  <c r="J27" i="65" s="1"/>
  <c r="K27" i="65" s="1"/>
  <c r="L27" i="65" s="1"/>
  <c r="M27" i="65" s="1"/>
  <c r="N27" i="65" s="1"/>
  <c r="O27" i="65" s="1"/>
  <c r="C28" i="65"/>
  <c r="D49" i="63"/>
  <c r="D48" i="63" s="1"/>
  <c r="D14" i="63" s="1"/>
  <c r="D38" i="63"/>
  <c r="D12" i="63" s="1"/>
  <c r="D28" i="63"/>
  <c r="D26" i="63" s="1"/>
  <c r="D10" i="63" s="1"/>
  <c r="D21" i="63"/>
  <c r="D16" i="63" s="1"/>
  <c r="D26" i="65"/>
  <c r="E26" i="65" s="1"/>
  <c r="F26" i="65" s="1"/>
  <c r="G26" i="65" s="1"/>
  <c r="H26" i="65" s="1"/>
  <c r="I26" i="65" s="1"/>
  <c r="J26" i="65" s="1"/>
  <c r="K26" i="65" s="1"/>
  <c r="L26" i="65" s="1"/>
  <c r="M26" i="65" s="1"/>
  <c r="N26" i="65" s="1"/>
  <c r="O26" i="65" s="1"/>
  <c r="M84" i="52"/>
  <c r="M83" i="52"/>
  <c r="M82" i="52"/>
  <c r="D61" i="52"/>
  <c r="G29" i="67" l="1"/>
  <c r="G42" i="67"/>
  <c r="H29" i="67"/>
  <c r="N85" i="52"/>
  <c r="N84" i="52" s="1"/>
  <c r="G29" i="52" s="1"/>
  <c r="E61" i="52"/>
  <c r="F61" i="52"/>
  <c r="G26" i="52" s="1"/>
  <c r="J26" i="52" s="1"/>
  <c r="C14" i="63"/>
  <c r="C13" i="63"/>
  <c r="C12" i="63"/>
  <c r="C11" i="63"/>
  <c r="C10" i="63"/>
  <c r="D42" i="63"/>
  <c r="D13" i="63" s="1"/>
  <c r="D32" i="63"/>
  <c r="D11" i="63" s="1"/>
  <c r="Q12" i="67" l="1"/>
  <c r="I11" i="67"/>
  <c r="I42" i="67" s="1"/>
  <c r="R12" i="67"/>
  <c r="Q28" i="65" s="1"/>
  <c r="H28" i="65"/>
  <c r="D9" i="63"/>
  <c r="J11" i="67" l="1"/>
  <c r="I29" i="67"/>
  <c r="E104" i="1"/>
  <c r="D119" i="1"/>
  <c r="J29" i="67" l="1"/>
  <c r="J42" i="67"/>
  <c r="K11" i="67"/>
  <c r="N30" i="65"/>
  <c r="O30" i="65"/>
  <c r="E115" i="1"/>
  <c r="P28" i="65"/>
  <c r="L11" i="67" l="1"/>
  <c r="L42" i="67" s="1"/>
  <c r="K42" i="67"/>
  <c r="K29" i="67"/>
  <c r="L29" i="67" l="1"/>
  <c r="M11" i="67"/>
  <c r="M42" i="67" s="1"/>
  <c r="Q5" i="52"/>
  <c r="J5" i="52"/>
  <c r="L5" i="52" s="1"/>
  <c r="D20" i="37"/>
  <c r="Y7" i="2"/>
  <c r="N11" i="67" l="1"/>
  <c r="N42" i="67" s="1"/>
  <c r="M29" i="67"/>
  <c r="B92" i="1"/>
  <c r="B93" i="1"/>
  <c r="B94" i="1"/>
  <c r="B95" i="1"/>
  <c r="B91" i="1"/>
  <c r="B82" i="1"/>
  <c r="B83" i="1"/>
  <c r="B84" i="1"/>
  <c r="B85" i="1"/>
  <c r="B86" i="1"/>
  <c r="B73" i="1"/>
  <c r="B74" i="1"/>
  <c r="B75" i="1"/>
  <c r="B76" i="1"/>
  <c r="B77" i="1"/>
  <c r="B64" i="1"/>
  <c r="B65" i="1"/>
  <c r="B66" i="1"/>
  <c r="B67" i="1"/>
  <c r="B68" i="1"/>
  <c r="E119" i="1"/>
  <c r="E108" i="1"/>
  <c r="B78" i="1"/>
  <c r="B87" i="1" s="1"/>
  <c r="B96" i="1" s="1"/>
  <c r="B58" i="1"/>
  <c r="B46" i="1" s="1"/>
  <c r="B103" i="1" s="1"/>
  <c r="B57" i="1"/>
  <c r="B56" i="1"/>
  <c r="B55" i="1"/>
  <c r="B54" i="1"/>
  <c r="B53" i="1"/>
  <c r="B52" i="1"/>
  <c r="B51" i="1"/>
  <c r="B50" i="1"/>
  <c r="B34" i="1"/>
  <c r="D34" i="1" s="1"/>
  <c r="B35" i="1"/>
  <c r="D35" i="1" s="1"/>
  <c r="B36" i="1"/>
  <c r="D36" i="1" s="1"/>
  <c r="B37" i="1"/>
  <c r="B38" i="1"/>
  <c r="B39" i="1"/>
  <c r="B40" i="1"/>
  <c r="D40" i="1" s="1"/>
  <c r="B41" i="1"/>
  <c r="D41" i="1" s="1"/>
  <c r="B43" i="1"/>
  <c r="B44" i="1"/>
  <c r="B45" i="1"/>
  <c r="B33" i="1"/>
  <c r="D33" i="1" s="1"/>
  <c r="B19" i="1"/>
  <c r="B26" i="1" s="1"/>
  <c r="B102" i="1" s="1"/>
  <c r="B18" i="1"/>
  <c r="B17" i="1"/>
  <c r="B16" i="1"/>
  <c r="B15" i="1"/>
  <c r="B14" i="1"/>
  <c r="B25" i="1"/>
  <c r="B24" i="1"/>
  <c r="B23" i="1"/>
  <c r="B5" i="37"/>
  <c r="E19" i="37"/>
  <c r="F19" i="37"/>
  <c r="G19" i="37"/>
  <c r="I19" i="37"/>
  <c r="J19" i="37"/>
  <c r="K19" i="37"/>
  <c r="L19" i="37"/>
  <c r="M19" i="37"/>
  <c r="N19" i="37"/>
  <c r="O19" i="37"/>
  <c r="D19" i="37"/>
  <c r="D22" i="37"/>
  <c r="E22" i="37"/>
  <c r="F22" i="37"/>
  <c r="G22" i="37"/>
  <c r="H22" i="37"/>
  <c r="I22" i="37"/>
  <c r="J22" i="37"/>
  <c r="K22" i="37"/>
  <c r="L22" i="37"/>
  <c r="M22" i="37"/>
  <c r="N22" i="37"/>
  <c r="O22" i="37"/>
  <c r="E21" i="37"/>
  <c r="F21" i="37"/>
  <c r="G21" i="37"/>
  <c r="H21" i="37"/>
  <c r="I21" i="37"/>
  <c r="J21" i="37"/>
  <c r="K21" i="37"/>
  <c r="L21" i="37"/>
  <c r="M21" i="37"/>
  <c r="N21" i="37"/>
  <c r="O21" i="37"/>
  <c r="D21" i="37"/>
  <c r="S7" i="54"/>
  <c r="S8" i="54"/>
  <c r="S12" i="54"/>
  <c r="S13" i="54"/>
  <c r="S14" i="54"/>
  <c r="S15" i="54"/>
  <c r="S16" i="54"/>
  <c r="S17" i="54"/>
  <c r="S18" i="54"/>
  <c r="S19" i="54"/>
  <c r="S20" i="54"/>
  <c r="S21" i="54"/>
  <c r="S22" i="54"/>
  <c r="S23" i="54"/>
  <c r="S24" i="54"/>
  <c r="S25" i="54"/>
  <c r="S26" i="54"/>
  <c r="S27" i="54"/>
  <c r="S28" i="54"/>
  <c r="S29" i="54"/>
  <c r="S30" i="54"/>
  <c r="S31" i="54"/>
  <c r="S32" i="54"/>
  <c r="S33" i="54"/>
  <c r="S34" i="54"/>
  <c r="S35" i="54"/>
  <c r="S36" i="54"/>
  <c r="S37" i="54"/>
  <c r="S38" i="54"/>
  <c r="S6" i="54"/>
  <c r="O23" i="54"/>
  <c r="R23" i="54" s="1"/>
  <c r="O24" i="54"/>
  <c r="R24" i="54" s="1"/>
  <c r="O25" i="54"/>
  <c r="R25" i="54" s="1"/>
  <c r="O26" i="54"/>
  <c r="Q26" i="54" s="1"/>
  <c r="O27" i="54"/>
  <c r="Q27" i="54" s="1"/>
  <c r="O28" i="54"/>
  <c r="R28" i="54" s="1"/>
  <c r="O29" i="54"/>
  <c r="Q29" i="54" s="1"/>
  <c r="O30" i="54"/>
  <c r="Q30" i="54" s="1"/>
  <c r="O31" i="54"/>
  <c r="Q31" i="54" s="1"/>
  <c r="O32" i="54"/>
  <c r="R32" i="54" s="1"/>
  <c r="O33" i="54"/>
  <c r="R33" i="54" s="1"/>
  <c r="O34" i="54"/>
  <c r="R34" i="54" s="1"/>
  <c r="O35" i="54"/>
  <c r="R35" i="54" s="1"/>
  <c r="O36" i="54"/>
  <c r="R36" i="54" s="1"/>
  <c r="O37" i="54"/>
  <c r="R37" i="54" s="1"/>
  <c r="O38" i="54"/>
  <c r="Q38" i="54" s="1"/>
  <c r="M17" i="37"/>
  <c r="E20" i="37"/>
  <c r="F20" i="37"/>
  <c r="G20" i="37"/>
  <c r="H20" i="37"/>
  <c r="I20" i="37"/>
  <c r="J20" i="37"/>
  <c r="O18" i="54" s="1"/>
  <c r="Q18" i="54" s="1"/>
  <c r="K20" i="37"/>
  <c r="L20" i="37"/>
  <c r="M20" i="37"/>
  <c r="N20" i="37"/>
  <c r="O20" i="37"/>
  <c r="O19" i="54" s="1"/>
  <c r="Q19" i="54" s="1"/>
  <c r="D6" i="37"/>
  <c r="D17" i="37" s="1"/>
  <c r="B16" i="37"/>
  <c r="Z7" i="2"/>
  <c r="AB7" i="2" s="1"/>
  <c r="J6" i="52"/>
  <c r="L6" i="52" s="1"/>
  <c r="J7" i="52"/>
  <c r="L7" i="52" s="1"/>
  <c r="J8" i="52"/>
  <c r="L8" i="52" s="1"/>
  <c r="J9" i="52"/>
  <c r="L9" i="52" s="1"/>
  <c r="J10" i="52"/>
  <c r="L10" i="52" s="1"/>
  <c r="J27" i="52"/>
  <c r="J28" i="52"/>
  <c r="J29" i="52"/>
  <c r="L29" i="52" s="1"/>
  <c r="Y41" i="2"/>
  <c r="Z41" i="2" s="1"/>
  <c r="Y42" i="2"/>
  <c r="Z42" i="2" s="1"/>
  <c r="Y43" i="2"/>
  <c r="Z43" i="2" s="1"/>
  <c r="AA43" i="2" s="1"/>
  <c r="Y44" i="2"/>
  <c r="Z44" i="2" s="1"/>
  <c r="Y45" i="2"/>
  <c r="Z45" i="2" s="1"/>
  <c r="Y46" i="2"/>
  <c r="Z46" i="2" s="1"/>
  <c r="Y47" i="2"/>
  <c r="Z47" i="2" s="1"/>
  <c r="AA47" i="2" s="1"/>
  <c r="Y48" i="2"/>
  <c r="Z48" i="2" s="1"/>
  <c r="Y49" i="2"/>
  <c r="Z49" i="2" s="1"/>
  <c r="Y50" i="2"/>
  <c r="Z50" i="2" s="1"/>
  <c r="Y51" i="2"/>
  <c r="Z51" i="2" s="1"/>
  <c r="AA51" i="2" s="1"/>
  <c r="Y52" i="2"/>
  <c r="Z52" i="2" s="1"/>
  <c r="AC52" i="2" s="1"/>
  <c r="Y53" i="2"/>
  <c r="Z53" i="2" s="1"/>
  <c r="Y54" i="2"/>
  <c r="Z54" i="2" s="1"/>
  <c r="Y5" i="2"/>
  <c r="Z5" i="2" s="1"/>
  <c r="AC5" i="2" s="1"/>
  <c r="Y6" i="2"/>
  <c r="Z6" i="2" s="1"/>
  <c r="AA6" i="2" s="1"/>
  <c r="Y8" i="2"/>
  <c r="Z8" i="2" s="1"/>
  <c r="AC8" i="2" s="1"/>
  <c r="Y9" i="2"/>
  <c r="Z9" i="2" s="1"/>
  <c r="AB9" i="2" s="1"/>
  <c r="Z10" i="2"/>
  <c r="AA10" i="2" s="1"/>
  <c r="Z11" i="2"/>
  <c r="Y12" i="2"/>
  <c r="Z12" i="2" s="1"/>
  <c r="AA12" i="2" s="1"/>
  <c r="Y13" i="2"/>
  <c r="Z13" i="2" s="1"/>
  <c r="AB13" i="2" s="1"/>
  <c r="Y14" i="2"/>
  <c r="Z14" i="2" s="1"/>
  <c r="AC14" i="2" s="1"/>
  <c r="Y15" i="2"/>
  <c r="Z15" i="2" s="1"/>
  <c r="AB15" i="2" s="1"/>
  <c r="Y16" i="2"/>
  <c r="Z16" i="2" s="1"/>
  <c r="AA16" i="2" s="1"/>
  <c r="Y17" i="2"/>
  <c r="Z17" i="2" s="1"/>
  <c r="Y18" i="2"/>
  <c r="Z18" i="2" s="1"/>
  <c r="AB18" i="2" s="1"/>
  <c r="Y19" i="2"/>
  <c r="Z19" i="2" s="1"/>
  <c r="AB19" i="2" s="1"/>
  <c r="Y20" i="2"/>
  <c r="Z20" i="2" s="1"/>
  <c r="Y21" i="2"/>
  <c r="Z21" i="2" s="1"/>
  <c r="AB21" i="2" s="1"/>
  <c r="Y22" i="2"/>
  <c r="Z22" i="2" s="1"/>
  <c r="AA22" i="2" s="1"/>
  <c r="Y23" i="2"/>
  <c r="Z23" i="2" s="1"/>
  <c r="AB23" i="2" s="1"/>
  <c r="Y24" i="2"/>
  <c r="Z24" i="2" s="1"/>
  <c r="Y25" i="2"/>
  <c r="Z25" i="2" s="1"/>
  <c r="Y26" i="2"/>
  <c r="Z26" i="2" s="1"/>
  <c r="AB26" i="2" s="1"/>
  <c r="Y27" i="2"/>
  <c r="Z27" i="2" s="1"/>
  <c r="AB27" i="2" s="1"/>
  <c r="Y28" i="2"/>
  <c r="Z28" i="2" s="1"/>
  <c r="Y29" i="2"/>
  <c r="Z29" i="2" s="1"/>
  <c r="Y30" i="2"/>
  <c r="Z30" i="2" s="1"/>
  <c r="AB30" i="2" s="1"/>
  <c r="Y31" i="2"/>
  <c r="Z31" i="2" s="1"/>
  <c r="AB31" i="2" s="1"/>
  <c r="Y32" i="2"/>
  <c r="Z32" i="2" s="1"/>
  <c r="AA32" i="2" s="1"/>
  <c r="Y33" i="2"/>
  <c r="Z33" i="2" s="1"/>
  <c r="AB33" i="2" s="1"/>
  <c r="Y34" i="2"/>
  <c r="Z34" i="2" s="1"/>
  <c r="AB34" i="2" s="1"/>
  <c r="Y35" i="2"/>
  <c r="Z35" i="2" s="1"/>
  <c r="AC35" i="2" s="1"/>
  <c r="Y36" i="2"/>
  <c r="Z36" i="2" s="1"/>
  <c r="Y37" i="2"/>
  <c r="Z37" i="2" s="1"/>
  <c r="AB37" i="2" s="1"/>
  <c r="Y38" i="2"/>
  <c r="Z38" i="2" s="1"/>
  <c r="AB38" i="2" s="1"/>
  <c r="Y39" i="2"/>
  <c r="Z39" i="2" s="1"/>
  <c r="AA39" i="2" s="1"/>
  <c r="Y40" i="2"/>
  <c r="Z40" i="2" s="1"/>
  <c r="AB40" i="2" s="1"/>
  <c r="O7" i="54" l="1"/>
  <c r="R7" i="54" s="1"/>
  <c r="O10" i="54"/>
  <c r="O9" i="54"/>
  <c r="O11" i="54"/>
  <c r="N29" i="67"/>
  <c r="L27" i="52"/>
  <c r="L28" i="52"/>
  <c r="D66" i="1"/>
  <c r="O21" i="54"/>
  <c r="R21" i="54" s="1"/>
  <c r="O20" i="54"/>
  <c r="R20" i="54" s="1"/>
  <c r="O16" i="54"/>
  <c r="R16" i="54" s="1"/>
  <c r="D77" i="1"/>
  <c r="B147" i="1"/>
  <c r="O15" i="54"/>
  <c r="Q15" i="54" s="1"/>
  <c r="D73" i="1"/>
  <c r="B143" i="1"/>
  <c r="O14" i="54"/>
  <c r="Q14" i="54" s="1"/>
  <c r="D76" i="1"/>
  <c r="B146" i="1"/>
  <c r="O13" i="54"/>
  <c r="Q13" i="54" s="1"/>
  <c r="O17" i="54"/>
  <c r="Q17" i="54" s="1"/>
  <c r="B145" i="1"/>
  <c r="O12" i="54"/>
  <c r="R12" i="54" s="1"/>
  <c r="O6" i="54"/>
  <c r="R6" i="54" s="1"/>
  <c r="O8" i="54"/>
  <c r="R8" i="54" s="1"/>
  <c r="D74" i="1"/>
  <c r="B144" i="1"/>
  <c r="O22" i="54"/>
  <c r="R22" i="54" s="1"/>
  <c r="D65" i="1"/>
  <c r="D68" i="1"/>
  <c r="D67" i="1"/>
  <c r="D64" i="1"/>
  <c r="B114" i="1"/>
  <c r="B113" i="1"/>
  <c r="B112" i="1"/>
  <c r="P19" i="54"/>
  <c r="P18" i="54"/>
  <c r="J30" i="52"/>
  <c r="P34" i="54"/>
  <c r="P32" i="54"/>
  <c r="P30" i="54"/>
  <c r="P38" i="54"/>
  <c r="P26" i="54"/>
  <c r="P31" i="54"/>
  <c r="P29" i="54"/>
  <c r="P28" i="54"/>
  <c r="P37" i="54"/>
  <c r="P25" i="54"/>
  <c r="P27" i="54"/>
  <c r="P36" i="54"/>
  <c r="P24" i="54"/>
  <c r="P33" i="54"/>
  <c r="P35" i="54"/>
  <c r="P23" i="54"/>
  <c r="P7" i="54"/>
  <c r="Q25" i="54"/>
  <c r="R27" i="54"/>
  <c r="Q24" i="54"/>
  <c r="R26" i="54"/>
  <c r="Q37" i="54"/>
  <c r="Q36" i="54"/>
  <c r="Q34" i="54"/>
  <c r="Q33" i="54"/>
  <c r="Q32" i="54"/>
  <c r="Q7" i="54"/>
  <c r="Q28" i="54"/>
  <c r="R38" i="54"/>
  <c r="R31" i="54"/>
  <c r="R19" i="54"/>
  <c r="R30" i="54"/>
  <c r="R18" i="54"/>
  <c r="R29" i="54"/>
  <c r="Q35" i="54"/>
  <c r="Q23" i="54"/>
  <c r="AD5" i="2"/>
  <c r="AA52" i="2"/>
  <c r="Z55" i="2"/>
  <c r="D14" i="1" s="1"/>
  <c r="AC44" i="2"/>
  <c r="AD44" i="2"/>
  <c r="AA44" i="2"/>
  <c r="AB44" i="2"/>
  <c r="AD52" i="2"/>
  <c r="AB52" i="2"/>
  <c r="AC53" i="2"/>
  <c r="AB53" i="2"/>
  <c r="AD53" i="2"/>
  <c r="AA53" i="2"/>
  <c r="AC49" i="2"/>
  <c r="AB49" i="2"/>
  <c r="AD49" i="2"/>
  <c r="AA49" i="2"/>
  <c r="AD46" i="2"/>
  <c r="AA46" i="2"/>
  <c r="AB46" i="2"/>
  <c r="AC46" i="2"/>
  <c r="AB48" i="2"/>
  <c r="AC48" i="2"/>
  <c r="AA48" i="2"/>
  <c r="AD48" i="2"/>
  <c r="AC45" i="2"/>
  <c r="AD45" i="2"/>
  <c r="AA45" i="2"/>
  <c r="AB45" i="2"/>
  <c r="AD42" i="2"/>
  <c r="AC42" i="2"/>
  <c r="AA42" i="2"/>
  <c r="AB42" i="2"/>
  <c r="AD50" i="2"/>
  <c r="AC50" i="2"/>
  <c r="AA50" i="2"/>
  <c r="AB50" i="2"/>
  <c r="AD54" i="2"/>
  <c r="AA54" i="2"/>
  <c r="AB54" i="2"/>
  <c r="AC54" i="2"/>
  <c r="AC41" i="2"/>
  <c r="AD41" i="2"/>
  <c r="AA41" i="2"/>
  <c r="AB41" i="2"/>
  <c r="AC51" i="2"/>
  <c r="AC47" i="2"/>
  <c r="AC43" i="2"/>
  <c r="AD43" i="2"/>
  <c r="AB51" i="2"/>
  <c r="AB47" i="2"/>
  <c r="AB43" i="2"/>
  <c r="AD51" i="2"/>
  <c r="AD47" i="2"/>
  <c r="AA18" i="2"/>
  <c r="AD22" i="2"/>
  <c r="AC34" i="2"/>
  <c r="AA28" i="2"/>
  <c r="AC28" i="2"/>
  <c r="AB20" i="2"/>
  <c r="AA20" i="2"/>
  <c r="AB11" i="2"/>
  <c r="AA11" i="2"/>
  <c r="AB36" i="2"/>
  <c r="AA36" i="2"/>
  <c r="AA24" i="2"/>
  <c r="AB24" i="2"/>
  <c r="AD30" i="2"/>
  <c r="AD12" i="2"/>
  <c r="AD8" i="2"/>
  <c r="AC32" i="2"/>
  <c r="AA30" i="2"/>
  <c r="AC12" i="2"/>
  <c r="AD10" i="2"/>
  <c r="AB8" i="2"/>
  <c r="AD7" i="2"/>
  <c r="AB25" i="2"/>
  <c r="AA25" i="2"/>
  <c r="AB29" i="2"/>
  <c r="AD29" i="2"/>
  <c r="AC29" i="2"/>
  <c r="AA29" i="2"/>
  <c r="AB17" i="2"/>
  <c r="AC17" i="2"/>
  <c r="AA17" i="2"/>
  <c r="AD17" i="2"/>
  <c r="AC7" i="2"/>
  <c r="AC33" i="2"/>
  <c r="AC27" i="2"/>
  <c r="AC23" i="2"/>
  <c r="AA19" i="2"/>
  <c r="AD16" i="2"/>
  <c r="AA37" i="2"/>
  <c r="AA33" i="2"/>
  <c r="AD28" i="2"/>
  <c r="AC24" i="2"/>
  <c r="AD20" i="2"/>
  <c r="AC16" i="2"/>
  <c r="AD11" i="2"/>
  <c r="AD40" i="2"/>
  <c r="AD14" i="2"/>
  <c r="AC10" i="2"/>
  <c r="AC40" i="2"/>
  <c r="AD36" i="2"/>
  <c r="AD26" i="2"/>
  <c r="AB14" i="2"/>
  <c r="AB10" i="2"/>
  <c r="AC9" i="2"/>
  <c r="AD13" i="2"/>
  <c r="AD9" i="2"/>
  <c r="AD35" i="2"/>
  <c r="AD31" i="2"/>
  <c r="AC13" i="2"/>
  <c r="AA40" i="2"/>
  <c r="AD37" i="2"/>
  <c r="AC36" i="2"/>
  <c r="AB35" i="2"/>
  <c r="AD33" i="2"/>
  <c r="AD32" i="2"/>
  <c r="AC31" i="2"/>
  <c r="AD27" i="2"/>
  <c r="AA26" i="2"/>
  <c r="AD24" i="2"/>
  <c r="AD23" i="2"/>
  <c r="AD15" i="2"/>
  <c r="AA14" i="2"/>
  <c r="AA13" i="2"/>
  <c r="AA9" i="2"/>
  <c r="AC39" i="2"/>
  <c r="AD38" i="2"/>
  <c r="AA35" i="2"/>
  <c r="AA34" i="2"/>
  <c r="AB32" i="2"/>
  <c r="AB28" i="2"/>
  <c r="AC22" i="2"/>
  <c r="AD21" i="2"/>
  <c r="AB16" i="2"/>
  <c r="AC15" i="2"/>
  <c r="AB12" i="2"/>
  <c r="AC11" i="2"/>
  <c r="AA8" i="2"/>
  <c r="AA7" i="2"/>
  <c r="AD6" i="2"/>
  <c r="AB39" i="2"/>
  <c r="AC38" i="2"/>
  <c r="AC37" i="2"/>
  <c r="AA31" i="2"/>
  <c r="AC30" i="2"/>
  <c r="AA27" i="2"/>
  <c r="AC26" i="2"/>
  <c r="AD25" i="2"/>
  <c r="AA23" i="2"/>
  <c r="AB22" i="2"/>
  <c r="AC21" i="2"/>
  <c r="AC20" i="2"/>
  <c r="AD19" i="2"/>
  <c r="AD18" i="2"/>
  <c r="AA15" i="2"/>
  <c r="AC6" i="2"/>
  <c r="AD39" i="2"/>
  <c r="AA38" i="2"/>
  <c r="AD34" i="2"/>
  <c r="AC25" i="2"/>
  <c r="AA21" i="2"/>
  <c r="AC19" i="2"/>
  <c r="AC18" i="2"/>
  <c r="AB6" i="2"/>
  <c r="AA5" i="2"/>
  <c r="AB5" i="2"/>
  <c r="P9" i="54" l="1"/>
  <c r="Y9" i="54" s="1"/>
  <c r="X9" i="54"/>
  <c r="Q9" i="54"/>
  <c r="Z9" i="54" s="1"/>
  <c r="R9" i="54"/>
  <c r="AA9" i="54" s="1"/>
  <c r="Q11" i="54"/>
  <c r="Z11" i="54" s="1"/>
  <c r="P11" i="54"/>
  <c r="R11" i="54"/>
  <c r="AA11" i="54" s="1"/>
  <c r="X11" i="54"/>
  <c r="P10" i="54"/>
  <c r="Y10" i="54" s="1"/>
  <c r="X10" i="54"/>
  <c r="R10" i="54"/>
  <c r="AA10" i="54" s="1"/>
  <c r="Q10" i="54"/>
  <c r="P21" i="54"/>
  <c r="Q21" i="54"/>
  <c r="J32" i="52"/>
  <c r="J31" i="52" s="1"/>
  <c r="P20" i="54"/>
  <c r="Q20" i="54"/>
  <c r="P16" i="54"/>
  <c r="D75" i="1"/>
  <c r="D84" i="1" s="1"/>
  <c r="Q8" i="54"/>
  <c r="Q16" i="54"/>
  <c r="D86" i="1"/>
  <c r="D147" i="1"/>
  <c r="C39" i="65" s="1"/>
  <c r="B39" i="65"/>
  <c r="D145" i="1"/>
  <c r="C37" i="65" s="1"/>
  <c r="B37" i="65"/>
  <c r="D144" i="1"/>
  <c r="C36" i="65" s="1"/>
  <c r="B36" i="65"/>
  <c r="D143" i="1"/>
  <c r="C35" i="65" s="1"/>
  <c r="B35" i="65"/>
  <c r="D146" i="1"/>
  <c r="C38" i="65" s="1"/>
  <c r="B38" i="65"/>
  <c r="D85" i="1"/>
  <c r="D83" i="1"/>
  <c r="R14" i="54"/>
  <c r="P22" i="54"/>
  <c r="P8" i="54"/>
  <c r="R15" i="54"/>
  <c r="P15" i="54"/>
  <c r="P13" i="54"/>
  <c r="Q22" i="54"/>
  <c r="Q6" i="54"/>
  <c r="Q12" i="54"/>
  <c r="P12" i="54"/>
  <c r="R17" i="54"/>
  <c r="P17" i="54"/>
  <c r="R13" i="54"/>
  <c r="P14" i="54"/>
  <c r="D69" i="1"/>
  <c r="D82" i="1"/>
  <c r="AE52" i="2"/>
  <c r="AD55" i="2"/>
  <c r="D18" i="1" s="1"/>
  <c r="AC55" i="2"/>
  <c r="D17" i="1" s="1"/>
  <c r="AE43" i="2"/>
  <c r="AE50" i="2"/>
  <c r="AE46" i="2"/>
  <c r="AB55" i="2"/>
  <c r="D16" i="1" s="1"/>
  <c r="AA55" i="2"/>
  <c r="D15" i="1" s="1"/>
  <c r="AE41" i="2"/>
  <c r="AE40" i="2"/>
  <c r="AE47" i="2"/>
  <c r="AE48" i="2"/>
  <c r="AE49" i="2"/>
  <c r="AE53" i="2"/>
  <c r="AE51" i="2"/>
  <c r="AE54" i="2"/>
  <c r="AE42" i="2"/>
  <c r="AE45" i="2"/>
  <c r="AE44" i="2"/>
  <c r="AE30" i="2"/>
  <c r="AE23" i="2"/>
  <c r="AE8" i="2"/>
  <c r="AE10" i="2"/>
  <c r="AE16" i="2"/>
  <c r="AE13" i="2"/>
  <c r="AE32" i="2"/>
  <c r="AE12" i="2"/>
  <c r="AE11" i="2"/>
  <c r="AE28" i="2"/>
  <c r="AE14" i="2"/>
  <c r="AE20" i="2"/>
  <c r="AE31" i="2"/>
  <c r="AE26" i="2"/>
  <c r="AE36" i="2"/>
  <c r="AE27" i="2"/>
  <c r="AE9" i="2"/>
  <c r="AE25" i="2"/>
  <c r="AE17" i="2"/>
  <c r="AE7" i="2"/>
  <c r="AE33" i="2"/>
  <c r="AE29" i="2"/>
  <c r="AE35" i="2"/>
  <c r="AE21" i="2"/>
  <c r="AE24" i="2"/>
  <c r="AE22" i="2"/>
  <c r="AE15" i="2"/>
  <c r="AE37" i="2"/>
  <c r="AE18" i="2"/>
  <c r="AE38" i="2"/>
  <c r="AE19" i="2"/>
  <c r="AE5" i="2"/>
  <c r="AE34" i="2"/>
  <c r="AE39" i="2"/>
  <c r="AE6" i="2"/>
  <c r="AC9" i="54" l="1"/>
  <c r="AD9" i="54" s="1"/>
  <c r="AE9" i="54" s="1"/>
  <c r="AC10" i="54"/>
  <c r="Z10" i="54"/>
  <c r="AC11" i="54"/>
  <c r="Y11" i="54"/>
  <c r="D24" i="1"/>
  <c r="D78" i="1"/>
  <c r="E77" i="1" s="1"/>
  <c r="D46" i="67"/>
  <c r="Q46" i="67" s="1"/>
  <c r="D18" i="67"/>
  <c r="D148" i="1"/>
  <c r="E64" i="1"/>
  <c r="D87" i="1"/>
  <c r="E66" i="1"/>
  <c r="E67" i="1"/>
  <c r="E68" i="1"/>
  <c r="E65" i="1"/>
  <c r="E69" i="1"/>
  <c r="D23" i="1"/>
  <c r="D25" i="1"/>
  <c r="AE55" i="2"/>
  <c r="D19" i="1" s="1"/>
  <c r="U7" i="54"/>
  <c r="T7" i="54" s="1"/>
  <c r="Y7" i="54" s="1"/>
  <c r="U8" i="54"/>
  <c r="T8" i="54" s="1"/>
  <c r="Y8" i="54" s="1"/>
  <c r="U12" i="54"/>
  <c r="T12" i="54" s="1"/>
  <c r="Y12" i="54" s="1"/>
  <c r="U13" i="54"/>
  <c r="T13" i="54" s="1"/>
  <c r="Y13" i="54" s="1"/>
  <c r="U14" i="54"/>
  <c r="T14" i="54" s="1"/>
  <c r="Y14" i="54" s="1"/>
  <c r="U15" i="54"/>
  <c r="T15" i="54" s="1"/>
  <c r="Y15" i="54" s="1"/>
  <c r="U16" i="54"/>
  <c r="T16" i="54" s="1"/>
  <c r="Y16" i="54" s="1"/>
  <c r="U17" i="54"/>
  <c r="T17" i="54" s="1"/>
  <c r="Y17" i="54" s="1"/>
  <c r="U18" i="54"/>
  <c r="T18" i="54" s="1"/>
  <c r="Y18" i="54" s="1"/>
  <c r="U19" i="54"/>
  <c r="T19" i="54" s="1"/>
  <c r="Y19" i="54" s="1"/>
  <c r="U20" i="54"/>
  <c r="T20" i="54" s="1"/>
  <c r="Y20" i="54" s="1"/>
  <c r="U21" i="54"/>
  <c r="T21" i="54" s="1"/>
  <c r="Y21" i="54" s="1"/>
  <c r="U22" i="54"/>
  <c r="T22" i="54" s="1"/>
  <c r="Y22" i="54" s="1"/>
  <c r="U23" i="54"/>
  <c r="T23" i="54" s="1"/>
  <c r="Y23" i="54" s="1"/>
  <c r="U24" i="54"/>
  <c r="T24" i="54" s="1"/>
  <c r="Y24" i="54" s="1"/>
  <c r="U25" i="54"/>
  <c r="T25" i="54" s="1"/>
  <c r="Y25" i="54" s="1"/>
  <c r="U26" i="54"/>
  <c r="T26" i="54" s="1"/>
  <c r="Y26" i="54" s="1"/>
  <c r="U27" i="54"/>
  <c r="T27" i="54" s="1"/>
  <c r="Y27" i="54" s="1"/>
  <c r="U28" i="54"/>
  <c r="T28" i="54" s="1"/>
  <c r="Y28" i="54" s="1"/>
  <c r="U29" i="54"/>
  <c r="T29" i="54" s="1"/>
  <c r="Y29" i="54" s="1"/>
  <c r="U30" i="54"/>
  <c r="T30" i="54" s="1"/>
  <c r="Y30" i="54" s="1"/>
  <c r="U31" i="54"/>
  <c r="T31" i="54" s="1"/>
  <c r="Y31" i="54" s="1"/>
  <c r="U32" i="54"/>
  <c r="T32" i="54" s="1"/>
  <c r="Y32" i="54" s="1"/>
  <c r="U33" i="54"/>
  <c r="T33" i="54" s="1"/>
  <c r="Y33" i="54" s="1"/>
  <c r="U34" i="54"/>
  <c r="T34" i="54" s="1"/>
  <c r="Y34" i="54" s="1"/>
  <c r="U35" i="54"/>
  <c r="T35" i="54" s="1"/>
  <c r="Y35" i="54" s="1"/>
  <c r="U36" i="54"/>
  <c r="T36" i="54" s="1"/>
  <c r="Y36" i="54" s="1"/>
  <c r="U37" i="54"/>
  <c r="T37" i="54" s="1"/>
  <c r="Y37" i="54" s="1"/>
  <c r="U38" i="54"/>
  <c r="T38" i="54" s="1"/>
  <c r="Y38" i="54" s="1"/>
  <c r="U6" i="54"/>
  <c r="AC7" i="54"/>
  <c r="AC8" i="54"/>
  <c r="AC12" i="54"/>
  <c r="AC13" i="54"/>
  <c r="AC14" i="54"/>
  <c r="AC15" i="54"/>
  <c r="AC16" i="54"/>
  <c r="AC17" i="54"/>
  <c r="AC18" i="54"/>
  <c r="AC19" i="54"/>
  <c r="AC20" i="54"/>
  <c r="AC21" i="54"/>
  <c r="AC22" i="54"/>
  <c r="AC23" i="54"/>
  <c r="AC24" i="54"/>
  <c r="AC25" i="54"/>
  <c r="AC26" i="54"/>
  <c r="AC27" i="54"/>
  <c r="AC28" i="54"/>
  <c r="AC29" i="54"/>
  <c r="AC30" i="54"/>
  <c r="AC31" i="54"/>
  <c r="AC32" i="54"/>
  <c r="AC33" i="54"/>
  <c r="AC34" i="54"/>
  <c r="AC35" i="54"/>
  <c r="AC36" i="54"/>
  <c r="AC37" i="54"/>
  <c r="AC38" i="54"/>
  <c r="W18" i="54"/>
  <c r="V18" i="54"/>
  <c r="W17" i="54"/>
  <c r="V17" i="54"/>
  <c r="W15" i="54"/>
  <c r="V15" i="54"/>
  <c r="AD10" i="54" l="1"/>
  <c r="AD11" i="54"/>
  <c r="AE11" i="54" s="1"/>
  <c r="AF11" i="54" s="1"/>
  <c r="AF9" i="54"/>
  <c r="AE10" i="54"/>
  <c r="AF10" i="54" s="1"/>
  <c r="E145" i="1"/>
  <c r="Q18" i="67"/>
  <c r="E143" i="1"/>
  <c r="E73" i="1"/>
  <c r="E75" i="1"/>
  <c r="E74" i="1"/>
  <c r="E146" i="1"/>
  <c r="E144" i="1"/>
  <c r="E76" i="1"/>
  <c r="E78" i="1"/>
  <c r="E147" i="1"/>
  <c r="D47" i="67"/>
  <c r="Q47" i="67" s="1"/>
  <c r="D19" i="67"/>
  <c r="Q19" i="67" s="1"/>
  <c r="E148" i="1"/>
  <c r="C40" i="65"/>
  <c r="E87" i="1"/>
  <c r="E83" i="1"/>
  <c r="E84" i="1"/>
  <c r="E85" i="1"/>
  <c r="E86" i="1"/>
  <c r="E82" i="1"/>
  <c r="D26" i="1"/>
  <c r="E19" i="1"/>
  <c r="E14" i="1"/>
  <c r="E16" i="1"/>
  <c r="E17" i="1"/>
  <c r="E15" i="1"/>
  <c r="E18" i="1"/>
  <c r="X20" i="54"/>
  <c r="AA20" i="54"/>
  <c r="Z20" i="54"/>
  <c r="X32" i="54"/>
  <c r="AA32" i="54"/>
  <c r="Z32" i="54"/>
  <c r="X19" i="54"/>
  <c r="Z19" i="54"/>
  <c r="AA19" i="54"/>
  <c r="X18" i="54"/>
  <c r="Z18" i="54"/>
  <c r="AA18" i="54"/>
  <c r="X17" i="54"/>
  <c r="Z17" i="54"/>
  <c r="AA17" i="54"/>
  <c r="X28" i="54"/>
  <c r="Z28" i="54"/>
  <c r="AA28" i="54"/>
  <c r="X16" i="54"/>
  <c r="Z16" i="54"/>
  <c r="AA16" i="54"/>
  <c r="T6" i="54"/>
  <c r="X6" i="54" s="1"/>
  <c r="AB6" i="54"/>
  <c r="X27" i="54"/>
  <c r="Z27" i="54"/>
  <c r="AA27" i="54"/>
  <c r="X15" i="54"/>
  <c r="Z15" i="54"/>
  <c r="AA15" i="54"/>
  <c r="X26" i="54"/>
  <c r="AA26" i="54"/>
  <c r="Z26" i="54"/>
  <c r="X37" i="54"/>
  <c r="AA37" i="54"/>
  <c r="Z37" i="54"/>
  <c r="X13" i="54"/>
  <c r="AA13" i="54"/>
  <c r="Z13" i="54"/>
  <c r="X24" i="54"/>
  <c r="AA24" i="54"/>
  <c r="Z24" i="54"/>
  <c r="X35" i="54"/>
  <c r="AA35" i="54"/>
  <c r="Z35" i="54"/>
  <c r="X8" i="54"/>
  <c r="AA8" i="54"/>
  <c r="Z8" i="54"/>
  <c r="X34" i="54"/>
  <c r="AA34" i="54"/>
  <c r="Z34" i="54"/>
  <c r="X22" i="54"/>
  <c r="AA22" i="54"/>
  <c r="Z22" i="54"/>
  <c r="X7" i="54"/>
  <c r="AA7" i="54"/>
  <c r="Z7" i="54"/>
  <c r="X31" i="54"/>
  <c r="Z31" i="54"/>
  <c r="AA31" i="54"/>
  <c r="X30" i="54"/>
  <c r="Z30" i="54"/>
  <c r="AA30" i="54"/>
  <c r="X29" i="54"/>
  <c r="Z29" i="54"/>
  <c r="AA29" i="54"/>
  <c r="X38" i="54"/>
  <c r="AA38" i="54"/>
  <c r="Z38" i="54"/>
  <c r="X14" i="54"/>
  <c r="AA14" i="54"/>
  <c r="Z14" i="54"/>
  <c r="X25" i="54"/>
  <c r="Z25" i="54"/>
  <c r="AA25" i="54"/>
  <c r="X36" i="54"/>
  <c r="AA36" i="54"/>
  <c r="Z36" i="54"/>
  <c r="X12" i="54"/>
  <c r="AA12" i="54"/>
  <c r="Z12" i="54"/>
  <c r="X23" i="54"/>
  <c r="AA23" i="54"/>
  <c r="Z23" i="54"/>
  <c r="X33" i="54"/>
  <c r="AA33" i="54"/>
  <c r="Z33" i="54"/>
  <c r="X21" i="54"/>
  <c r="AA21" i="54"/>
  <c r="Z21" i="54"/>
  <c r="AB36" i="54"/>
  <c r="AB28" i="54"/>
  <c r="AB20" i="54"/>
  <c r="AB12" i="54"/>
  <c r="AB32" i="54"/>
  <c r="AB24" i="54"/>
  <c r="AB16" i="54"/>
  <c r="AB37" i="54"/>
  <c r="AB33" i="54"/>
  <c r="AB29" i="54"/>
  <c r="AB25" i="54"/>
  <c r="AB21" i="54"/>
  <c r="AB17" i="54"/>
  <c r="AB13" i="54"/>
  <c r="AB38" i="54"/>
  <c r="AB34" i="54"/>
  <c r="AB30" i="54"/>
  <c r="AB26" i="54"/>
  <c r="AB22" i="54"/>
  <c r="AB18" i="54"/>
  <c r="AB14" i="54"/>
  <c r="AB7" i="54"/>
  <c r="AB35" i="54"/>
  <c r="AB31" i="54"/>
  <c r="AB27" i="54"/>
  <c r="AB23" i="54"/>
  <c r="AB19" i="54"/>
  <c r="AB15" i="54"/>
  <c r="AB8" i="54"/>
  <c r="V7" i="54"/>
  <c r="P4" i="67" l="1"/>
  <c r="E23" i="1"/>
  <c r="E24" i="1"/>
  <c r="D102" i="1"/>
  <c r="E26" i="1"/>
  <c r="D112" i="1"/>
  <c r="E25" i="1"/>
  <c r="AD28" i="54"/>
  <c r="AE28" i="54" s="1"/>
  <c r="AF28" i="54" s="1"/>
  <c r="AD12" i="54"/>
  <c r="AE12" i="54" s="1"/>
  <c r="AF12" i="54" s="1"/>
  <c r="AD38" i="54"/>
  <c r="AE38" i="54" s="1"/>
  <c r="AF38" i="54" s="1"/>
  <c r="AD19" i="54"/>
  <c r="AE19" i="54" s="1"/>
  <c r="AF19" i="54" s="1"/>
  <c r="AD21" i="54"/>
  <c r="AE21" i="54" s="1"/>
  <c r="AF21" i="54" s="1"/>
  <c r="AD17" i="54"/>
  <c r="AE17" i="54" s="1"/>
  <c r="AF17" i="54" s="1"/>
  <c r="AD34" i="54"/>
  <c r="AE34" i="54" s="1"/>
  <c r="AF34" i="54" s="1"/>
  <c r="AD13" i="54"/>
  <c r="AE13" i="54" s="1"/>
  <c r="AF13" i="54" s="1"/>
  <c r="Z6" i="54"/>
  <c r="Z39" i="54" s="1"/>
  <c r="D52" i="1" s="1"/>
  <c r="AA6" i="54"/>
  <c r="AA39" i="54" s="1"/>
  <c r="D53" i="1" s="1"/>
  <c r="AD23" i="54"/>
  <c r="AE23" i="54" s="1"/>
  <c r="AF23" i="54" s="1"/>
  <c r="AD31" i="54"/>
  <c r="AE31" i="54" s="1"/>
  <c r="AF31" i="54" s="1"/>
  <c r="AD35" i="54"/>
  <c r="AE35" i="54" s="1"/>
  <c r="AF35" i="54" s="1"/>
  <c r="AD14" i="54"/>
  <c r="AE14" i="54" s="1"/>
  <c r="AF14" i="54" s="1"/>
  <c r="AD24" i="54"/>
  <c r="AE24" i="54" s="1"/>
  <c r="AF24" i="54" s="1"/>
  <c r="AD25" i="54"/>
  <c r="AE25" i="54" s="1"/>
  <c r="AF25" i="54" s="1"/>
  <c r="AD22" i="54"/>
  <c r="AD18" i="54"/>
  <c r="AE18" i="54" s="1"/>
  <c r="AD15" i="54"/>
  <c r="AE15" i="54" s="1"/>
  <c r="AF15" i="54" s="1"/>
  <c r="AD7" i="54"/>
  <c r="AE7" i="54" s="1"/>
  <c r="AF7" i="54" s="1"/>
  <c r="AD30" i="54"/>
  <c r="AE30" i="54" s="1"/>
  <c r="AD33" i="54"/>
  <c r="AD8" i="54"/>
  <c r="AE8" i="54" s="1"/>
  <c r="AD27" i="54"/>
  <c r="AE27" i="54" s="1"/>
  <c r="AD29" i="54"/>
  <c r="AD37" i="54"/>
  <c r="AE37" i="54" s="1"/>
  <c r="AD20" i="54"/>
  <c r="AE20" i="54" s="1"/>
  <c r="AF20" i="54" s="1"/>
  <c r="AD36" i="54"/>
  <c r="AE36" i="54" s="1"/>
  <c r="AF36" i="54" s="1"/>
  <c r="AD26" i="54"/>
  <c r="AE26" i="54" s="1"/>
  <c r="AD16" i="54"/>
  <c r="AE16" i="54" s="1"/>
  <c r="AD32" i="54"/>
  <c r="AE32" i="54" s="1"/>
  <c r="AB39" i="54"/>
  <c r="D54" i="1" s="1"/>
  <c r="E112" i="1" l="1"/>
  <c r="E102" i="1"/>
  <c r="AE22" i="54"/>
  <c r="X39" i="54"/>
  <c r="D50" i="1" s="1"/>
  <c r="AF18" i="54"/>
  <c r="AF30" i="54"/>
  <c r="AE29" i="54"/>
  <c r="AF29" i="54" s="1"/>
  <c r="AF32" i="54"/>
  <c r="AE33" i="54"/>
  <c r="AF33" i="54" s="1"/>
  <c r="AF26" i="54"/>
  <c r="AF27" i="54"/>
  <c r="AF16" i="54"/>
  <c r="AF37" i="54"/>
  <c r="AF8" i="54"/>
  <c r="AF22" i="54" l="1"/>
  <c r="V22" i="54"/>
  <c r="W22" i="54"/>
  <c r="V23" i="54"/>
  <c r="W23" i="54"/>
  <c r="V24" i="54"/>
  <c r="W24" i="54"/>
  <c r="V25" i="54"/>
  <c r="W25" i="54"/>
  <c r="V26" i="54"/>
  <c r="W26" i="54"/>
  <c r="V20" i="54"/>
  <c r="W20" i="54"/>
  <c r="V21" i="54"/>
  <c r="W21" i="54"/>
  <c r="V6" i="54" l="1"/>
  <c r="W6" i="54"/>
  <c r="W7" i="54"/>
  <c r="V8" i="54"/>
  <c r="W8" i="54"/>
  <c r="V12" i="54"/>
  <c r="W12" i="54"/>
  <c r="V13" i="54"/>
  <c r="W13" i="54"/>
  <c r="V14" i="54"/>
  <c r="W14" i="54"/>
  <c r="V16" i="54"/>
  <c r="W16" i="54"/>
  <c r="V19" i="54"/>
  <c r="W19" i="54"/>
  <c r="V27" i="54"/>
  <c r="W27" i="54"/>
  <c r="V28" i="54"/>
  <c r="W28" i="54"/>
  <c r="V29" i="54"/>
  <c r="W29" i="54"/>
  <c r="V30" i="54"/>
  <c r="W30" i="54"/>
  <c r="V31" i="54"/>
  <c r="W31" i="54"/>
  <c r="V32" i="54"/>
  <c r="W32" i="54"/>
  <c r="V33" i="54"/>
  <c r="W33" i="54"/>
  <c r="V34" i="54"/>
  <c r="W34" i="54"/>
  <c r="V35" i="54"/>
  <c r="W35" i="54"/>
  <c r="V36" i="54"/>
  <c r="W36" i="54"/>
  <c r="V37" i="54"/>
  <c r="W37" i="54"/>
  <c r="V38" i="54"/>
  <c r="W38" i="54"/>
  <c r="B22" i="37" l="1"/>
  <c r="B21" i="37"/>
  <c r="B20" i="37"/>
  <c r="P6" i="54"/>
  <c r="Y6" i="54" s="1"/>
  <c r="B19" i="37"/>
  <c r="D93" i="1"/>
  <c r="D94" i="1"/>
  <c r="AC6" i="54" l="1"/>
  <c r="AC39" i="54" s="1"/>
  <c r="D55" i="1" s="1"/>
  <c r="Y39" i="54" l="1"/>
  <c r="D51" i="1" s="1"/>
  <c r="AD6" i="54"/>
  <c r="AE6" i="54" l="1"/>
  <c r="AE39" i="54" s="1"/>
  <c r="D57" i="1" s="1"/>
  <c r="AD39" i="54"/>
  <c r="D56" i="1" s="1"/>
  <c r="AF6" i="54" l="1"/>
  <c r="D37" i="1" s="1"/>
  <c r="D38" i="1" l="1"/>
  <c r="D43" i="1"/>
  <c r="D39" i="1"/>
  <c r="D44" i="1"/>
  <c r="AF39" i="54"/>
  <c r="D58" i="1" s="1"/>
  <c r="D45" i="1"/>
  <c r="D32" i="1" l="1"/>
  <c r="D113" i="1" s="1"/>
  <c r="E58" i="1"/>
  <c r="E54" i="1"/>
  <c r="E53" i="1"/>
  <c r="E52" i="1"/>
  <c r="E50" i="1"/>
  <c r="E55" i="1"/>
  <c r="E51" i="1"/>
  <c r="E56" i="1"/>
  <c r="E57" i="1"/>
  <c r="D42" i="1"/>
  <c r="E113" i="1" l="1"/>
  <c r="D103" i="1"/>
  <c r="D114" i="1"/>
  <c r="D116" i="1" s="1"/>
  <c r="E116" i="1" s="1"/>
  <c r="D46" i="1"/>
  <c r="E42" i="1" s="1"/>
  <c r="E103" i="1" l="1"/>
  <c r="D117" i="1"/>
  <c r="E114" i="1"/>
  <c r="E46" i="1"/>
  <c r="E37" i="1"/>
  <c r="E44" i="1"/>
  <c r="E38" i="1"/>
  <c r="E39" i="1"/>
  <c r="E36" i="1"/>
  <c r="E35" i="1"/>
  <c r="E34" i="1"/>
  <c r="E33" i="1"/>
  <c r="E41" i="1"/>
  <c r="E40" i="1"/>
  <c r="E43" i="1"/>
  <c r="E32" i="1"/>
  <c r="E45" i="1"/>
  <c r="D16" i="67" l="1"/>
  <c r="E7" i="67"/>
  <c r="E8" i="67" s="1"/>
  <c r="D132" i="1"/>
  <c r="D106" i="1"/>
  <c r="E105" i="1"/>
  <c r="E117" i="1"/>
  <c r="E118" i="1"/>
  <c r="E107" i="1" l="1"/>
  <c r="D107" i="1" s="1"/>
  <c r="D126" i="1" s="1"/>
  <c r="D7" i="67"/>
  <c r="D44" i="67"/>
  <c r="D21" i="67"/>
  <c r="E16" i="67"/>
  <c r="D17" i="67"/>
  <c r="E106" i="1"/>
  <c r="D125" i="1"/>
  <c r="E21" i="67" l="1"/>
  <c r="F16" i="67"/>
  <c r="G7" i="67"/>
  <c r="D8" i="67"/>
  <c r="E44" i="67"/>
  <c r="D45" i="67"/>
  <c r="D49" i="67"/>
  <c r="D118" i="1"/>
  <c r="D133" i="1" s="1"/>
  <c r="G8" i="67" l="1"/>
  <c r="N5" i="67" s="1"/>
  <c r="P5" i="67"/>
  <c r="E45" i="67"/>
  <c r="E49" i="67"/>
  <c r="F21" i="67"/>
  <c r="G16" i="67"/>
  <c r="D48" i="67"/>
  <c r="D50" i="67" s="1"/>
  <c r="D20" i="67"/>
  <c r="E13" i="67"/>
  <c r="E17" i="67" s="1"/>
  <c r="C30" i="65"/>
  <c r="G21" i="67" l="1"/>
  <c r="H16" i="67"/>
  <c r="E48" i="67"/>
  <c r="E50" i="67" s="1"/>
  <c r="D22" i="67"/>
  <c r="D24" i="67" s="1"/>
  <c r="E20" i="67"/>
  <c r="F13" i="67"/>
  <c r="F17" i="67" s="1"/>
  <c r="D30" i="65"/>
  <c r="H21" i="67" l="1"/>
  <c r="I16" i="67"/>
  <c r="D58" i="67"/>
  <c r="D52" i="67"/>
  <c r="E52" i="67" s="1"/>
  <c r="E58" i="67"/>
  <c r="D26" i="67"/>
  <c r="D25" i="67"/>
  <c r="E22" i="67"/>
  <c r="E24" i="67" s="1"/>
  <c r="E25" i="67" s="1"/>
  <c r="D30" i="67"/>
  <c r="F20" i="67"/>
  <c r="G13" i="67"/>
  <c r="G17" i="67" s="1"/>
  <c r="E30" i="65"/>
  <c r="I21" i="67" l="1"/>
  <c r="J16" i="67"/>
  <c r="E53" i="67"/>
  <c r="E54" i="67"/>
  <c r="D53" i="67"/>
  <c r="D54" i="67"/>
  <c r="E30" i="67"/>
  <c r="F22" i="67"/>
  <c r="F24" i="67" s="1"/>
  <c r="E26" i="67"/>
  <c r="G20" i="67"/>
  <c r="H13" i="67"/>
  <c r="H17" i="67" s="1"/>
  <c r="F30" i="65"/>
  <c r="K16" i="67" l="1"/>
  <c r="J21" i="67"/>
  <c r="G22" i="67"/>
  <c r="H20" i="67"/>
  <c r="I13" i="67"/>
  <c r="I17" i="67" s="1"/>
  <c r="F30" i="67"/>
  <c r="G30" i="65"/>
  <c r="L16" i="67" l="1"/>
  <c r="K21" i="67"/>
  <c r="G30" i="67"/>
  <c r="G24" i="67"/>
  <c r="G26" i="67" s="1"/>
  <c r="H22" i="67"/>
  <c r="F25" i="67"/>
  <c r="F26" i="67"/>
  <c r="J13" i="67"/>
  <c r="J17" i="67" s="1"/>
  <c r="I20" i="67"/>
  <c r="H30" i="65"/>
  <c r="L21" i="67" l="1"/>
  <c r="M16" i="67"/>
  <c r="H24" i="67"/>
  <c r="H25" i="67" s="1"/>
  <c r="G25" i="67"/>
  <c r="H30" i="67"/>
  <c r="I22" i="67"/>
  <c r="K13" i="67"/>
  <c r="K17" i="67" s="1"/>
  <c r="J20" i="67"/>
  <c r="I30" i="65"/>
  <c r="M21" i="67" l="1"/>
  <c r="N16" i="67"/>
  <c r="N21" i="67" s="1"/>
  <c r="H26" i="67"/>
  <c r="J22" i="67"/>
  <c r="J30" i="67" s="1"/>
  <c r="L13" i="67"/>
  <c r="L17" i="67" s="1"/>
  <c r="K20" i="67"/>
  <c r="I30" i="67"/>
  <c r="I24" i="67"/>
  <c r="J30" i="65"/>
  <c r="Q21" i="67" l="1"/>
  <c r="K22" i="67"/>
  <c r="K30" i="67" s="1"/>
  <c r="I25" i="67"/>
  <c r="I26" i="67"/>
  <c r="M13" i="67"/>
  <c r="M17" i="67" s="1"/>
  <c r="L20" i="67"/>
  <c r="J24" i="67"/>
  <c r="K30" i="65"/>
  <c r="L22" i="67" l="1"/>
  <c r="L30" i="67" s="1"/>
  <c r="J26" i="67"/>
  <c r="J25" i="67"/>
  <c r="M20" i="67"/>
  <c r="N13" i="67"/>
  <c r="N17" i="67" s="1"/>
  <c r="K24" i="67"/>
  <c r="L30" i="65"/>
  <c r="Q30" i="65" s="1"/>
  <c r="M22" i="67" l="1"/>
  <c r="M30" i="67" s="1"/>
  <c r="K25" i="67"/>
  <c r="K26" i="67"/>
  <c r="N20" i="67"/>
  <c r="L24" i="67"/>
  <c r="M30" i="65"/>
  <c r="Q20" i="67" l="1"/>
  <c r="D35" i="67" s="1"/>
  <c r="N6" i="67" s="1"/>
  <c r="N22" i="67"/>
  <c r="Q22" i="67" s="1"/>
  <c r="L25" i="67"/>
  <c r="L26" i="67"/>
  <c r="M24" i="67"/>
  <c r="D36" i="67" l="1"/>
  <c r="D38" i="67"/>
  <c r="N8" i="67" s="1"/>
  <c r="M25" i="67"/>
  <c r="M26" i="67"/>
  <c r="N30" i="67"/>
  <c r="D32" i="67" s="1"/>
  <c r="N7" i="67" s="1"/>
  <c r="N24" i="67"/>
  <c r="N25" i="67" l="1"/>
  <c r="O25" i="67"/>
  <c r="N26" i="67"/>
  <c r="O26" i="67"/>
  <c r="Q25" i="67" l="1"/>
  <c r="P58" i="67"/>
  <c r="P41" i="67"/>
  <c r="P50" i="67"/>
  <c r="P57" i="67"/>
  <c r="P44" i="67"/>
  <c r="P43" i="67"/>
  <c r="P52" i="67"/>
  <c r="F41" i="67"/>
  <c r="G41" i="67" s="1"/>
  <c r="G57" i="67" s="1"/>
  <c r="Q42" i="67"/>
  <c r="R42" i="67"/>
  <c r="F44" i="67"/>
  <c r="O44" i="67"/>
  <c r="O41" i="67"/>
  <c r="O57" i="67" s="1"/>
  <c r="O43" i="67"/>
  <c r="O48" i="67" s="1"/>
  <c r="F43" i="67"/>
  <c r="F48" i="67" s="1"/>
  <c r="Q26" i="52"/>
  <c r="D95" i="1" s="1"/>
  <c r="O45" i="67" l="1"/>
  <c r="P49" i="67"/>
  <c r="P45" i="67"/>
  <c r="G44" i="67"/>
  <c r="H44" i="67" s="1"/>
  <c r="F45" i="67"/>
  <c r="F57" i="67"/>
  <c r="Q6" i="52"/>
  <c r="D91" i="1" s="1"/>
  <c r="G43" i="67"/>
  <c r="G48" i="67" s="1"/>
  <c r="P48" i="67"/>
  <c r="H41" i="67"/>
  <c r="F49" i="67"/>
  <c r="O49" i="67"/>
  <c r="O50" i="67" s="1"/>
  <c r="O52" i="67" l="1"/>
  <c r="O58" i="67"/>
  <c r="G49" i="67"/>
  <c r="G50" i="67" s="1"/>
  <c r="G58" i="67" s="1"/>
  <c r="G45" i="67"/>
  <c r="H43" i="67"/>
  <c r="I43" i="67" s="1"/>
  <c r="Q30" i="52"/>
  <c r="D92" i="1"/>
  <c r="D96" i="1" s="1"/>
  <c r="E95" i="1" s="1"/>
  <c r="H49" i="67"/>
  <c r="I44" i="67"/>
  <c r="I45" i="67" s="1"/>
  <c r="I41" i="67"/>
  <c r="H57" i="67"/>
  <c r="F50" i="67"/>
  <c r="H48" i="67" l="1"/>
  <c r="P53" i="67"/>
  <c r="P54" i="67"/>
  <c r="H45" i="67"/>
  <c r="E91" i="1"/>
  <c r="E96" i="1"/>
  <c r="D134" i="1"/>
  <c r="D135" i="1" s="1"/>
  <c r="D127" i="1"/>
  <c r="D128" i="1" s="1"/>
  <c r="F7" i="67"/>
  <c r="F8" i="67" s="1"/>
  <c r="E94" i="1"/>
  <c r="E93" i="1"/>
  <c r="E92" i="1"/>
  <c r="F58" i="67"/>
  <c r="F52" i="67"/>
  <c r="H50" i="67"/>
  <c r="I57" i="67"/>
  <c r="J41" i="67"/>
  <c r="J44" i="67"/>
  <c r="I49" i="67"/>
  <c r="J43" i="67"/>
  <c r="I48" i="67"/>
  <c r="I50" i="67" l="1"/>
  <c r="I58" i="67" s="1"/>
  <c r="J45" i="67"/>
  <c r="E134" i="1"/>
  <c r="J57" i="67"/>
  <c r="K41" i="67"/>
  <c r="E128" i="1"/>
  <c r="E125" i="1"/>
  <c r="E126" i="1"/>
  <c r="E127" i="1"/>
  <c r="D140" i="1"/>
  <c r="E132" i="1"/>
  <c r="E135" i="1"/>
  <c r="E133" i="1"/>
  <c r="H58" i="67"/>
  <c r="K43" i="67"/>
  <c r="J48" i="67"/>
  <c r="F54" i="67"/>
  <c r="F53" i="67"/>
  <c r="G52" i="67"/>
  <c r="K44" i="67"/>
  <c r="K45" i="67" s="1"/>
  <c r="J49" i="67"/>
  <c r="G54" i="67" l="1"/>
  <c r="G53" i="67"/>
  <c r="K48" i="67"/>
  <c r="L43" i="67"/>
  <c r="K49" i="67"/>
  <c r="L44" i="67"/>
  <c r="J50" i="67"/>
  <c r="H52" i="67"/>
  <c r="L41" i="67"/>
  <c r="K57" i="67"/>
  <c r="L45" i="67" l="1"/>
  <c r="J58" i="67"/>
  <c r="M44" i="67"/>
  <c r="L49" i="67"/>
  <c r="L48" i="67"/>
  <c r="M43" i="67"/>
  <c r="H53" i="67"/>
  <c r="H54" i="67"/>
  <c r="I52" i="67"/>
  <c r="K50" i="67"/>
  <c r="L57" i="67"/>
  <c r="M41" i="67"/>
  <c r="M45" i="67" l="1"/>
  <c r="I53" i="67"/>
  <c r="I54" i="67"/>
  <c r="K58" i="67"/>
  <c r="M48" i="67"/>
  <c r="N43" i="67"/>
  <c r="L50" i="67"/>
  <c r="N44" i="67"/>
  <c r="M49" i="67"/>
  <c r="N41" i="67"/>
  <c r="N57" i="67" s="1"/>
  <c r="M57" i="67"/>
  <c r="J52" i="67"/>
  <c r="K52" i="67" s="1"/>
  <c r="N49" i="67" l="1"/>
  <c r="Q49" i="67" s="1"/>
  <c r="N45" i="67"/>
  <c r="K53" i="67"/>
  <c r="K54" i="67"/>
  <c r="N48" i="67"/>
  <c r="L52" i="67"/>
  <c r="L58" i="67"/>
  <c r="M50" i="67"/>
  <c r="J53" i="67"/>
  <c r="J54" i="67"/>
  <c r="M58" i="67" l="1"/>
  <c r="M52" i="67"/>
  <c r="L54" i="67"/>
  <c r="L53" i="67"/>
  <c r="N50" i="67"/>
  <c r="D66" i="67" s="1"/>
  <c r="P8" i="67" s="1"/>
  <c r="Q48" i="67"/>
  <c r="D64" i="67" l="1"/>
  <c r="P6" i="67" s="1"/>
  <c r="D63" i="67"/>
  <c r="N58" i="67"/>
  <c r="D60" i="67" s="1"/>
  <c r="P7" i="67" s="1"/>
  <c r="N52" i="67"/>
  <c r="Q50" i="67"/>
  <c r="M53" i="67"/>
  <c r="M54" i="67"/>
  <c r="O54" i="67" l="1"/>
  <c r="N53" i="67"/>
  <c r="N54" i="67"/>
  <c r="O53" i="67"/>
  <c r="Q53" i="6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4" authorId="0" shapeId="0" xr:uid="{6C02356B-F297-4FF2-B7B4-0FF20D8C470E}">
      <text>
        <r>
          <rPr>
            <sz val="9"/>
            <color indexed="81"/>
            <rFont val="Tahoma"/>
            <family val="2"/>
          </rPr>
          <t>Estimated Annual Usage, volumen medio anual estimado</t>
        </r>
      </text>
    </comment>
    <comment ref="D4" authorId="0" shapeId="0" xr:uid="{F62D09B2-475D-4285-95BC-07835B63B06F}">
      <text>
        <r>
          <rPr>
            <sz val="9"/>
            <color indexed="81"/>
            <rFont val="Tahoma"/>
            <family val="2"/>
          </rPr>
          <t>Abreviatura del producto, ayuda en la hoja de "Help".</t>
        </r>
      </text>
    </comment>
    <comment ref="F4" authorId="0" shapeId="0" xr:uid="{6A370E20-89FF-421A-B9DF-DD728D6128D8}">
      <text>
        <r>
          <rPr>
            <sz val="9"/>
            <color indexed="81"/>
            <rFont val="Tahoma"/>
            <family val="2"/>
          </rPr>
          <t>Fecha de creación del documento</t>
        </r>
      </text>
    </comment>
    <comment ref="B5" authorId="0" shapeId="0" xr:uid="{3BED2977-CB09-447C-9C5E-CE38D6AFBB5A}">
      <text>
        <r>
          <rPr>
            <sz val="9"/>
            <color indexed="81"/>
            <rFont val="Tahoma"/>
            <family val="2"/>
          </rPr>
          <t>Años de proyecto estimados</t>
        </r>
      </text>
    </comment>
    <comment ref="D5" authorId="0" shapeId="0" xr:uid="{7DF175BF-9134-47B7-8A0C-773A3EDDA46B}">
      <text>
        <r>
          <rPr>
            <sz val="9"/>
            <color indexed="81"/>
            <rFont val="Tahoma"/>
            <family val="2"/>
          </rPr>
          <t>Part Number o Referencia según sistema FAE</t>
        </r>
      </text>
    </comment>
    <comment ref="F5" authorId="0" shapeId="0" xr:uid="{FFD9B37E-4AD0-423D-A28D-11EF68967CF2}">
      <text>
        <r>
          <rPr>
            <sz val="9"/>
            <color indexed="81"/>
            <rFont val="Tahoma"/>
            <family val="2"/>
          </rPr>
          <t>Autor del documento</t>
        </r>
      </text>
    </comment>
    <comment ref="B6" authorId="0" shapeId="0" xr:uid="{E483DD84-0B13-4A81-80FF-B5725647889F}">
      <text>
        <r>
          <rPr>
            <sz val="9"/>
            <color indexed="81"/>
            <rFont val="Tahoma"/>
            <family val="2"/>
          </rPr>
          <t>Nombre del cliente</t>
        </r>
      </text>
    </comment>
    <comment ref="D6" authorId="0" shapeId="0" xr:uid="{E60EC547-0A7D-4265-A7A1-05E46A8E7807}">
      <text>
        <r>
          <rPr>
            <sz val="9"/>
            <color indexed="81"/>
            <rFont val="Tahoma"/>
            <family val="2"/>
          </rPr>
          <t>Part Number o Referencia según sistema Cliente</t>
        </r>
      </text>
    </comment>
    <comment ref="F6" authorId="0" shapeId="0" xr:uid="{05D11B6E-0428-4557-A9FA-85F6EE246D3A}">
      <text>
        <r>
          <rPr>
            <sz val="9"/>
            <color indexed="81"/>
            <rFont val="Tahoma"/>
            <family val="2"/>
          </rPr>
          <t>Año estimado de inicio de producción y por lo tanto del coste de mano de obra</t>
        </r>
      </text>
    </comment>
    <comment ref="B7" authorId="0" shapeId="0" xr:uid="{24C5A9A4-28DE-49E7-9477-6C941E022B5B}">
      <text>
        <r>
          <rPr>
            <sz val="9"/>
            <color indexed="81"/>
            <rFont val="Tahoma"/>
            <family val="2"/>
          </rPr>
          <t>Start of Production</t>
        </r>
      </text>
    </comment>
    <comment ref="D7" authorId="0" shapeId="0" xr:uid="{3E6FD375-5FE7-45C8-B21B-75C20105A945}">
      <text>
        <r>
          <rPr>
            <sz val="9"/>
            <color indexed="81"/>
            <rFont val="Tahoma"/>
            <family val="2"/>
          </rPr>
          <t>Número de proyecto. Año guion bajo e Identificador.
Ejemplo: 2023_06
El número de proyecto se identifica en la tabla de consultas/RFQ del gestor documental OEM</t>
        </r>
      </text>
    </comment>
    <comment ref="F7" authorId="0" shapeId="0" xr:uid="{BC643380-34B5-49C7-8F8C-3FEDAD99DB94}">
      <text>
        <r>
          <rPr>
            <sz val="9"/>
            <color indexed="81"/>
            <rFont val="Tahoma"/>
            <family val="2"/>
          </rPr>
          <t>Identificar si la pieza es para IAM o OEM</t>
        </r>
      </text>
    </comment>
    <comment ref="B8" authorId="0" shapeId="0" xr:uid="{AE88D677-4E1C-43FC-8900-2C917627E3F0}">
      <text>
        <r>
          <rPr>
            <sz val="9"/>
            <color indexed="81"/>
            <rFont val="Tahoma"/>
            <family val="2"/>
          </rPr>
          <t>End of Production</t>
        </r>
      </text>
    </comment>
    <comment ref="D8" authorId="0" shapeId="0" xr:uid="{439E8EF9-1236-438F-8A64-CE7DB2D4AD21}">
      <text>
        <r>
          <rPr>
            <sz val="9"/>
            <color indexed="81"/>
            <rFont val="Tahoma"/>
            <family val="2"/>
          </rPr>
          <t>Nombre único del proyecto or RFQ, en este caso es el "Product Type" guion bajo y una pequeña descripción</t>
        </r>
      </text>
    </comment>
    <comment ref="F8" authorId="0" shapeId="0" xr:uid="{5CA065DD-CACE-4400-8FB8-8D80226DD2E1}">
      <text>
        <r>
          <rPr>
            <sz val="9"/>
            <color indexed="81"/>
            <rFont val="Tahoma"/>
            <family val="2"/>
          </rPr>
          <t>Fecha de la última modificación del documento.
Esta en automático, según hoy().</t>
        </r>
      </text>
    </comment>
    <comment ref="G11" authorId="1" shapeId="0" xr:uid="{DF77CCA1-E851-45E3-AA98-3AEFF890D1F6}">
      <text>
        <r>
          <rPr>
            <sz val="9"/>
            <color indexed="81"/>
            <rFont val="Tahoma"/>
            <family val="2"/>
          </rPr>
          <t>Coger valor de la casilla D117 de la hoja de cálculo "2. Cost Summary"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3" authorId="0" shapeId="0" xr:uid="{579E073B-53BA-466E-A4CE-DB0B866D7636}">
      <text>
        <r>
          <rPr>
            <sz val="9"/>
            <color indexed="81"/>
            <rFont val="Tahoma"/>
            <family val="2"/>
          </rPr>
          <t>Identificador individual del material en la tabla</t>
        </r>
      </text>
    </comment>
    <comment ref="C3" authorId="0" shapeId="0" xr:uid="{3073FE69-1D83-4195-8562-8443F64D01D1}">
      <text>
        <r>
          <rPr>
            <sz val="9"/>
            <color indexed="81"/>
            <rFont val="Tahoma"/>
            <family val="2"/>
          </rPr>
          <t>Según la estructura del artículo el nivel dentro del que se encuentra el material</t>
        </r>
      </text>
    </comment>
    <comment ref="D3" authorId="0" shapeId="0" xr:uid="{CFD56C2B-561E-414A-AF40-37AADAC08436}">
      <text>
        <r>
          <rPr>
            <sz val="9"/>
            <color indexed="81"/>
            <rFont val="Tahoma"/>
            <family val="2"/>
          </rPr>
          <t>Cantidad del material por artículo acabado y UoM</t>
        </r>
      </text>
    </comment>
    <comment ref="E3" authorId="0" shapeId="0" xr:uid="{0F088C4B-767F-4C54-B73F-81F140B63C3F}">
      <text>
        <r>
          <rPr>
            <sz val="9"/>
            <color indexed="81"/>
            <rFont val="Tahoma"/>
            <family val="2"/>
          </rPr>
          <t>Part Number o Referencia según sistema FAE</t>
        </r>
      </text>
    </comment>
    <comment ref="F3" authorId="0" shapeId="0" xr:uid="{BDAF23EC-969D-4333-925F-102D3201813A}">
      <text>
        <r>
          <rPr>
            <sz val="9"/>
            <color indexed="81"/>
            <rFont val="Tahoma"/>
            <family val="2"/>
          </rPr>
          <t>Descripción breve del material</t>
        </r>
      </text>
    </comment>
    <comment ref="G3" authorId="0" shapeId="0" xr:uid="{7C6C0F52-9137-4FFB-868F-1CAFBC0ECD14}">
      <text>
        <r>
          <rPr>
            <sz val="9"/>
            <color indexed="81"/>
            <rFont val="Tahoma"/>
            <family val="2"/>
          </rPr>
          <t>Tipología del material:
- Raw material (materia prima)
- Purchased component (componente de compra)
- Outsourced service (servicio externo)</t>
        </r>
      </text>
    </comment>
    <comment ref="H3" authorId="0" shapeId="0" xr:uid="{F55AD0DC-DD83-44D4-811F-49E5F439F74D}">
      <text>
        <r>
          <rPr>
            <sz val="9"/>
            <color indexed="81"/>
            <rFont val="Tahoma"/>
            <family val="2"/>
          </rPr>
          <t>Nombre del fabricante original del material</t>
        </r>
      </text>
    </comment>
    <comment ref="I3" authorId="0" shapeId="0" xr:uid="{9E1989A3-FF92-4537-8668-AF2572D451F9}">
      <text>
        <r>
          <rPr>
            <sz val="9"/>
            <color indexed="81"/>
            <rFont val="Tahoma"/>
            <family val="2"/>
          </rPr>
          <t>Part Number o referencia del Fabricante</t>
        </r>
      </text>
    </comment>
    <comment ref="J3" authorId="0" shapeId="0" xr:uid="{B7EDF8AC-34E7-4C06-AD49-E345796A5006}">
      <text>
        <r>
          <rPr>
            <sz val="9"/>
            <color indexed="81"/>
            <rFont val="Tahoma"/>
            <family val="2"/>
          </rPr>
          <t>Proveedor que nos distribuye el material, en algunos casos puede coincidir con fabricante</t>
        </r>
      </text>
    </comment>
    <comment ref="K3" authorId="0" shapeId="0" xr:uid="{11062E19-0359-4A20-9D79-2496EAA3CAB8}">
      <text>
        <r>
          <rPr>
            <sz val="9"/>
            <color indexed="81"/>
            <rFont val="Tahoma"/>
            <family val="2"/>
          </rPr>
          <t>Part Number o referencia del Proveedor</t>
        </r>
      </text>
    </comment>
    <comment ref="L3" authorId="0" shapeId="0" xr:uid="{8C314BB9-D705-4E42-AF87-237B8C2943D0}">
      <text>
        <r>
          <rPr>
            <sz val="9"/>
            <color indexed="81"/>
            <rFont val="Tahoma"/>
            <family val="2"/>
          </rPr>
          <t>Divisa con la que nos ha ofertado el proveedor</t>
        </r>
      </text>
    </comment>
    <comment ref="M3" authorId="0" shapeId="0" xr:uid="{71E095EF-4231-42C1-9EAA-E2D2239B391F}">
      <text>
        <r>
          <rPr>
            <sz val="9"/>
            <color indexed="81"/>
            <rFont val="Tahoma"/>
            <family val="2"/>
          </rPr>
          <t>Lote de compra según precio unitario ofertado</t>
        </r>
      </text>
    </comment>
    <comment ref="N3" authorId="0" shapeId="0" xr:uid="{FF569F2B-E7AF-4831-9E8B-205D5E33C2DC}">
      <text>
        <r>
          <rPr>
            <sz val="9"/>
            <color indexed="81"/>
            <rFont val="Tahoma"/>
            <family val="2"/>
          </rPr>
          <t>Unidad de medida</t>
        </r>
      </text>
    </comment>
    <comment ref="O3" authorId="0" shapeId="0" xr:uid="{51800C54-29BC-4FDA-85C9-FCEECAA7C1C4}">
      <text>
        <r>
          <rPr>
            <sz val="9"/>
            <color indexed="81"/>
            <rFont val="Tahoma"/>
            <family val="2"/>
          </rPr>
          <t>Coste unitario del material por UoM y Divisa</t>
        </r>
      </text>
    </comment>
    <comment ref="P3" authorId="0" shapeId="0" xr:uid="{25B5DA17-5B19-4D92-B03B-F2C9A315A0D2}">
      <text>
        <r>
          <rPr>
            <sz val="9"/>
            <color indexed="81"/>
            <rFont val="Tahoma"/>
            <family val="2"/>
          </rPr>
          <t>Cambio de la divisa del proveedor a € en el momento de la oferta o estimación</t>
        </r>
      </text>
    </comment>
    <comment ref="Q3" authorId="0" shapeId="0" xr:uid="{BF2F3391-F05C-49F6-8B24-D536A8FB1FEB}">
      <text>
        <r>
          <rPr>
            <sz val="9"/>
            <color indexed="81"/>
            <rFont val="Tahoma"/>
            <family val="2"/>
          </rPr>
          <t>Material base del cual está compuesto el componente. Se debe anotar el material base en caso de que tenga un peso importante en el precio del componente y/o material</t>
        </r>
      </text>
    </comment>
    <comment ref="R3" authorId="0" shapeId="0" xr:uid="{994EE19D-ADEB-4F8B-B57B-1A458913CD76}">
      <text>
        <r>
          <rPr>
            <sz val="9"/>
            <color indexed="81"/>
            <rFont val="Tahoma"/>
            <family val="2"/>
          </rPr>
          <t>Índice del coste del material en el momento del análisis de coste y/o oferta del proveedor</t>
        </r>
      </text>
    </comment>
    <comment ref="S3" authorId="0" shapeId="0" xr:uid="{B013C1FA-A3C1-4860-8B27-79DA881BA69C}">
      <text>
        <r>
          <rPr>
            <sz val="9"/>
            <color indexed="81"/>
            <rFont val="Tahoma"/>
            <family val="2"/>
          </rPr>
          <t>Planta de fabricación en la que se usa el material</t>
        </r>
      </text>
    </comment>
    <comment ref="T3" authorId="0" shapeId="0" xr:uid="{4F2FD78A-ED6F-4A6D-B6C8-3CD7456EABFC}">
      <text>
        <r>
          <rPr>
            <sz val="9"/>
            <color indexed="81"/>
            <rFont val="Tahoma"/>
            <family val="2"/>
          </rPr>
          <t>Definir si el coste es estimado, ofertado o existente en la base de datos de FAE</t>
        </r>
      </text>
    </comment>
    <comment ref="U3" authorId="1" shapeId="0" xr:uid="{36B6610E-D408-430B-8464-F62AE66152E1}">
      <text>
        <r>
          <rPr>
            <sz val="9"/>
            <color indexed="81"/>
            <rFont val="Tahoma"/>
            <family val="2"/>
          </rPr>
          <t>Coste del transporte del material. Este coste ya está incluido en el Margen Bruto Comercial. En caso de que el coste del transporte estimado supere el 3%, hay que incluirlo en esta columna</t>
        </r>
      </text>
    </comment>
    <comment ref="V3" authorId="1" shapeId="0" xr:uid="{9BCE124D-1FCC-4F0C-A262-26A27BB4DF96}">
      <text>
        <r>
          <rPr>
            <sz val="9"/>
            <color indexed="81"/>
            <rFont val="Tahoma"/>
            <family val="2"/>
          </rPr>
          <t xml:space="preserve">Los costes de no calidad estan incluidos dentro del Margen Bruto Comercial. Así que este valor puede ser 0%. </t>
        </r>
      </text>
    </comment>
    <comment ref="W3" authorId="0" shapeId="0" xr:uid="{62D4F167-4D2E-4F04-B7D4-C6631D1FE3BF}">
      <text>
        <r>
          <rPr>
            <sz val="9"/>
            <color indexed="81"/>
            <rFont val="Tahoma"/>
            <family val="2"/>
          </rPr>
          <t>Margen de beneficio que se le quiere dar al material.
En caso de materia prima de inyección contemplar una merma del 30% como mínimo.</t>
        </r>
      </text>
    </comment>
    <comment ref="X3" authorId="0" shapeId="0" xr:uid="{9460770A-F211-4EB8-A464-3D073432FB50}">
      <text>
        <r>
          <rPr>
            <sz val="9"/>
            <color indexed="81"/>
            <rFont val="Tahoma"/>
            <family val="2"/>
          </rPr>
          <t>Fluctuación permitida del índice de precio del material base. Este valor será generalmente del 5% però únicamente debe introducirse en los casos que el material base tenga mucha relevancia en el coste total del material/componente.</t>
        </r>
      </text>
    </comment>
    <comment ref="Y3" authorId="0" shapeId="0" xr:uid="{44A2C4F7-2561-4AD4-B16B-C2CF51F6F2BA}">
      <text>
        <r>
          <rPr>
            <sz val="9"/>
            <color indexed="81"/>
            <rFont val="Tahoma"/>
            <family val="2"/>
          </rPr>
          <t>Coste unitario del material por UoM y €</t>
        </r>
      </text>
    </comment>
    <comment ref="AF3" authorId="0" shapeId="0" xr:uid="{37DCAB17-F7CB-45F8-B90F-CBA40A9ABBB3}">
      <text>
        <r>
          <rPr>
            <sz val="9"/>
            <color indexed="81"/>
            <rFont val="Tahoma"/>
            <family val="2"/>
          </rPr>
          <t>Vínculo a la web o datos del componente/fabricante/proveedor</t>
        </r>
      </text>
    </comment>
    <comment ref="AG3" authorId="0" shapeId="0" xr:uid="{9DFE4FA5-755E-42BB-8E11-E91F371894CD}">
      <text>
        <r>
          <rPr>
            <sz val="9"/>
            <color indexed="81"/>
            <rFont val="Tahoma"/>
            <family val="2"/>
          </rPr>
          <t>Comentarios adicionales</t>
        </r>
      </text>
    </comment>
    <comment ref="AH3" authorId="0" shapeId="0" xr:uid="{7144F977-E7D1-4772-B554-00C74C35489E}">
      <text>
        <r>
          <rPr>
            <sz val="9"/>
            <color indexed="81"/>
            <rFont val="Tahoma"/>
            <family val="2"/>
          </rPr>
          <t>Vínculo al datasheet del material y/o referencias del documento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KOEN</author>
    <author>García, Koen</author>
  </authors>
  <commentList>
    <comment ref="B4" authorId="0" shapeId="0" xr:uid="{464791F1-C63E-4471-97A9-74BB33E00FC2}">
      <text>
        <r>
          <rPr>
            <sz val="9"/>
            <color indexed="81"/>
            <rFont val="Tahoma"/>
            <family val="2"/>
          </rPr>
          <t>Introducir número de fase del plan de trabajo actual o estimado</t>
        </r>
      </text>
    </comment>
    <comment ref="C4" authorId="0" shapeId="0" xr:uid="{DE092F7C-F444-4D03-A116-A441C2B4CC37}">
      <text>
        <r>
          <rPr>
            <sz val="9"/>
            <color indexed="81"/>
            <rFont val="Tahoma"/>
            <family val="2"/>
          </rPr>
          <t>Introducir la referencia del sub-grupo al que pertenece la fase</t>
        </r>
      </text>
    </comment>
    <comment ref="D4" authorId="0" shapeId="0" xr:uid="{78A49033-9472-4155-A42D-BF6724C228CB}">
      <text>
        <r>
          <rPr>
            <sz val="9"/>
            <color indexed="81"/>
            <rFont val="Tahoma"/>
            <family val="2"/>
          </rPr>
          <t>Descripción breve de la fase productiva</t>
        </r>
      </text>
    </comment>
    <comment ref="E4" authorId="0" shapeId="0" xr:uid="{9940F7F6-F1CD-46EF-A3F2-E02CA6C32916}">
      <text>
        <r>
          <rPr>
            <sz val="9"/>
            <color indexed="81"/>
            <rFont val="Tahoma"/>
            <family val="2"/>
          </rPr>
          <t>Lote de producción estimado para la fase productiva</t>
        </r>
      </text>
    </comment>
    <comment ref="F4" authorId="0" shapeId="0" xr:uid="{03C8B548-C424-4D6B-83A7-F79C68C11AB3}">
      <text>
        <r>
          <rPr>
            <sz val="9"/>
            <color indexed="81"/>
            <rFont val="Tahoma"/>
            <family val="2"/>
          </rPr>
          <t>Cantidad de operarios 100% dedicados durante toda la fase productiva</t>
        </r>
      </text>
    </comment>
    <comment ref="G4" authorId="0" shapeId="0" xr:uid="{B10E5C01-0C7A-45FE-9692-DD5ED72C798F}">
      <text>
        <r>
          <rPr>
            <sz val="9"/>
            <color indexed="81"/>
            <rFont val="Tahoma"/>
            <family val="2"/>
          </rPr>
          <t>Tiempo de ciclo estimado o real de la fase productiva, por lo general  no incluirá el OEE</t>
        </r>
      </text>
    </comment>
    <comment ref="H4" authorId="0" shapeId="0" xr:uid="{D12B7BD6-5857-4620-AF37-253FF5DC41BF}">
      <text>
        <r>
          <rPr>
            <sz val="9"/>
            <color indexed="81"/>
            <rFont val="Tahoma"/>
            <family val="2"/>
          </rPr>
          <t>Overall Equipment Effectiveness.
Fórmula: Disponibilidad*Rendimiento*Calidad
Ejemplo:
Para procesos manuales: 70-80%
Para inyecciones: 75-80%
Para procesos automáticos: 80-85%
Si Tciclo incluye OEE, este deberá ser 100%</t>
        </r>
      </text>
    </comment>
    <comment ref="I4" authorId="0" shapeId="0" xr:uid="{595FC6D2-4525-4583-B110-D149EB342E0D}">
      <text>
        <r>
          <rPr>
            <sz val="9"/>
            <color indexed="81"/>
            <rFont val="Tahoma"/>
            <family val="2"/>
          </rPr>
          <t>Tiempo estimado de cambio de modelo y/o utillaje</t>
        </r>
      </text>
    </comment>
    <comment ref="J4" authorId="0" shapeId="0" xr:uid="{2A8D3EB4-7D18-45E6-96BA-906A1EDB606F}">
      <text>
        <r>
          <rPr>
            <sz val="9"/>
            <color indexed="81"/>
            <rFont val="Tahoma"/>
            <family val="2"/>
          </rPr>
          <t>Rechazo previsto en la fase productiva</t>
        </r>
      </text>
    </comment>
    <comment ref="K4" authorId="0" shapeId="0" xr:uid="{7AD1E5CA-6FD4-45AF-9675-85BBFC5D63B3}">
      <text>
        <r>
          <rPr>
            <sz val="9"/>
            <color indexed="81"/>
            <rFont val="Tahoma"/>
            <family val="2"/>
          </rPr>
          <t>Margen de beneficio sobre la fase productiva.
En las fases de Cervera, considerar un margen del 3%</t>
        </r>
      </text>
    </comment>
    <comment ref="L4" authorId="0" shapeId="0" xr:uid="{F2A8BE73-0221-4EB9-8B1E-4E0364BB8C05}">
      <text>
        <r>
          <rPr>
            <sz val="9"/>
            <color indexed="81"/>
            <rFont val="Tahoma"/>
            <family val="2"/>
          </rPr>
          <t>Area productiva donde se realizará la fase</t>
        </r>
      </text>
    </comment>
    <comment ref="M4" authorId="0" shapeId="0" xr:uid="{E7B3E06B-50C7-480C-87FE-85481AC65FF1}">
      <text>
        <r>
          <rPr>
            <sz val="9"/>
            <color indexed="81"/>
            <rFont val="Tahoma"/>
            <family val="2"/>
          </rPr>
          <t>Código de máquina FAE, en caso de nueva máquina dejar en blanco</t>
        </r>
      </text>
    </comment>
    <comment ref="N4" authorId="1" shapeId="0" xr:uid="{D2887657-9D4D-469A-A593-343C534A42DE}">
      <text>
        <r>
          <rPr>
            <sz val="9"/>
            <color indexed="81"/>
            <rFont val="Tahoma"/>
            <family val="2"/>
          </rPr>
          <t xml:space="preserve">1) El coste máquina está dentro del Margen Bruto Comercial (MBC) como coste general tanto para FAE como para Cervera. 
2) Sólo incluir costes máquina para máquinas nuevas. 
3) Calcular según hoja de cálculo máquina.
</t>
        </r>
      </text>
    </comment>
    <comment ref="AG4" authorId="0" shapeId="0" xr:uid="{DB70420D-D160-4D63-9A15-EF7500F4C9D6}">
      <text>
        <r>
          <rPr>
            <sz val="9"/>
            <color indexed="81"/>
            <rFont val="Tahoma"/>
            <family val="2"/>
          </rPr>
          <t>Utillaje/s de producto o proceso que interviene en la fase productiva</t>
        </r>
      </text>
    </comment>
    <comment ref="AH4" authorId="0" shapeId="0" xr:uid="{6E6E0661-FCBA-4D51-8E9D-C61EF3965BA7}">
      <text>
        <r>
          <rPr>
            <sz val="9"/>
            <color indexed="81"/>
            <rFont val="Tahoma"/>
            <family val="2"/>
          </rPr>
          <t>ID de la IMO asociada a la fase productiva</t>
        </r>
      </text>
    </comment>
    <comment ref="AI4" authorId="0" shapeId="0" xr:uid="{C026D36B-F057-46AF-AC2B-EE42E19E9D0B}">
      <text>
        <r>
          <rPr>
            <sz val="9"/>
            <color indexed="81"/>
            <rFont val="Tahoma"/>
            <family val="2"/>
          </rPr>
          <t>ID de la IM asociada a la fase productiva</t>
        </r>
      </text>
    </comment>
    <comment ref="AJ4" authorId="0" shapeId="0" xr:uid="{86DF7DC2-6854-4B30-B571-875E81819BF8}">
      <text>
        <r>
          <rPr>
            <sz val="9"/>
            <color indexed="81"/>
            <rFont val="Tahoma"/>
            <family val="2"/>
          </rPr>
          <t>ID de la Hoja de parámetros asociada a la fase productiva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C5" authorId="0" shapeId="0" xr:uid="{E3D1D34D-07B4-493F-AE05-87D5F09DADF3}">
      <text>
        <r>
          <rPr>
            <sz val="9"/>
            <color indexed="81"/>
            <rFont val="Tahoma"/>
            <family val="2"/>
          </rPr>
          <t>Abreviatura de máquina, Inciales y mayúsculas del nombre de máquina</t>
        </r>
      </text>
    </comment>
    <comment ref="C6" authorId="0" shapeId="0" xr:uid="{52B318F7-127D-481D-B04A-E749397AD868}">
      <text>
        <r>
          <rPr>
            <sz val="9"/>
            <color indexed="81"/>
            <rFont val="Tahoma"/>
            <family val="2"/>
          </rPr>
          <t>Nombre completo de la máquina</t>
        </r>
      </text>
    </comment>
    <comment ref="C7" authorId="0" shapeId="0" xr:uid="{D0FC6296-39B3-4ACD-8B16-32FA65A61E53}">
      <text>
        <r>
          <rPr>
            <sz val="9"/>
            <color indexed="81"/>
            <rFont val="Tahoma"/>
            <family val="2"/>
          </rPr>
          <t>Area productiva donde se establecerá la máquina</t>
        </r>
      </text>
    </comment>
    <comment ref="C10" authorId="0" shapeId="0" xr:uid="{689993E4-CDB9-4DA3-A5D9-EC6ADC44CB7D}">
      <text>
        <r>
          <rPr>
            <sz val="9"/>
            <color indexed="81"/>
            <rFont val="Tahoma"/>
            <family val="2"/>
          </rPr>
          <t>Si la máquina tiene otros consumos energéticos, añadir el coste hora manualmente en esta casilla</t>
        </r>
      </text>
    </comment>
    <comment ref="C22" authorId="0" shapeId="0" xr:uid="{82C5463F-D698-4D6E-B7C2-07B86E1F2A27}">
      <text>
        <r>
          <rPr>
            <sz val="9"/>
            <color indexed="81"/>
            <rFont val="Tahoma"/>
            <family val="2"/>
          </rPr>
          <t>Introducir valor total en € de la inversión/coste inicial de la máquina</t>
        </r>
      </text>
    </comment>
    <comment ref="D27" authorId="0" shapeId="0" xr:uid="{208B40AE-722D-4BF9-9237-348082227C71}">
      <text>
        <r>
          <rPr>
            <sz val="9"/>
            <color indexed="81"/>
            <rFont val="Tahoma"/>
            <family val="2"/>
          </rPr>
          <t>Introducir consumo eléctrico de la máquina</t>
        </r>
      </text>
    </comment>
    <comment ref="C43" authorId="0" shapeId="0" xr:uid="{54418B8F-8F2C-463C-B304-843DAF123A0C}">
      <text>
        <r>
          <rPr>
            <sz val="9"/>
            <color indexed="81"/>
            <rFont val="Tahoma"/>
            <family val="2"/>
          </rPr>
          <t>Introducir el valor total en € del coste en comsumibles anual de la máquina</t>
        </r>
      </text>
    </comment>
    <comment ref="D44" authorId="0" shapeId="0" xr:uid="{FA21FC93-D5F7-45A0-B284-4FC9E33C115E}">
      <text>
        <r>
          <rPr>
            <sz val="9"/>
            <color indexed="81"/>
            <rFont val="Tahoma"/>
            <family val="2"/>
          </rPr>
          <t>Estimar el nº de horas que trabajará la máquina en un año</t>
        </r>
      </text>
    </comment>
    <comment ref="D50" authorId="0" shapeId="0" xr:uid="{92331F85-6E6F-4F13-AD6A-9F64632BFA7C}">
      <text>
        <r>
          <rPr>
            <sz val="9"/>
            <color indexed="81"/>
            <rFont val="Tahoma"/>
            <family val="2"/>
          </rPr>
          <t>Ocupación en m2 de la máquina</t>
        </r>
      </text>
    </comment>
    <comment ref="C53" authorId="0" shapeId="0" xr:uid="{E45746E0-0115-46AD-8BD1-D736B1592706}">
      <text>
        <r>
          <rPr>
            <sz val="9"/>
            <color indexed="81"/>
            <rFont val="Tahoma"/>
            <family val="2"/>
          </rPr>
          <t>Calcular los costes de cada máquina en la tabla de arriba y pegar los valores (sin formato) en las tablas númeradas del 1 al 10 para todas las máquinas nuevas del proyecto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B3" authorId="0" shapeId="0" xr:uid="{16620525-59F6-4E9C-9CAE-CA2F8DDB8C5F}">
      <text>
        <r>
          <rPr>
            <sz val="9"/>
            <color indexed="81"/>
            <rFont val="Tahoma"/>
            <family val="2"/>
          </rPr>
          <t>Seleccionar fase a la que pertenece la inversión</t>
        </r>
      </text>
    </comment>
    <comment ref="C3" authorId="0" shapeId="0" xr:uid="{7C2C75EB-A1D5-484A-9BDE-4B86472F1FEA}">
      <text>
        <r>
          <rPr>
            <sz val="9"/>
            <color indexed="81"/>
            <rFont val="Tahoma"/>
            <family val="2"/>
          </rPr>
          <t>Descripción breve del utillaje, máquina, galga o item de proyecto</t>
        </r>
      </text>
    </comment>
    <comment ref="D3" authorId="0" shapeId="0" xr:uid="{78087954-A264-428A-98E1-3487D4FCAC3C}">
      <text>
        <r>
          <rPr>
            <sz val="9"/>
            <color indexed="81"/>
            <rFont val="Tahoma"/>
            <family val="2"/>
          </rPr>
          <t>Seleccionar la tipología del gasto o inversión</t>
        </r>
      </text>
    </comment>
    <comment ref="E3" authorId="0" shapeId="0" xr:uid="{D25C706D-9BC6-4583-8DC5-7F9B15068BA1}">
      <text>
        <r>
          <rPr>
            <sz val="9"/>
            <color indexed="81"/>
            <rFont val="Tahoma"/>
            <family val="2"/>
          </rPr>
          <t>En caso de conocimiento, introducir el nombre del proveedor previsto</t>
        </r>
      </text>
    </comment>
    <comment ref="F3" authorId="0" shapeId="0" xr:uid="{AA64843A-8F6E-4EEF-B9F7-D67AF3D37B5F}">
      <text>
        <r>
          <rPr>
            <sz val="9"/>
            <color indexed="81"/>
            <rFont val="Tahoma"/>
            <family val="2"/>
          </rPr>
          <t>Seleccionar tipología de la estimación</t>
        </r>
      </text>
    </comment>
    <comment ref="G3" authorId="0" shapeId="0" xr:uid="{7E5C6DD0-5EAE-49F8-97D9-18D965B65167}">
      <text>
        <r>
          <rPr>
            <sz val="9"/>
            <color indexed="81"/>
            <rFont val="Tahoma"/>
            <family val="2"/>
          </rPr>
          <t>Valor total neto de la inversión o coste</t>
        </r>
      </text>
    </comment>
    <comment ref="H3" authorId="0" shapeId="0" xr:uid="{F5ADED06-BF50-4AA8-A30E-F3CC5D6797FD}">
      <text>
        <r>
          <rPr>
            <sz val="9"/>
            <color indexed="81"/>
            <rFont val="Tahoma"/>
            <family val="2"/>
          </rPr>
          <t>Margen de contingencia y/o ajuste modificaciones previstas.
Normalmente 10%.</t>
        </r>
      </text>
    </comment>
    <comment ref="I3" authorId="0" shapeId="0" xr:uid="{4D4AC18C-2A6C-4F4E-881D-3B544D875310}">
      <text>
        <r>
          <rPr>
            <sz val="9"/>
            <color indexed="81"/>
            <rFont val="Tahoma"/>
            <family val="2"/>
          </rPr>
          <t>Coste previsto del transporte.
En caso de moldes en aéreo y de Asia, 750€</t>
        </r>
      </text>
    </comment>
    <comment ref="K3" authorId="0" shapeId="0" xr:uid="{724572FF-EC34-475A-87CD-4D6D539E2BD3}">
      <text>
        <r>
          <rPr>
            <sz val="9"/>
            <color indexed="81"/>
            <rFont val="Tahoma"/>
            <family val="2"/>
          </rPr>
          <t>Último propietario delm utillaje/máquina.
Para gastos de proyecto tipo PPAP, Horas, el propietario en general será el cliente</t>
        </r>
      </text>
    </comment>
    <comment ref="L3" authorId="0" shapeId="0" xr:uid="{E56654C7-1541-4EBC-8332-2D6F15FDC209}">
      <text>
        <r>
          <rPr>
            <sz val="9"/>
            <color indexed="81"/>
            <rFont val="Tahoma"/>
            <family val="2"/>
          </rPr>
          <t>Cantidad prevista que abonará cliente. La suma de esta columna será, como mínimo, la inversión que se debe ofertar a cliente.</t>
        </r>
      </text>
    </comment>
    <comment ref="M3" authorId="0" shapeId="0" xr:uid="{0108ADFE-1F48-4BAC-851F-D5BC8A3FFFE4}">
      <text>
        <r>
          <rPr>
            <sz val="9"/>
            <color indexed="81"/>
            <rFont val="Tahoma"/>
            <family val="2"/>
          </rPr>
          <t>Interés anual para cálculo amortizaciones, normalmente un 3%</t>
        </r>
      </text>
    </comment>
    <comment ref="N3" authorId="0" shapeId="0" xr:uid="{00E0C2D8-EC6D-4EBC-9CF0-84D76B15A667}">
      <text>
        <r>
          <rPr>
            <sz val="9"/>
            <color indexed="81"/>
            <rFont val="Tahoma"/>
            <family val="2"/>
          </rPr>
          <t>Definir si la amortización se realizará por número de años y average anual de piezas o por total de piezas (columna P)</t>
        </r>
      </text>
    </comment>
    <comment ref="O3" authorId="0" shapeId="0" xr:uid="{9AA70EE2-36D8-4011-921A-C852FC2788E3}">
      <text>
        <r>
          <rPr>
            <sz val="9"/>
            <color indexed="81"/>
            <rFont val="Tahoma"/>
            <family val="2"/>
          </rPr>
          <t>Años previstos para amortizar</t>
        </r>
      </text>
    </comment>
    <comment ref="P3" authorId="0" shapeId="0" xr:uid="{B908EB20-68C7-42A8-B719-DE7624B8A14D}">
      <text>
        <r>
          <rPr>
            <sz val="9"/>
            <color indexed="81"/>
            <rFont val="Tahoma"/>
            <family val="2"/>
          </rPr>
          <t>Cantidad de piezas a amortizar (sin tener en cuenta años ni EAU)</t>
        </r>
      </text>
    </comment>
    <comment ref="C35" authorId="0" shapeId="0" xr:uid="{F70F5501-FBD2-4C3C-AF73-25E9E003B52C}">
      <text>
        <r>
          <rPr>
            <sz val="9"/>
            <color indexed="81"/>
            <rFont val="Tahoma"/>
            <family val="2"/>
          </rPr>
          <t>Lead time de proyecto estimado hasta SOP</t>
        </r>
      </text>
    </comment>
    <comment ref="D39" authorId="0" shapeId="0" xr:uid="{C958FC0B-EE8C-4D3E-AEF2-1D535132D16A}">
      <text>
        <r>
          <rPr>
            <sz val="9"/>
            <color indexed="81"/>
            <rFont val="Tahoma"/>
            <family val="2"/>
          </rPr>
          <t>Porcentaje de dedicación previsto durante la jornada laboral y durante el plazo del proyecto según "Project time(months)"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C108" authorId="0" shapeId="0" xr:uid="{57D67B77-D26B-43DA-8B39-DEDBA0F5D5E5}">
      <text>
        <r>
          <rPr>
            <sz val="9"/>
            <color indexed="81"/>
            <rFont val="Tahoma"/>
            <family val="2"/>
          </rPr>
          <t>Introducir manualmente el Part Price previsto para calcular el MBC deseado. Este no será el precio final, debido a que faltará añadir el coste de amortización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KOEN</author>
  </authors>
  <commentList>
    <comment ref="P3" authorId="0" shapeId="0" xr:uid="{3268B464-5AAD-4C8B-B426-CBC11C37E766}">
      <text>
        <r>
          <rPr>
            <sz val="9"/>
            <color indexed="81"/>
            <rFont val="Tahoma"/>
            <family val="2"/>
          </rPr>
          <t>Introducir fecha en la que se acuerda el precio de venta en interno previo a la oferta</t>
        </r>
      </text>
    </comment>
    <comment ref="H6" authorId="0" shapeId="0" xr:uid="{722E6F9F-D3A5-424F-B6DC-ABCB125EED98}">
      <text>
        <r>
          <rPr>
            <sz val="9"/>
            <color indexed="81"/>
            <rFont val="Tahoma"/>
            <family val="2"/>
          </rPr>
          <t>Introducir el part price deseado para analizar el MBC, VAN y TIR del proyecto.</t>
        </r>
      </text>
    </comment>
    <comment ref="C12" authorId="0" shapeId="0" xr:uid="{AE327FA1-4227-4DAE-B7DC-F9C5563FCA4D}">
      <text>
        <r>
          <rPr>
            <sz val="9"/>
            <color indexed="81"/>
            <rFont val="Tahoma"/>
            <family val="2"/>
          </rPr>
          <t>Introducir volúmenes previstos por año teniendo en cuenta el ramp-up</t>
        </r>
      </text>
    </comment>
  </commentList>
</comments>
</file>

<file path=xl/sharedStrings.xml><?xml version="1.0" encoding="utf-8"?>
<sst xmlns="http://schemas.openxmlformats.org/spreadsheetml/2006/main" count="2288" uniqueCount="1087">
  <si>
    <t>AYUDA / HELP</t>
  </si>
  <si>
    <t>Procedimiento documento</t>
  </si>
  <si>
    <t>NO editar las casillas coloreadas en gris</t>
  </si>
  <si>
    <t>0. Change Control</t>
  </si>
  <si>
    <t>1)</t>
  </si>
  <si>
    <t>Introducir los datos de entrada las casillas en blanco de la cabecera de la hoja de cálculo "0. Change Control"</t>
  </si>
  <si>
    <t>2)</t>
  </si>
  <si>
    <t>Intoducir la información de la versión del documento en las casillas en blanco de la tabla de la hoja de cálculo "0. Change Control".</t>
  </si>
  <si>
    <t>1.1. Bill of materials</t>
  </si>
  <si>
    <t>3)</t>
  </si>
  <si>
    <t xml:space="preserve">Introducir, como mínimo, la información del BOM, costes y los datos de un proveedor principal para todos los materiales en la hoja de cálculo "1.1. Bill of materials". </t>
  </si>
  <si>
    <t>En caso de disponer de la información de proveedores alterntivos, rellenar las columnas de 'Alternative sources'</t>
  </si>
  <si>
    <t>Por norma general el rechazo de los materiales será del 1% y, en caso de inyecciones la merma será del 30%.</t>
  </si>
  <si>
    <t>Por norma general el transporte de los materiales será del 0%. Únicamente si el coste del transporte estimado es superior al 3%, se pondrá el valor (aduanas, envío Asia…)</t>
  </si>
  <si>
    <t>1.2. Working plan</t>
  </si>
  <si>
    <t>4)</t>
  </si>
  <si>
    <t>Introudcir los datos del plan de trabajo de FAE y FAE Cervera en la hoja de cálculo "1.2. Working plan".</t>
  </si>
  <si>
    <t>Si los datos disponibles de Tciclo (Pcs/h) són reales y tienen en cuenta el OEE, añadir un valor de OEE del 100%.</t>
  </si>
  <si>
    <t>Por norma general el rechazo de las fases productivas será del 1% y, en caso de inyecciones del 5%.</t>
  </si>
  <si>
    <t>Los costes de amortización de máquina se contemplan en el Margen Bruto Comercial y por lo tanto no hay que incluirlos en esta hoja de cálculo.</t>
  </si>
  <si>
    <t>Para las nuevas máquinas sí que habrá que incluir los costesrelativos al consumo, ocupación, mantenimiento... Crearlas en la hoja "1.3 Machine Cost Sheet" y copiar datos.</t>
  </si>
  <si>
    <t>1.3. Machine Cost Sheet</t>
  </si>
  <si>
    <t>5)</t>
  </si>
  <si>
    <t>Crear cualquier máquina nueva necesaria para hacer frente al proceso productivo y capacidad requeridas en la hoja de cálculo "1.3. Machine Cost Sheet"</t>
  </si>
  <si>
    <t>Introducir los datos de costes de cada máquina nueva en las 10 tablas disponibles para guardar dicha información.</t>
  </si>
  <si>
    <t>1.4. Investments &amp; Development</t>
  </si>
  <si>
    <t>6)</t>
  </si>
  <si>
    <t>Definir todas las inversiones de producto (off-tool), proceso (off-process), proyecto, desarrollo y validación del proyecto en la hoja de cálculo "1.4. Investments &amp; Development"</t>
  </si>
  <si>
    <t>Calcular los costes de desarrollo (horas de dedicación) en la tabla "Development Base calculation"</t>
  </si>
  <si>
    <t>Calcular los costes de validación de producto en la tabla "Validation Plan Base calculation"</t>
  </si>
  <si>
    <t>2.Cost Summary</t>
  </si>
  <si>
    <t>7)</t>
  </si>
  <si>
    <t>Introducir comentarios en las casillas de remarks en caso de necesidad.</t>
  </si>
  <si>
    <t>Introducir el precio de venta estimado en la casilla coloreada en amarillo. Jugar con este valor para obtener el MBC deseado.</t>
  </si>
  <si>
    <t>3. Price decision matrix</t>
  </si>
  <si>
    <t>8)</t>
  </si>
  <si>
    <t>Introducir el precio de venta estimado y analizar el VAN, TIR y MBC resultantes.</t>
  </si>
  <si>
    <t>Introducir la fecha de acuerdo/revisión con dirección del precio de venta aceptado previo a la cotización oficial a cliente.</t>
  </si>
  <si>
    <t>4. Quote</t>
  </si>
  <si>
    <t>9)</t>
  </si>
  <si>
    <t>Rellenar la plantilla de la oferta según el precio de venta acordado con dirección y las inversiones previstas a abonar por cliente.</t>
  </si>
  <si>
    <t>ACRONIMO</t>
  </si>
  <si>
    <t>MEANING</t>
  </si>
  <si>
    <t>Descripción en español</t>
  </si>
  <si>
    <t>ABPS</t>
  </si>
  <si>
    <t>pneumatic stop light switch</t>
  </si>
  <si>
    <t>interruptor neumático para luz de freno</t>
  </si>
  <si>
    <t>ABS</t>
  </si>
  <si>
    <t>Antilock Brake System</t>
  </si>
  <si>
    <t>Sistema Antibloqueo de Frenos</t>
  </si>
  <si>
    <t>ABSV</t>
  </si>
  <si>
    <t>Air Bypass Solenoid Valve (Mazda)</t>
  </si>
  <si>
    <t>Electroválvula de Paso de Aire</t>
  </si>
  <si>
    <t>ACCC</t>
  </si>
  <si>
    <t>A/C Compressor Clutch</t>
  </si>
  <si>
    <t>ACT</t>
  </si>
  <si>
    <t>Air Charge Temperature sensor</t>
  </si>
  <si>
    <t>AFC</t>
  </si>
  <si>
    <t>Air-Flow Controlled</t>
  </si>
  <si>
    <t>AFM</t>
  </si>
  <si>
    <t>Air Flow Meter</t>
  </si>
  <si>
    <t>Medidor de Flujo de Aire</t>
  </si>
  <si>
    <t>AFR</t>
  </si>
  <si>
    <t>Air/fuel ratio</t>
  </si>
  <si>
    <t>AFS</t>
  </si>
  <si>
    <t>Air Flow Sensor</t>
  </si>
  <si>
    <t>AI</t>
  </si>
  <si>
    <t>Air Injection</t>
  </si>
  <si>
    <t>AIS</t>
  </si>
  <si>
    <t>Automatic Idle Speed Motor</t>
  </si>
  <si>
    <t>APS</t>
  </si>
  <si>
    <t>Absolute Pressure Sensor (GM)</t>
  </si>
  <si>
    <t>Sensor de Presión Absoluta (GM)</t>
  </si>
  <si>
    <t>pneumatic pressure switch</t>
  </si>
  <si>
    <t>ARLS</t>
  </si>
  <si>
    <t>pneumatic reversing light switch</t>
  </si>
  <si>
    <t>interruptor neumático para luz marcha atrás</t>
  </si>
  <si>
    <t>AS</t>
  </si>
  <si>
    <t>Airflow Sensor</t>
  </si>
  <si>
    <t>ATS</t>
  </si>
  <si>
    <t>Air Temperature Sensor</t>
  </si>
  <si>
    <t>BARO</t>
  </si>
  <si>
    <t>Barometric Pressure</t>
  </si>
  <si>
    <t>Presión Barométrica</t>
  </si>
  <si>
    <t>BHS</t>
  </si>
  <si>
    <t>Bi-Metal Heat Sensor</t>
  </si>
  <si>
    <t>BLPS</t>
  </si>
  <si>
    <t>Brake lock presence sensor</t>
  </si>
  <si>
    <t>BMAP</t>
  </si>
  <si>
    <t>Barometric and Manifold Absolute Pressure sensor</t>
  </si>
  <si>
    <t>BPA</t>
  </si>
  <si>
    <t>By-Pass Air solenoid</t>
  </si>
  <si>
    <t>BPEGR</t>
  </si>
  <si>
    <t>Backpressure EGR</t>
  </si>
  <si>
    <t>BPPS</t>
  </si>
  <si>
    <t>Brake pedal position switch</t>
  </si>
  <si>
    <t>Interrupto Posición de Pedal de Freno</t>
  </si>
  <si>
    <t>BPS</t>
  </si>
  <si>
    <t>Barometric Pressure Sensor</t>
  </si>
  <si>
    <t>CAS</t>
  </si>
  <si>
    <t>Crank Angle Sensor</t>
  </si>
  <si>
    <t>Sensor de Ángulo de Manivela</t>
  </si>
  <si>
    <t>CCEVS</t>
  </si>
  <si>
    <t>Coolant Controlled Engine Vacuum Switch</t>
  </si>
  <si>
    <t>CES</t>
  </si>
  <si>
    <t>Clutch Engine Switch</t>
  </si>
  <si>
    <t>CESS</t>
  </si>
  <si>
    <t>Cold Engine Sensor Switch</t>
  </si>
  <si>
    <t>Interruptor de Sensor de Motor Frío</t>
  </si>
  <si>
    <t>CKP</t>
  </si>
  <si>
    <t>Crankshaft Position Sensor</t>
  </si>
  <si>
    <t>Sensor de Posición del Cigüeñal</t>
  </si>
  <si>
    <t>CMP</t>
  </si>
  <si>
    <t>Camshaft Position Sensor</t>
  </si>
  <si>
    <t>Sensor de Posición de arbol de levas</t>
  </si>
  <si>
    <t>CPP</t>
  </si>
  <si>
    <t>Clutch Pedal Position</t>
  </si>
  <si>
    <t>Posición del Pedal del Embrague</t>
  </si>
  <si>
    <t>CTO</t>
  </si>
  <si>
    <t>Coolant Temperature Override switch</t>
  </si>
  <si>
    <t>CTS</t>
  </si>
  <si>
    <t>Coolant Temperature Sensor; Coolant Temperature Switch</t>
  </si>
  <si>
    <t>CTVS</t>
  </si>
  <si>
    <t>Choke Thermal Vacuum Switch</t>
  </si>
  <si>
    <t>DEPS</t>
  </si>
  <si>
    <t>Digital Engine Position Sensor</t>
  </si>
  <si>
    <t>EEGR</t>
  </si>
  <si>
    <t>Electronic EGR valve</t>
  </si>
  <si>
    <t>EFC</t>
  </si>
  <si>
    <t>Electronic Feedback Carburetor; Electronic Fuel Control</t>
  </si>
  <si>
    <t>EFE</t>
  </si>
  <si>
    <t>Early Fuel Evaporation</t>
  </si>
  <si>
    <t>EFE TVS </t>
  </si>
  <si>
    <t>EFE Thermal Vacuum Switch</t>
  </si>
  <si>
    <t>EFI</t>
  </si>
  <si>
    <t>Electronic Fuel Injection</t>
  </si>
  <si>
    <t>EGO</t>
  </si>
  <si>
    <t>Exhaust Gas Oxygen sensor</t>
  </si>
  <si>
    <t>EGR</t>
  </si>
  <si>
    <t>Exhaust Gas Recirculation</t>
  </si>
  <si>
    <t>Recirculación de Gases de Escape</t>
  </si>
  <si>
    <t>EGRPS</t>
  </si>
  <si>
    <t>EGR Valve Position Sensor (Mazda)</t>
  </si>
  <si>
    <t>Sensor de Posición de Válvula EGR (Mazda)</t>
  </si>
  <si>
    <t>EGR-SV</t>
  </si>
  <si>
    <t>EGR Solenoid Valve (Mazda)</t>
  </si>
  <si>
    <t>EGR Electroválvula (Mazda)</t>
  </si>
  <si>
    <t>EGRT</t>
  </si>
  <si>
    <t>Egr Temperature</t>
  </si>
  <si>
    <t>Temperatura de Recirculación de Gases de Escape</t>
  </si>
  <si>
    <t>EGRTV</t>
  </si>
  <si>
    <t>EGR Thermo Valve (Chrysler)</t>
  </si>
  <si>
    <t>Válvula de Termo EGR (Chrysler)</t>
  </si>
  <si>
    <t>EGRTVV</t>
  </si>
  <si>
    <t>Válvula Térmica de Vacio Para Recirculación de Gases de Escape</t>
  </si>
  <si>
    <t>EGTS</t>
  </si>
  <si>
    <t>EGTS (exhaust gas temperature sensor)</t>
  </si>
  <si>
    <t>EOS</t>
  </si>
  <si>
    <t>Exhaust Oxygen Sensor</t>
  </si>
  <si>
    <t>Sensor de Oxígeno de Escape</t>
  </si>
  <si>
    <t>EOT</t>
  </si>
  <si>
    <t>Temperatura de Aceite de Motor</t>
  </si>
  <si>
    <t>ERS</t>
  </si>
  <si>
    <t>Engine Rpm Sensor</t>
  </si>
  <si>
    <t>ESS</t>
  </si>
  <si>
    <t>Engine Speed Sensor</t>
  </si>
  <si>
    <t>EST</t>
  </si>
  <si>
    <t>Electronic Spark Timing system</t>
  </si>
  <si>
    <t>ETC</t>
  </si>
  <si>
    <t>Electronic Throttle Control</t>
  </si>
  <si>
    <t>EVP</t>
  </si>
  <si>
    <t>EGR Valve Position sensor</t>
  </si>
  <si>
    <t>FC</t>
  </si>
  <si>
    <t>Fan Control</t>
  </si>
  <si>
    <t>Control del Abanico o Ventilador</t>
  </si>
  <si>
    <t>FLS</t>
  </si>
  <si>
    <t>Fluid Level Sensor (GM)</t>
  </si>
  <si>
    <t>Sensor de Nivel de Líquido (GM)</t>
  </si>
  <si>
    <t>GPS</t>
  </si>
  <si>
    <t>Gear Position Sensor</t>
  </si>
  <si>
    <t>HEGO</t>
  </si>
  <si>
    <t>Heated Exhaust Gas Oxygen Sensor</t>
  </si>
  <si>
    <t>Sensor de Oxígeno de Gas de Escape Climatizada</t>
  </si>
  <si>
    <t>HO2S</t>
  </si>
  <si>
    <t>Heated Oxygen Sensor</t>
  </si>
  <si>
    <t>Sensor de Oxigeno Calentado</t>
  </si>
  <si>
    <t>HO2S1</t>
  </si>
  <si>
    <t>Upstream Heated Oxygen Sensor</t>
  </si>
  <si>
    <t>Sensor de Oxígeno Climatizada Upstream</t>
  </si>
  <si>
    <t>HO2S2</t>
  </si>
  <si>
    <t>Up or Downstream Heated Oxygen Sensor</t>
  </si>
  <si>
    <t>Sensor de Oxígeno Climatizada Arriba o Indirecto</t>
  </si>
  <si>
    <t>HO2S3</t>
  </si>
  <si>
    <t>Downstream Heated Oxygen Sensor</t>
  </si>
  <si>
    <t>Sensor de Oxígeno Climatizada Downstream</t>
  </si>
  <si>
    <t>HSS</t>
  </si>
  <si>
    <t>hydraulic stop light switch</t>
  </si>
  <si>
    <t>interruptor pare hidráulico</t>
  </si>
  <si>
    <t>HSS2</t>
  </si>
  <si>
    <t>hydraulic stop light switch double chamber</t>
  </si>
  <si>
    <t>interruptor pare hidráulico, doble cámara</t>
  </si>
  <si>
    <t>IATS</t>
  </si>
  <si>
    <t>Intake Air Temperature Sensor</t>
  </si>
  <si>
    <t>Sensor Temperatura de la Entrada de Aire</t>
  </si>
  <si>
    <t>IC</t>
  </si>
  <si>
    <t>ignition coil</t>
  </si>
  <si>
    <t>bobinas alta tensión</t>
  </si>
  <si>
    <t>ICS</t>
  </si>
  <si>
    <t>Idle Control Solenoid (GM)</t>
  </si>
  <si>
    <t>Electroválvula de Control Inactivo (GM)</t>
  </si>
  <si>
    <t>IGP</t>
  </si>
  <si>
    <t>glow plug 12V</t>
  </si>
  <si>
    <t>calentador blindado de 12V</t>
  </si>
  <si>
    <t>IMVC</t>
  </si>
  <si>
    <t>Intake Manifold Vacuum Control</t>
  </si>
  <si>
    <t>ISC</t>
  </si>
  <si>
    <t>Idle Speed Control</t>
  </si>
  <si>
    <t>Control de Velocidad en Ralentí</t>
  </si>
  <si>
    <t>ITCS</t>
  </si>
  <si>
    <t>Ignition Timing Control System (Honda)</t>
  </si>
  <si>
    <t>Sistema de Control de Tiempo de Ignición (Honda)</t>
  </si>
  <si>
    <t>KS</t>
  </si>
  <si>
    <t>Knock Sensor</t>
  </si>
  <si>
    <t>Sensor de Detonación</t>
  </si>
  <si>
    <t>MAF</t>
  </si>
  <si>
    <t>Mass Airflow Sensor</t>
  </si>
  <si>
    <t>Sensor de Masa del Flujo de Aire</t>
  </si>
  <si>
    <t>MAP</t>
  </si>
  <si>
    <t>Manifold Absolute Pressure Sensor</t>
  </si>
  <si>
    <t>Sensor de Presión Absoluta del Múltiple</t>
  </si>
  <si>
    <t>MAT</t>
  </si>
  <si>
    <t>Manifold Absolute Temperature Sensor</t>
  </si>
  <si>
    <t>MBPS</t>
  </si>
  <si>
    <t>mechanical stop light switch</t>
  </si>
  <si>
    <t>interruptor mecánico para luz de freno</t>
  </si>
  <si>
    <t>MCT</t>
  </si>
  <si>
    <t>Manifold Charge Temperature Sensor</t>
  </si>
  <si>
    <t>MDP</t>
  </si>
  <si>
    <t>Manifold Differential Pressure</t>
  </si>
  <si>
    <t>Presión Diferencial de Múltiple</t>
  </si>
  <si>
    <t>MRLS</t>
  </si>
  <si>
    <t>mechanical reversing light switch</t>
  </si>
  <si>
    <t>interruptor mecánico para luz de marcha atrás</t>
  </si>
  <si>
    <t>MST</t>
  </si>
  <si>
    <t>Manifold Surface Temperature</t>
  </si>
  <si>
    <t>Temperatura de Superficie Múltiple</t>
  </si>
  <si>
    <t>OPS</t>
  </si>
  <si>
    <t>Oil Pressure Switch</t>
  </si>
  <si>
    <t>Transmisor presión aceite</t>
  </si>
  <si>
    <t>Oil pressure switch</t>
  </si>
  <si>
    <t>Manocontacto presión de aceite</t>
  </si>
  <si>
    <t>OS</t>
  </si>
  <si>
    <t>Oxygen Sensor</t>
  </si>
  <si>
    <t>Sensor de Oxigeno</t>
  </si>
  <si>
    <t>OTS</t>
  </si>
  <si>
    <t>Oil Temperature sensor</t>
  </si>
  <si>
    <t>OTVS</t>
  </si>
  <si>
    <t>Oil Thermal Vacuum Switch</t>
  </si>
  <si>
    <t>SS</t>
  </si>
  <si>
    <t>Speed Sensor (Honda)</t>
  </si>
  <si>
    <t>SV</t>
  </si>
  <si>
    <t>Solenoid valve</t>
  </si>
  <si>
    <t>Válvula solenoide</t>
  </si>
  <si>
    <t>TA</t>
  </si>
  <si>
    <t>Temperature Air (Honda)</t>
  </si>
  <si>
    <t>Temperatura Aire (Honda)</t>
  </si>
  <si>
    <t>TES</t>
  </si>
  <si>
    <t>Thermal Electric Switch</t>
  </si>
  <si>
    <t>TFP</t>
  </si>
  <si>
    <t>Throttle Fluid Pressure</t>
  </si>
  <si>
    <t>Presión del Fluido de la Garganta de Aceleración</t>
  </si>
  <si>
    <t>TMAP</t>
  </si>
  <si>
    <t>Thermal and manifold absolute pressure sensor</t>
  </si>
  <si>
    <t>TPS</t>
  </si>
  <si>
    <t>Throttle Position Sensor</t>
  </si>
  <si>
    <t>Sensor de Posición de la Garganta de Aceleración</t>
  </si>
  <si>
    <t>VAT</t>
  </si>
  <si>
    <t>Vane Air Temperature sensor</t>
  </si>
  <si>
    <t>VSC</t>
  </si>
  <si>
    <t>Vehicle Speed Control Sensor</t>
  </si>
  <si>
    <t>VSS</t>
  </si>
  <si>
    <t>Vehicle Speed Sensor</t>
  </si>
  <si>
    <t>Sensor de Velocidad del Vehículo</t>
  </si>
  <si>
    <t>WSS</t>
  </si>
  <si>
    <t>Wheel Speed Sensor</t>
  </si>
  <si>
    <t>Sensor de Velocidad de la Rueda</t>
  </si>
  <si>
    <t>ZZ</t>
  </si>
  <si>
    <t>Gadgets - Various</t>
  </si>
  <si>
    <t>IF-334 (27/05/2025)</t>
  </si>
  <si>
    <t>Change control</t>
  </si>
  <si>
    <t>PROJECT &amp; PRODUCT INFORMATION</t>
  </si>
  <si>
    <t>INPUT INFO:</t>
  </si>
  <si>
    <t>EAU:</t>
  </si>
  <si>
    <t>Product type:</t>
  </si>
  <si>
    <t>Creation date:</t>
  </si>
  <si>
    <t>Lifetime (years):</t>
  </si>
  <si>
    <t>PN FAE:</t>
  </si>
  <si>
    <t>Author:</t>
  </si>
  <si>
    <t>Customer:</t>
  </si>
  <si>
    <t>PN Customer:</t>
  </si>
  <si>
    <t>Year cost database:</t>
  </si>
  <si>
    <t>SOP:</t>
  </si>
  <si>
    <t>Project Nº:</t>
  </si>
  <si>
    <t>Project Type:</t>
  </si>
  <si>
    <t>OEM</t>
  </si>
  <si>
    <t>EOP:</t>
  </si>
  <si>
    <t>Project name:</t>
  </si>
  <si>
    <t>Modification date:</t>
  </si>
  <si>
    <t>Issue</t>
  </si>
  <si>
    <t>Date</t>
  </si>
  <si>
    <t>Author</t>
  </si>
  <si>
    <t>Modification details</t>
  </si>
  <si>
    <t>Total Cost</t>
  </si>
  <si>
    <t>Cost of Bill of Materials</t>
  </si>
  <si>
    <t>MATERIAL INFORMATION</t>
  </si>
  <si>
    <t>SUPPLIER DETAILS</t>
  </si>
  <si>
    <t>COSTING BASE INFORMATION</t>
  </si>
  <si>
    <t>SUMMARY OF COSTS</t>
  </si>
  <si>
    <t>REMARKS &amp; COMMENTS</t>
  </si>
  <si>
    <t>ALTERNATIVE SOURCES</t>
  </si>
  <si>
    <t>Sr. No.</t>
  </si>
  <si>
    <t>Nivel BOM</t>
  </si>
  <si>
    <t>Cantidad por pieza</t>
  </si>
  <si>
    <t>FAE PN</t>
  </si>
  <si>
    <t>Descripción del material</t>
  </si>
  <si>
    <t>Tipo de Material</t>
  </si>
  <si>
    <t>Fabricante</t>
  </si>
  <si>
    <t>Fabricante PN</t>
  </si>
  <si>
    <t>Proveedor</t>
  </si>
  <si>
    <t>Proveedor PN</t>
  </si>
  <si>
    <t>Divisa</t>
  </si>
  <si>
    <t>Lote</t>
  </si>
  <si>
    <t>UOM</t>
  </si>
  <si>
    <t>Coste Unitario</t>
  </si>
  <si>
    <t>Cambio divisa a €</t>
  </si>
  <si>
    <t>Material Base</t>
  </si>
  <si>
    <t>Índice precio material</t>
  </si>
  <si>
    <t>Planta uso</t>
  </si>
  <si>
    <t>Tipo de coste</t>
  </si>
  <si>
    <t>Coste del transporte (%)</t>
  </si>
  <si>
    <t>Rechazo (%)</t>
  </si>
  <si>
    <t>Margen o merma (%)</t>
  </si>
  <si>
    <t>Fluctuación material (%)</t>
  </si>
  <si>
    <t>Coste Unitario por UOM (€)</t>
  </si>
  <si>
    <t>Coste bruto del material por pieza (€)</t>
  </si>
  <si>
    <t>Coste del transporte (€)</t>
  </si>
  <si>
    <t>Coste del rechazo (€)</t>
  </si>
  <si>
    <t>Margen o merma (€)</t>
  </si>
  <si>
    <t>Fluctuación material (€)</t>
  </si>
  <si>
    <t>Material Neto (€/pc)</t>
  </si>
  <si>
    <t>Link</t>
  </si>
  <si>
    <t>Remarks</t>
  </si>
  <si>
    <t>Datasheet</t>
  </si>
  <si>
    <t>BOM Level</t>
  </si>
  <si>
    <t>Quantity per piece</t>
  </si>
  <si>
    <t>Item Description</t>
  </si>
  <si>
    <t>Material type</t>
  </si>
  <si>
    <t>Manufacturer</t>
  </si>
  <si>
    <t>Manufacturer PN</t>
  </si>
  <si>
    <t>Supplier</t>
  </si>
  <si>
    <t>Supplier PN</t>
  </si>
  <si>
    <t>Currency</t>
  </si>
  <si>
    <t>Batch size</t>
  </si>
  <si>
    <t>Unitary cost</t>
  </si>
  <si>
    <t>Exchange rate to €</t>
  </si>
  <si>
    <t>Base Material</t>
  </si>
  <si>
    <t>Index price material</t>
  </si>
  <si>
    <t>Plant use</t>
  </si>
  <si>
    <t>Type of cost</t>
  </si>
  <si>
    <t>Transport cost (%)</t>
  </si>
  <si>
    <t>Scrap (%)</t>
  </si>
  <si>
    <t>Mark-up (%)</t>
  </si>
  <si>
    <t>Material change (%)</t>
  </si>
  <si>
    <t>Unitary Cost per UOM (€)</t>
  </si>
  <si>
    <t>Gross Material Cost per piece (€)</t>
  </si>
  <si>
    <t>Transport Cost (€)</t>
  </si>
  <si>
    <t>Scrap cost (€)</t>
  </si>
  <si>
    <t>Mark-up Cost (€)</t>
  </si>
  <si>
    <t>Base material ratio (€)</t>
  </si>
  <si>
    <t>Net Material (€/pc)</t>
  </si>
  <si>
    <t>Labor &amp; Operations Cost</t>
  </si>
  <si>
    <t>PROCESS INFORMATION</t>
  </si>
  <si>
    <t>COSTING DATABASE</t>
  </si>
  <si>
    <t>PROCESS RELATED INFORMATION</t>
  </si>
  <si>
    <t>FASE</t>
  </si>
  <si>
    <t>Subgrupo</t>
  </si>
  <si>
    <t>Decripción Fase</t>
  </si>
  <si>
    <t>LOTE</t>
  </si>
  <si>
    <t>Nº Operarios</t>
  </si>
  <si>
    <t>Tciclo (pcs/h)</t>
  </si>
  <si>
    <t>OEE</t>
  </si>
  <si>
    <t>T Cambio (min)</t>
  </si>
  <si>
    <t>Margen (%)</t>
  </si>
  <si>
    <t>Zona Productiva</t>
  </si>
  <si>
    <t>Código Máquina</t>
  </si>
  <si>
    <t>Factor Maq (€/h)</t>
  </si>
  <si>
    <t>Factor Op (€/h)</t>
  </si>
  <si>
    <t>Costes Generales (€/h)</t>
  </si>
  <si>
    <t>Costes Indirectos (€/h)</t>
  </si>
  <si>
    <t>Piezas hora reales</t>
  </si>
  <si>
    <t>Top  (s/pc)</t>
  </si>
  <si>
    <t>Tmaq (s/pc)</t>
  </si>
  <si>
    <t>Descripción Máquina</t>
  </si>
  <si>
    <t>Zona Máquina</t>
  </si>
  <si>
    <t>Mano obra (€/pc)</t>
  </si>
  <si>
    <t>Margen (€/pc)</t>
  </si>
  <si>
    <t>Costes Generales (€/pc)</t>
  </si>
  <si>
    <t>Costes Indirectos (€/pc)</t>
  </si>
  <si>
    <t>Máquina (€/pc)</t>
  </si>
  <si>
    <t>Cambio útil (€/pc)</t>
  </si>
  <si>
    <t>Rechazo (€/pc)</t>
  </si>
  <si>
    <t>Proceso Total (€/pc)</t>
  </si>
  <si>
    <t>Útil</t>
  </si>
  <si>
    <t>IMO asociada</t>
  </si>
  <si>
    <t>IM asociada</t>
  </si>
  <si>
    <t>Hoja Parametros</t>
  </si>
  <si>
    <t>Comentarios - Información adicional</t>
  </si>
  <si>
    <t>PHASE</t>
  </si>
  <si>
    <t>Sub-Assemby</t>
  </si>
  <si>
    <t>Process Description</t>
  </si>
  <si>
    <t>BATCH</t>
  </si>
  <si>
    <t>Nº Operators</t>
  </si>
  <si>
    <t>Cycle time (pcs/h)</t>
  </si>
  <si>
    <t>Tool Set-up (min)</t>
  </si>
  <si>
    <t>Production area</t>
  </si>
  <si>
    <t>Machine ID</t>
  </si>
  <si>
    <t>Machine Cost (€/h)</t>
  </si>
  <si>
    <t>Direct Labor (€/h)</t>
  </si>
  <si>
    <t>Profit (%)</t>
  </si>
  <si>
    <t>Overheads (€/h)</t>
  </si>
  <si>
    <t>Variable Cost (€/h)</t>
  </si>
  <si>
    <t>Pcs Hour real</t>
  </si>
  <si>
    <t>Machine description</t>
  </si>
  <si>
    <t>Machine Area</t>
  </si>
  <si>
    <t>Labor cost (€/pc)</t>
  </si>
  <si>
    <t>Profit (€/pc)</t>
  </si>
  <si>
    <t>Overheads (€/pc)</t>
  </si>
  <si>
    <t>Variable Cost (€/pc)</t>
  </si>
  <si>
    <t>Machine cost (€/pc)</t>
  </si>
  <si>
    <t>Set-up (€/pc)</t>
  </si>
  <si>
    <t>Scrap (€/pc)</t>
  </si>
  <si>
    <t>Mark-up (€/pc)</t>
  </si>
  <si>
    <t>Labor &amp; Operations Total (€/pc)</t>
  </si>
  <si>
    <t>Tooling</t>
  </si>
  <si>
    <t>Process WI</t>
  </si>
  <si>
    <t>Machine WI</t>
  </si>
  <si>
    <t>Parameter sheet</t>
  </si>
  <si>
    <t>Comments</t>
  </si>
  <si>
    <t>ZERVE3</t>
  </si>
  <si>
    <t>M5</t>
  </si>
  <si>
    <t>ENV</t>
  </si>
  <si>
    <t>BEN0</t>
  </si>
  <si>
    <t>Machine Cost Sheet</t>
  </si>
  <si>
    <t>Automatic calculation sheet</t>
  </si>
  <si>
    <t>0.</t>
  </si>
  <si>
    <t>Machine total hourly Cost</t>
  </si>
  <si>
    <t>Help:</t>
  </si>
  <si>
    <t>Abbreviation machine</t>
  </si>
  <si>
    <t>Introduce machine abbreviation</t>
  </si>
  <si>
    <t>Name of machine</t>
  </si>
  <si>
    <t>Introduce the name or description of the machine</t>
  </si>
  <si>
    <t>Area productiva</t>
  </si>
  <si>
    <t>Introduce the tentative production area where the machine will be set-up</t>
  </si>
  <si>
    <t>Machine hourly cost</t>
  </si>
  <si>
    <t>Add this cost in each line of the column N (Machine Cost (€/h)) in sheet 'Working plan &amp; Cost'</t>
  </si>
  <si>
    <t>Investment</t>
  </si>
  <si>
    <t xml:space="preserve">The investment hourly cost should be calculated and applied in the 'Investment &amp; Development' sheet </t>
  </si>
  <si>
    <t>1.</t>
  </si>
  <si>
    <t> Investment Cost</t>
  </si>
  <si>
    <t>Investment cost</t>
  </si>
  <si>
    <t>To calculate the Investment Hourly Cost, we start from the value of the investment and divide it by the number of years in which we want the machine to be paid back.</t>
  </si>
  <si>
    <t>Investment €</t>
  </si>
  <si>
    <t>In accounting, the depreciation for a machine is generally 5 years but some companies want the payback to be completed within three years.</t>
  </si>
  <si>
    <t>2.</t>
  </si>
  <si>
    <t>Electricity HC</t>
  </si>
  <si>
    <t>Energy hourly cost</t>
  </si>
  <si>
    <t>Automatic calculation</t>
  </si>
  <si>
    <t>Machine power consumption in kW</t>
  </si>
  <si>
    <t>Add the estimated machine power consumption in kW</t>
  </si>
  <si>
    <t>Cost of electricity in €/kWh</t>
  </si>
  <si>
    <t>3.</t>
  </si>
  <si>
    <t>Labor HC</t>
  </si>
  <si>
    <t>Labor hourly cost</t>
  </si>
  <si>
    <t>This cost is usually calculated in the 'Working plan &amp; Cost' sheet. Usually it will be '0'.</t>
  </si>
  <si>
    <t>Operator HC €</t>
  </si>
  <si>
    <t>% of time for machine assistance</t>
  </si>
  <si>
    <t>4.</t>
  </si>
  <si>
    <t>Maintenance HC</t>
  </si>
  <si>
    <t>Maintenance hourly cost</t>
  </si>
  <si>
    <t>5.</t>
  </si>
  <si>
    <t>Consumables HC</t>
  </si>
  <si>
    <t>Consumables hourly cost</t>
  </si>
  <si>
    <t>Consumables are, for example, the cost of wear parts such as punches and dies, filters, lubricants, or the assist gas for laser cutting machines or lines that include welding.</t>
  </si>
  <si>
    <t>Consumables Yearly cost</t>
  </si>
  <si>
    <t>These costs can be derived from historical values of similar machines, or calculated and they are a direct function of the number of operating hours of the line.</t>
  </si>
  <si>
    <t>Estimated hours of operation per year</t>
  </si>
  <si>
    <t>6.</t>
  </si>
  <si>
    <t>Occupied Area Hourly Cost</t>
  </si>
  <si>
    <t>Occupied area hourly cost</t>
  </si>
  <si>
    <t>Cost €/m2 production area</t>
  </si>
  <si>
    <t>Machine occupation m2</t>
  </si>
  <si>
    <t>Add the square meter machine area occupation</t>
  </si>
  <si>
    <t>PROJECT NEW MACHINES</t>
  </si>
  <si>
    <t>Electricity hourly cost</t>
  </si>
  <si>
    <t>7.</t>
  </si>
  <si>
    <t>8.</t>
  </si>
  <si>
    <t>9.</t>
  </si>
  <si>
    <t>10.</t>
  </si>
  <si>
    <t>Investments &amp; Development Cost</t>
  </si>
  <si>
    <t>Fase</t>
  </si>
  <si>
    <t>Descripción</t>
  </si>
  <si>
    <t>Tipología</t>
  </si>
  <si>
    <t>Tipo de estimación</t>
  </si>
  <si>
    <t>Coste (€)</t>
  </si>
  <si>
    <t>Margen y/o modificaciones</t>
  </si>
  <si>
    <t>Coste del Transporte (€)</t>
  </si>
  <si>
    <t>Coste total (€)</t>
  </si>
  <si>
    <t>Propiedad</t>
  </si>
  <si>
    <t>Abono Cliente (€)</t>
  </si>
  <si>
    <t>Interes Anual</t>
  </si>
  <si>
    <t>Tipo Amortización</t>
  </si>
  <si>
    <t>Años de Amortización</t>
  </si>
  <si>
    <t>Cantidad piezas Amortización</t>
  </si>
  <si>
    <t>Impacto en coste pieza</t>
  </si>
  <si>
    <t>Phase</t>
  </si>
  <si>
    <t>Description</t>
  </si>
  <si>
    <t>Type</t>
  </si>
  <si>
    <t>Cost (€)</t>
  </si>
  <si>
    <t>Margin and/or modifications</t>
  </si>
  <si>
    <t>Transport cost (€)</t>
  </si>
  <si>
    <t>Total Cost (€)</t>
  </si>
  <si>
    <t>Property</t>
  </si>
  <si>
    <t>Client payment (€)</t>
  </si>
  <si>
    <t>Interest rate</t>
  </si>
  <si>
    <t>Amortization type</t>
  </si>
  <si>
    <t>Amortization years</t>
  </si>
  <si>
    <t>Amortization in qty of parts</t>
  </si>
  <si>
    <t>Part price impact</t>
  </si>
  <si>
    <t>Off-tool</t>
  </si>
  <si>
    <t>Estimado</t>
  </si>
  <si>
    <t>CLIENTE</t>
  </si>
  <si>
    <t>Off-Process</t>
  </si>
  <si>
    <t>Engineering development resources</t>
  </si>
  <si>
    <t>Development</t>
  </si>
  <si>
    <t>-</t>
  </si>
  <si>
    <t>Validation plan - internal tests</t>
  </si>
  <si>
    <t>Validation</t>
  </si>
  <si>
    <t>Validation plan - outourced tests</t>
  </si>
  <si>
    <t>Validation plan - customer tests</t>
  </si>
  <si>
    <t>TOTAL</t>
  </si>
  <si>
    <t>Coste total x pieza</t>
  </si>
  <si>
    <t>FAE</t>
  </si>
  <si>
    <r>
      <t>Development Base calculation</t>
    </r>
    <r>
      <rPr>
        <b/>
        <i/>
        <sz val="11"/>
        <rFont val="Arial"/>
        <family val="2"/>
      </rPr>
      <t xml:space="preserve"> </t>
    </r>
    <r>
      <rPr>
        <b/>
        <i/>
        <sz val="10"/>
        <color theme="0" tint="-0.499984740745262"/>
        <rFont val="Arial"/>
        <family val="2"/>
      </rPr>
      <t>(Introduce this value in the above table as a Development type)</t>
    </r>
  </si>
  <si>
    <r>
      <t>Validation Plan Base calculation</t>
    </r>
    <r>
      <rPr>
        <b/>
        <i/>
        <sz val="11"/>
        <rFont val="Arial"/>
        <family val="2"/>
      </rPr>
      <t xml:space="preserve"> </t>
    </r>
    <r>
      <rPr>
        <b/>
        <i/>
        <sz val="10"/>
        <color theme="0" tint="-0.499984740745262"/>
        <rFont val="Arial"/>
        <family val="2"/>
      </rPr>
      <t>(Introduce this value in the above table as a Validation type)</t>
    </r>
  </si>
  <si>
    <t>Project time (months)</t>
  </si>
  <si>
    <t>Internal FAE VP</t>
  </si>
  <si>
    <t>Working hours per year</t>
  </si>
  <si>
    <t>Customer specific VP</t>
  </si>
  <si>
    <t>Cost per hour</t>
  </si>
  <si>
    <t>ID</t>
  </si>
  <si>
    <t>Dedicación (%)</t>
  </si>
  <si>
    <t>Dedicación (h)</t>
  </si>
  <si>
    <t>Tipo</t>
  </si>
  <si>
    <t>Dedication (%)</t>
  </si>
  <si>
    <t>Dedication (h)</t>
  </si>
  <si>
    <t>customer quality</t>
  </si>
  <si>
    <t>Engineering (Cervera)</t>
  </si>
  <si>
    <t>Laboratory</t>
  </si>
  <si>
    <t>Production (Cervera)</t>
  </si>
  <si>
    <t>Production (FAE)</t>
  </si>
  <si>
    <t>Program OEM</t>
  </si>
  <si>
    <t>Quality (Cervera)</t>
  </si>
  <si>
    <t>Quality (FAE)</t>
  </si>
  <si>
    <t>SQA</t>
  </si>
  <si>
    <t>Supply chain</t>
  </si>
  <si>
    <t>Tech Cell (Process)</t>
  </si>
  <si>
    <t>Tech Cell (Product)</t>
  </si>
  <si>
    <t>Introduce this value in the above table as a Development type</t>
  </si>
  <si>
    <t>Notes:</t>
  </si>
  <si>
    <t>Introduce this value in the above table as a Validation type as Customer paid or amortized</t>
  </si>
  <si>
    <t>Introduce this value in the above table as a Validation type as Customer paid</t>
  </si>
  <si>
    <t>Plan de validación sin cotizar, pendiente decidir con cliente el alcance del mismo y su coste.</t>
  </si>
  <si>
    <t>QUOTATION FORM</t>
  </si>
  <si>
    <t>Input information</t>
  </si>
  <si>
    <t>Customer</t>
  </si>
  <si>
    <t>Quote to</t>
  </si>
  <si>
    <t>FAE contact</t>
  </si>
  <si>
    <t>Name</t>
  </si>
  <si>
    <t>Quote ID</t>
  </si>
  <si>
    <t>Position</t>
  </si>
  <si>
    <t>Company</t>
  </si>
  <si>
    <t>Phone</t>
  </si>
  <si>
    <t>email</t>
  </si>
  <si>
    <t>Quote details</t>
  </si>
  <si>
    <t>Payment system</t>
  </si>
  <si>
    <t>Transfer</t>
  </si>
  <si>
    <t>A sample lead time</t>
  </si>
  <si>
    <t>To be discussed and defined</t>
  </si>
  <si>
    <t>Payment terms</t>
  </si>
  <si>
    <t>30 days invoice date</t>
  </si>
  <si>
    <t>A sample price</t>
  </si>
  <si>
    <t>To be calculated based in the design</t>
  </si>
  <si>
    <t>€</t>
  </si>
  <si>
    <t>D sample lead time</t>
  </si>
  <si>
    <t>Incoterms</t>
  </si>
  <si>
    <t>ExWorks FAE L'Hospitalet</t>
  </si>
  <si>
    <t>SOP lead time</t>
  </si>
  <si>
    <t>Material cost change rate included</t>
  </si>
  <si>
    <t>MOQ</t>
  </si>
  <si>
    <t>**Lead times are applicable once PO is released</t>
  </si>
  <si>
    <t>Serial Part Price</t>
  </si>
  <si>
    <t>Initial volume</t>
  </si>
  <si>
    <t>Maximum volume</t>
  </si>
  <si>
    <t>Fiscal Year</t>
  </si>
  <si>
    <t>Project Year</t>
  </si>
  <si>
    <t>0</t>
  </si>
  <si>
    <t>AVG</t>
  </si>
  <si>
    <t>EAU</t>
  </si>
  <si>
    <t>Part price (€/u)</t>
  </si>
  <si>
    <t>Investment &amp; Development Costs</t>
  </si>
  <si>
    <t>Off-tool details</t>
  </si>
  <si>
    <t>Off-Process / Project details</t>
  </si>
  <si>
    <t>Validation Plan details</t>
  </si>
  <si>
    <t>Validation plan to be evaluated / agreed with Polaris</t>
  </si>
  <si>
    <t>Technical details</t>
  </si>
  <si>
    <t>This quote is valid until</t>
  </si>
  <si>
    <t>Sales are subject to FAE's General Sales conditions</t>
  </si>
  <si>
    <t>Taxes not included</t>
  </si>
  <si>
    <t>PART PRICE COST BREAK DOWN &amp; PROJECT FINANCES</t>
  </si>
  <si>
    <t>MATERIALS COST</t>
  </si>
  <si>
    <t>MATERIAL COST by PARAMETERS</t>
  </si>
  <si>
    <t>Description of cost</t>
  </si>
  <si>
    <t>%</t>
  </si>
  <si>
    <t>MATERIAL COST by TYPE</t>
  </si>
  <si>
    <t>LABOR &amp; OPERATIONS COST</t>
  </si>
  <si>
    <t>LABOR &amp; OPERATIONS COST by PLANT</t>
  </si>
  <si>
    <t>FAE L'Hospitalet</t>
  </si>
  <si>
    <t>FAE Cervera</t>
  </si>
  <si>
    <t>LABOR &amp; OPERATIONS COST by TYPE</t>
  </si>
  <si>
    <t>INVESTMENTS &amp; DEVELOPMENT</t>
  </si>
  <si>
    <t>PROJECT INVESTMENT &amp; DEVELOPMENT COST</t>
  </si>
  <si>
    <t>TOTAL Cost (€/pc)</t>
  </si>
  <si>
    <t>PAID by Customer</t>
  </si>
  <si>
    <t>PAID by FAE</t>
  </si>
  <si>
    <t>Amortization per part</t>
  </si>
  <si>
    <t>TOTAL COST w/o INV &amp; DEV</t>
  </si>
  <si>
    <t>Análisis según MBC</t>
  </si>
  <si>
    <t>Packaging</t>
  </si>
  <si>
    <t>Scrap</t>
  </si>
  <si>
    <t>SUB-TOTAL (€/pc)</t>
  </si>
  <si>
    <t>OK</t>
  </si>
  <si>
    <t>Cond.</t>
  </si>
  <si>
    <t>Margen Bruto Comercial (€/pc)</t>
  </si>
  <si>
    <t>MOD FAE, MOI, Máqs., Amort. y Overheads FAE + Profit</t>
  </si>
  <si>
    <t>MBC</t>
  </si>
  <si>
    <t>Part Price w/o investments/dev. (€/pc)</t>
  </si>
  <si>
    <t>To introduce desired value</t>
  </si>
  <si>
    <t>Análisis alternativo</t>
  </si>
  <si>
    <t>MOI, Máqs., Amort. y Overheads FAE + Profit</t>
  </si>
  <si>
    <t>TOTAL COST with INV &amp; DEV</t>
  </si>
  <si>
    <t>Materials &amp; Labor/Operations</t>
  </si>
  <si>
    <t>Variable, Fixed, Overheads &amp; Profit</t>
  </si>
  <si>
    <t>Investments &amp; Development</t>
  </si>
  <si>
    <t>TOTAL Part price(€)</t>
  </si>
  <si>
    <t>QUOTED PART PRICE</t>
  </si>
  <si>
    <t>Investments</t>
  </si>
  <si>
    <t>Total investment cost (€)</t>
  </si>
  <si>
    <t>PRICE DECISION</t>
  </si>
  <si>
    <t>Acuerdo con dirección:</t>
  </si>
  <si>
    <t>Fecha</t>
  </si>
  <si>
    <t>Columna</t>
  </si>
  <si>
    <t>A</t>
  </si>
  <si>
    <t>A1</t>
  </si>
  <si>
    <t>A2</t>
  </si>
  <si>
    <t>E</t>
  </si>
  <si>
    <t>B</t>
  </si>
  <si>
    <t>Precio:</t>
  </si>
  <si>
    <t>Inv. cliente:</t>
  </si>
  <si>
    <t>Fórmula</t>
  </si>
  <si>
    <t>(B-A)</t>
  </si>
  <si>
    <t>MBC %:</t>
  </si>
  <si>
    <t>MBC €:</t>
  </si>
  <si>
    <t xml:space="preserve">Mat+MOD Cer </t>
  </si>
  <si>
    <t>Mat+MOD FAE</t>
  </si>
  <si>
    <t>Invest. + Dev.</t>
  </si>
  <si>
    <t>Part Price</t>
  </si>
  <si>
    <t>Yearly Sales:</t>
  </si>
  <si>
    <t>Total Sales:</t>
  </si>
  <si>
    <t>Valor</t>
  </si>
  <si>
    <t>VAN 1:</t>
  </si>
  <si>
    <t>VAN 2:</t>
  </si>
  <si>
    <t>TIR 1:</t>
  </si>
  <si>
    <t>TIR 2:</t>
  </si>
  <si>
    <t>VAN &amp; TIR</t>
  </si>
  <si>
    <t>Years</t>
  </si>
  <si>
    <t xml:space="preserve">Total </t>
  </si>
  <si>
    <t>avg</t>
  </si>
  <si>
    <t>Part price (€)</t>
  </si>
  <si>
    <t>Against all materials &amp; labor</t>
  </si>
  <si>
    <t>Materials + Labor Cost Cervera + FAE (€/pc)</t>
  </si>
  <si>
    <t>Sub-total</t>
  </si>
  <si>
    <t>MBC (%)</t>
  </si>
  <si>
    <t>Total Investments + Dev.</t>
  </si>
  <si>
    <t>FAE investment</t>
  </si>
  <si>
    <t>Income</t>
  </si>
  <si>
    <t>Cost: Materials + Labor</t>
  </si>
  <si>
    <t>Cash Flow (€)</t>
  </si>
  <si>
    <t>Cummulated Cash Flow (€)</t>
  </si>
  <si>
    <t>PAYBACK</t>
  </si>
  <si>
    <t>años</t>
  </si>
  <si>
    <t>Updated factor</t>
  </si>
  <si>
    <t>NET cummulated cash Flow (€)</t>
  </si>
  <si>
    <t>VAN</t>
  </si>
  <si>
    <t>Sales</t>
  </si>
  <si>
    <t>Yearly average</t>
  </si>
  <si>
    <t>TOTAL Sales</t>
  </si>
  <si>
    <t>Internal return rate (IRR)</t>
  </si>
  <si>
    <t>Objetivo &gt;35%</t>
  </si>
  <si>
    <t>Against MBC FAE</t>
  </si>
  <si>
    <t>Materials + Labor Cost Cervera (€/pc)</t>
  </si>
  <si>
    <t>Actualizado por:</t>
  </si>
  <si>
    <t>Sebastien V</t>
  </si>
  <si>
    <t>Fecha actualización datos:</t>
  </si>
  <si>
    <t>May 25</t>
  </si>
  <si>
    <t>Costes de MOD, MOI y Overheads</t>
  </si>
  <si>
    <t>DENOMINACIÓN</t>
  </si>
  <si>
    <t>UoM</t>
  </si>
  <si>
    <t>FAE CERVERA</t>
  </si>
  <si>
    <t>M1</t>
  </si>
  <si>
    <t>M2</t>
  </si>
  <si>
    <t>M3</t>
  </si>
  <si>
    <t>M4</t>
  </si>
  <si>
    <t>LAB. ENSAYOS</t>
  </si>
  <si>
    <t>SB</t>
  </si>
  <si>
    <t>SL</t>
  </si>
  <si>
    <t>MUNTFA</t>
  </si>
  <si>
    <t>GUIMFA</t>
  </si>
  <si>
    <t>Margen / Beneficio</t>
  </si>
  <si>
    <t>MOD (Mano de Obra Directa)</t>
  </si>
  <si>
    <t>MOI (Mano de Obra Indirecta) sobre MOD</t>
  </si>
  <si>
    <t>Overheads sobre MOD</t>
  </si>
  <si>
    <t>MEDIA EVOLUCIÓN ANUAL GASTOS FIJOS</t>
  </si>
  <si>
    <t>AÑO BASE GASTOS FIJOS</t>
  </si>
  <si>
    <t>**Sólo incrementamos los costes de MOD. Los MOI, Overheads y profit siguen siendo un % sobre MOD.</t>
  </si>
  <si>
    <t>PLANTAS</t>
  </si>
  <si>
    <t>Area</t>
  </si>
  <si>
    <t>Coste m2/h</t>
  </si>
  <si>
    <t>kw/h</t>
  </si>
  <si>
    <t>Mantenimiento</t>
  </si>
  <si>
    <t>Actualizado</t>
  </si>
  <si>
    <t>Notas</t>
  </si>
  <si>
    <t>español</t>
  </si>
  <si>
    <t>No existe c/h mantenimiento, copiado SB.</t>
  </si>
  <si>
    <t>SH</t>
  </si>
  <si>
    <t>Zonas prod,</t>
  </si>
  <si>
    <t>M6</t>
  </si>
  <si>
    <t>Estimados por no existir</t>
  </si>
  <si>
    <t>TEST</t>
  </si>
  <si>
    <t>Internal</t>
  </si>
  <si>
    <t>Outsourced</t>
  </si>
  <si>
    <t>Source</t>
  </si>
  <si>
    <t>Storage temperature test</t>
  </si>
  <si>
    <t>Elite x HD</t>
  </si>
  <si>
    <t>Operating temperature test</t>
  </si>
  <si>
    <t>Thermal shock</t>
  </si>
  <si>
    <t>water submergence test</t>
  </si>
  <si>
    <t>Corrosion test</t>
  </si>
  <si>
    <t>TIPO PRECIO</t>
  </si>
  <si>
    <t>neutral salt spray</t>
  </si>
  <si>
    <t>Damp heat cyclic test</t>
  </si>
  <si>
    <t>Ofertado</t>
  </si>
  <si>
    <t>U.V. / Sunlight resistance</t>
  </si>
  <si>
    <t>SGS x Triumph</t>
  </si>
  <si>
    <t>1000€ en 2017</t>
  </si>
  <si>
    <t>Existente</t>
  </si>
  <si>
    <t>Voltage operating range</t>
  </si>
  <si>
    <t>Overvoltage at a temperature of Tmax-20°C</t>
  </si>
  <si>
    <t>Overvoltage at room temperature</t>
  </si>
  <si>
    <t>Inrush current</t>
  </si>
  <si>
    <t>TIPO amortización</t>
  </si>
  <si>
    <t>Reverse voltage</t>
  </si>
  <si>
    <t>Años</t>
  </si>
  <si>
    <t>Insulation resistance</t>
  </si>
  <si>
    <t>Piezas</t>
  </si>
  <si>
    <t>Electromagnetic compatibility</t>
  </si>
  <si>
    <t>EMC BCN</t>
  </si>
  <si>
    <t>sinusoidal vibration</t>
  </si>
  <si>
    <t>VZLU</t>
  </si>
  <si>
    <t>Random vibration test</t>
  </si>
  <si>
    <t>Vibration and temperature test (GPS</t>
  </si>
  <si>
    <t>Emitech x Brink</t>
  </si>
  <si>
    <t>mechanical shock</t>
  </si>
  <si>
    <t>TIPO inversión</t>
  </si>
  <si>
    <t>Pendulum test</t>
  </si>
  <si>
    <t>Free fall test</t>
  </si>
  <si>
    <t>Leakage test</t>
  </si>
  <si>
    <t>IP-code</t>
  </si>
  <si>
    <t>Chemical resistance</t>
  </si>
  <si>
    <t>mixed gas flow</t>
  </si>
  <si>
    <t>Crimp resistance</t>
  </si>
  <si>
    <t>Supplier Currency</t>
  </si>
  <si>
    <t>Pull out force (connector)</t>
  </si>
  <si>
    <t>Terminal Integrity</t>
  </si>
  <si>
    <t>$</t>
  </si>
  <si>
    <t>Durability test</t>
  </si>
  <si>
    <t>TEST 30</t>
  </si>
  <si>
    <t>TEST 31</t>
  </si>
  <si>
    <t>TEST 32</t>
  </si>
  <si>
    <t>TEST 33</t>
  </si>
  <si>
    <t>TEST 34</t>
  </si>
  <si>
    <t>TEST 35</t>
  </si>
  <si>
    <t>TEST 36</t>
  </si>
  <si>
    <t>TEST 37</t>
  </si>
  <si>
    <t>TEST 38</t>
  </si>
  <si>
    <t>TEST 39</t>
  </si>
  <si>
    <t>TEST 40</t>
  </si>
  <si>
    <t>Purchased component</t>
  </si>
  <si>
    <t>TEST 41</t>
  </si>
  <si>
    <t>Outsourced service</t>
  </si>
  <si>
    <t>TEST 42</t>
  </si>
  <si>
    <t>Raw Material</t>
  </si>
  <si>
    <t>TEST 43</t>
  </si>
  <si>
    <t>TEST 44</t>
  </si>
  <si>
    <t>Investment machine</t>
  </si>
  <si>
    <t>TEST 45</t>
  </si>
  <si>
    <t>Leasing</t>
  </si>
  <si>
    <t>TEST 46</t>
  </si>
  <si>
    <t>Acquisition</t>
  </si>
  <si>
    <t>TEST 47</t>
  </si>
  <si>
    <t>TEST 48</t>
  </si>
  <si>
    <t>TEST 49</t>
  </si>
  <si>
    <t>Tipología Inversión</t>
  </si>
  <si>
    <t>TEST 50</t>
  </si>
  <si>
    <t>Project</t>
  </si>
  <si>
    <t>Tipo de test VP</t>
  </si>
  <si>
    <t>Costes de máquina con amortización incluida</t>
  </si>
  <si>
    <t>Código</t>
  </si>
  <si>
    <t>Centro de Trabajo</t>
  </si>
  <si>
    <t>Coste Horario</t>
  </si>
  <si>
    <t>BPN - Banco de puebas neumático manocontacto e interruptores</t>
  </si>
  <si>
    <t>Cortadora Grupo Tela</t>
  </si>
  <si>
    <t>No activa en MAPEX</t>
  </si>
  <si>
    <t>BCN - Banco comprobar manocontacto e interuptores neumaticos</t>
  </si>
  <si>
    <t>Prensa Neumatica</t>
  </si>
  <si>
    <t>PM - Prensa Manual</t>
  </si>
  <si>
    <t>RR - Remachadora radial</t>
  </si>
  <si>
    <t>PN - Prensa neumatica</t>
  </si>
  <si>
    <t>Remachadora Radial</t>
  </si>
  <si>
    <t>BPV - Bomba de vacio</t>
  </si>
  <si>
    <t>PGT - Prensa oleoneumatica</t>
  </si>
  <si>
    <t>MRT - Maquina Rocadora transmisores</t>
  </si>
  <si>
    <t>Grabar hexagonales en caras</t>
  </si>
  <si>
    <t>Remachadora de Termoresistencias</t>
  </si>
  <si>
    <t>Prensa Inglesa</t>
  </si>
  <si>
    <t>PH - Prensa hidraulica</t>
  </si>
  <si>
    <t>Taladro</t>
  </si>
  <si>
    <t>MRM - Remachadora de membrana de transmisor</t>
  </si>
  <si>
    <t>Prensa Neumatica Base Movil</t>
  </si>
  <si>
    <t>MRR - Remachadora de resistencia de transmisor</t>
  </si>
  <si>
    <t>Prensa Neumatica Base Fija</t>
  </si>
  <si>
    <t>Fugometro de  Solenoides</t>
  </si>
  <si>
    <t>LT1 - maquina automatica remachar y comprobar termos</t>
  </si>
  <si>
    <t>BGE - Banco galgar empujador doble temperatura</t>
  </si>
  <si>
    <t>PDG - Prensa manual seleccionar doble temperatura y galgar</t>
  </si>
  <si>
    <t>LT2 - Maquina automatica remachar y comprobar termos doble temperatura</t>
  </si>
  <si>
    <t>REF - Refrigerador</t>
  </si>
  <si>
    <t>LAB</t>
  </si>
  <si>
    <t>MPE - Comprobador de estanqueidad</t>
  </si>
  <si>
    <t>BCG - Banco comprobar gases</t>
  </si>
  <si>
    <t>BCT - Banco comprobar termos</t>
  </si>
  <si>
    <t>HRC - Horno Secado</t>
  </si>
  <si>
    <t>SRH - Serigrafiadora Hibrido</t>
  </si>
  <si>
    <t>PUR - Purificador</t>
  </si>
  <si>
    <t>HRT - Horno tratamientos</t>
  </si>
  <si>
    <t>DMP - Dispersion Molienda Planetario</t>
  </si>
  <si>
    <t>C25 - Encajadora Semi-Automatica 25</t>
  </si>
  <si>
    <t>RT - Remachadora de terminales</t>
  </si>
  <si>
    <t>BANCO COMPROBAR CALENTADORES</t>
  </si>
  <si>
    <t>HRS - Horno Sinterizado</t>
  </si>
  <si>
    <t>DMH - Dispersion Horizontal</t>
  </si>
  <si>
    <t>Cortadora tubos NTC</t>
  </si>
  <si>
    <t>COR - Blanqueadora P1</t>
  </si>
  <si>
    <t>SRV - Serigrafiadora ViasP1</t>
  </si>
  <si>
    <t>LAM - Laminadora P1</t>
  </si>
  <si>
    <t>CUT - Cortadora</t>
  </si>
  <si>
    <t>MS - Maquina de soldar sondas</t>
  </si>
  <si>
    <t>LMN - Línea Manocontactos</t>
  </si>
  <si>
    <t>TSE - Tunel Secado P1</t>
  </si>
  <si>
    <t>E16 - Encajadora Automatica 16</t>
  </si>
  <si>
    <t>SRC - Maquina aplicar sellante en rosca</t>
  </si>
  <si>
    <t>Maquina soldar Goretex</t>
  </si>
  <si>
    <t>EST - Estufa</t>
  </si>
  <si>
    <t>DRC - Dosificador resina cerámica</t>
  </si>
  <si>
    <t>MM - Maquina marcar</t>
  </si>
  <si>
    <t>APL - Apiladora - P1</t>
  </si>
  <si>
    <t>CTC - Maquina comprobar termocontactos pruebas</t>
  </si>
  <si>
    <t>VR - Verificacion</t>
  </si>
  <si>
    <t>RST - Resinadora de Termo-contactos</t>
  </si>
  <si>
    <t>MGM - Maquina grabar por micropercusión</t>
  </si>
  <si>
    <t>MCCD - Maquina conformar y cortar discos bimetalicos</t>
  </si>
  <si>
    <t>TTP - Tester de temperatura</t>
  </si>
  <si>
    <t>MCC - Maquina comprobar captadores</t>
  </si>
  <si>
    <t>Resinadora</t>
  </si>
  <si>
    <t>MAQ. ENSAYOS DE VIDA TERMOSCONTACT,TEMP,Y VENTIL,</t>
  </si>
  <si>
    <t>E25 - Encajadora Automatica 25</t>
  </si>
  <si>
    <t>MCB - Maquina comprobar bobinas</t>
  </si>
  <si>
    <t>Linea de montaje de sensores</t>
  </si>
  <si>
    <t>Remachador de terminales conector</t>
  </si>
  <si>
    <t>MIC - Maquina imantar captadores</t>
  </si>
  <si>
    <t>SRS - Serigrafiadora semiautomatica P1</t>
  </si>
  <si>
    <t>Remachadora de terminales de Pinza</t>
  </si>
  <si>
    <t>LT - LASER TRIMMING</t>
  </si>
  <si>
    <t>HRN - Horno Grupo Sensor</t>
  </si>
  <si>
    <t>MCK - Maquina comprobar knocks</t>
  </si>
  <si>
    <t>MGH - Maquina grabar hexagonales</t>
  </si>
  <si>
    <t>MDA - Maquina dosificar adhesivo</t>
  </si>
  <si>
    <t>Impresión Termica</t>
  </si>
  <si>
    <t>MSM - Maquina soldar map</t>
  </si>
  <si>
    <t>EQUIPO RAYOS X</t>
  </si>
  <si>
    <t>DMV - Dispersion Vertical</t>
  </si>
  <si>
    <t>MCM - Maquina comprobar map</t>
  </si>
  <si>
    <t>MDR - Maquina dimensionado resistencia banda ancha</t>
  </si>
  <si>
    <t>HRN - Horno</t>
  </si>
  <si>
    <t>CLD - Colocado</t>
  </si>
  <si>
    <t>PUZ - Punzonadora P1</t>
  </si>
  <si>
    <t>MGL - Maquina grabar por laser</t>
  </si>
  <si>
    <t>HR - Horno Reflow</t>
  </si>
  <si>
    <t>ELETRONICOS</t>
  </si>
  <si>
    <t>Máquina de electronicos</t>
  </si>
  <si>
    <t>MDP - Maquina dosificar poliuretano</t>
  </si>
  <si>
    <t>MKN - Montaje Knock</t>
  </si>
  <si>
    <t>MSC - Maquina soldadura laser circonio</t>
  </si>
  <si>
    <t>VIBRADOR LDS</t>
  </si>
  <si>
    <t>SI - Soldadura Inducción Banda Ancha</t>
  </si>
  <si>
    <t>Comprobador cable induccion</t>
  </si>
  <si>
    <t>MRS - Remachadora de Sondas Circonio</t>
  </si>
  <si>
    <t>BCI - Banco comprobar interuptores hidraulicos</t>
  </si>
  <si>
    <t>Maquina comprobar sensores Tª</t>
  </si>
  <si>
    <t>MCG - Maquina comprobar GPS</t>
  </si>
  <si>
    <t>SRS - Serigrafiadora semiautomatica</t>
  </si>
  <si>
    <t>TSE - Tunel Secado</t>
  </si>
  <si>
    <t>Comprobador de Familia 76</t>
  </si>
  <si>
    <t>Camara climatica Excal 1421-HA</t>
  </si>
  <si>
    <t>BEB - Banco de embolsado Bulk</t>
  </si>
  <si>
    <t>No activa en mapex</t>
  </si>
  <si>
    <t>CK - Máquina de cortar kapton</t>
  </si>
  <si>
    <t>DTT - Dispersion Tintas</t>
  </si>
  <si>
    <t>MTS - Maquina Test grupos sensores</t>
  </si>
  <si>
    <t>BAL - Balanza</t>
  </si>
  <si>
    <t>MR - Maquina resinar</t>
  </si>
  <si>
    <t>SRA - Serigrafiadora Automatica</t>
  </si>
  <si>
    <t>SRV - Serigrafiadora Vias</t>
  </si>
  <si>
    <t>BB - Bobinadora</t>
  </si>
  <si>
    <t>MB - Maquina Brida</t>
  </si>
  <si>
    <t>COR - Blanqueadora</t>
  </si>
  <si>
    <t>PUZ - Punzonadora</t>
  </si>
  <si>
    <t>APL - Apiladora</t>
  </si>
  <si>
    <t>LAM - Laminadora</t>
  </si>
  <si>
    <t>AGT - Agitador</t>
  </si>
  <si>
    <t>Desforradora de cables termica</t>
  </si>
  <si>
    <t>MCP - Maquina de comprobar presion</t>
  </si>
  <si>
    <t>Máquina de Soldadura</t>
  </si>
  <si>
    <t>BM - Banco manual</t>
  </si>
  <si>
    <t>Máquina montaje grupo sensor auto</t>
  </si>
  <si>
    <t>Máquina enchufado automática</t>
  </si>
  <si>
    <t>Soldadura ROFIN (2da generación)</t>
  </si>
  <si>
    <t>CA - Cortadora Automatica</t>
  </si>
  <si>
    <t>BBA - Bobinadora SIPRO</t>
  </si>
  <si>
    <t>MSU - Maquina soldar ultrasonidos</t>
  </si>
  <si>
    <t>CGT - Cortar Grupo Tela</t>
  </si>
  <si>
    <t>DF - Desforradora Cables</t>
  </si>
  <si>
    <t>UV - Ultravioleta</t>
  </si>
  <si>
    <t>CRO - Cronomaster</t>
  </si>
  <si>
    <t>HOR - HORNO</t>
  </si>
  <si>
    <t>Banco comprobación grupo cable</t>
  </si>
  <si>
    <t>MCGC - Maquina comprobar grupo cable</t>
  </si>
  <si>
    <t>DES - Despaneladora</t>
  </si>
  <si>
    <t>ESO - Estacion de soldadura</t>
  </si>
  <si>
    <t>ZML - Zona marcado Laser</t>
  </si>
  <si>
    <t>MIB - Maquina inyeccion BABY</t>
  </si>
  <si>
    <t>HRT - Maquina Inyeccion</t>
  </si>
  <si>
    <t>MENSOR CPC 6050</t>
  </si>
  <si>
    <t>MTA - Linea automatica Maps y diferenciales</t>
  </si>
  <si>
    <t>PE - Prensa Electrica</t>
  </si>
  <si>
    <t>medidor aislamiento MEGGER</t>
  </si>
  <si>
    <t>MSB - Maquina soldar bonding</t>
  </si>
  <si>
    <t>Ensamblar fundas</t>
  </si>
  <si>
    <t>BTF - BANCO TEST FUGAS</t>
  </si>
  <si>
    <t>MCST - Máquina Comprobación Sensores Temperatura</t>
  </si>
  <si>
    <t>MTES - Màquina de test de elemento sensor</t>
  </si>
  <si>
    <t>BSM - Banco sondas Movil</t>
  </si>
  <si>
    <t>LAI - Linea automatica de interruptores</t>
  </si>
  <si>
    <t>VRT - Maquina inyeccion</t>
  </si>
  <si>
    <t>RUL - Rulinar</t>
  </si>
  <si>
    <t>CT - Cortadora de tubos</t>
  </si>
  <si>
    <t>1051-1</t>
  </si>
  <si>
    <t>1252/1262</t>
  </si>
  <si>
    <t>MMP - Maquina Montaje pasamuros</t>
  </si>
  <si>
    <t>20007V</t>
  </si>
  <si>
    <t>436S</t>
  </si>
  <si>
    <t>BB1</t>
  </si>
  <si>
    <t>Banco Montaje cable induccion</t>
  </si>
  <si>
    <t>BB2</t>
  </si>
  <si>
    <t>BB3</t>
  </si>
  <si>
    <t>BC1</t>
  </si>
  <si>
    <t>Banco Montaje manual</t>
  </si>
  <si>
    <t>BC10</t>
  </si>
  <si>
    <t>BC11</t>
  </si>
  <si>
    <t>BC2</t>
  </si>
  <si>
    <t>BC3</t>
  </si>
  <si>
    <t>BC4</t>
  </si>
  <si>
    <t>BC5</t>
  </si>
  <si>
    <t>BC6</t>
  </si>
  <si>
    <t>BC7</t>
  </si>
  <si>
    <t>BC8</t>
  </si>
  <si>
    <t>BC9</t>
  </si>
  <si>
    <t>BCM1_24</t>
  </si>
  <si>
    <t>Banco de Trabajo 120x60</t>
  </si>
  <si>
    <t>BEN - Banco de encajado manual</t>
  </si>
  <si>
    <t>BEN1</t>
  </si>
  <si>
    <t>BEN2</t>
  </si>
  <si>
    <t>BEN3</t>
  </si>
  <si>
    <t>BEN4</t>
  </si>
  <si>
    <t>BEN5</t>
  </si>
  <si>
    <t>BEN6</t>
  </si>
  <si>
    <t>BEN7</t>
  </si>
  <si>
    <t>BEN8</t>
  </si>
  <si>
    <t>BEN9</t>
  </si>
  <si>
    <t>BENA</t>
  </si>
  <si>
    <t>BENB</t>
  </si>
  <si>
    <t>BENC</t>
  </si>
  <si>
    <t>BEND</t>
  </si>
  <si>
    <t>BENE</t>
  </si>
  <si>
    <t>BENF</t>
  </si>
  <si>
    <t>BENG</t>
  </si>
  <si>
    <t>BM1</t>
  </si>
  <si>
    <t>BM10</t>
  </si>
  <si>
    <t>BM1036</t>
  </si>
  <si>
    <t>BM11</t>
  </si>
  <si>
    <t>BM12</t>
  </si>
  <si>
    <t>BM13-1311</t>
  </si>
  <si>
    <t>AB - Aspiración borrado</t>
  </si>
  <si>
    <t>BM14-1311</t>
  </si>
  <si>
    <t>BM15</t>
  </si>
  <si>
    <t>BM16</t>
  </si>
  <si>
    <t>BM19</t>
  </si>
  <si>
    <t>BM2</t>
  </si>
  <si>
    <t>BM20</t>
  </si>
  <si>
    <t>BM21</t>
  </si>
  <si>
    <t>BM3</t>
  </si>
  <si>
    <t>BM4</t>
  </si>
  <si>
    <t>BM5</t>
  </si>
  <si>
    <t>BM6</t>
  </si>
  <si>
    <t>BM7</t>
  </si>
  <si>
    <t>BM8</t>
  </si>
  <si>
    <t>BM9</t>
  </si>
  <si>
    <t>BMM</t>
  </si>
  <si>
    <t xml:space="preserve">BMM - Banco Manual </t>
  </si>
  <si>
    <t>BMM1</t>
  </si>
  <si>
    <t>BMM2</t>
  </si>
  <si>
    <t>BR1</t>
  </si>
  <si>
    <t>BR2</t>
  </si>
  <si>
    <t>BS</t>
  </si>
  <si>
    <t>Bascula para contabilizar</t>
  </si>
  <si>
    <t>BS1</t>
  </si>
  <si>
    <t>Banco de Soldadura</t>
  </si>
  <si>
    <t>BS2</t>
  </si>
  <si>
    <t>BS3</t>
  </si>
  <si>
    <t>BS4</t>
  </si>
  <si>
    <t>BSM1</t>
  </si>
  <si>
    <t>Soldadura de Cableados</t>
  </si>
  <si>
    <t>BSM2</t>
  </si>
  <si>
    <t>CIS1</t>
  </si>
  <si>
    <t>Clavado Interruptor Stop</t>
  </si>
  <si>
    <t>CIS2</t>
  </si>
  <si>
    <t>DF1</t>
  </si>
  <si>
    <t>Desforradora de cables</t>
  </si>
  <si>
    <t>DF2</t>
  </si>
  <si>
    <t>DF3</t>
  </si>
  <si>
    <t>DF4</t>
  </si>
  <si>
    <t>MF1002</t>
  </si>
  <si>
    <t>MGI1</t>
  </si>
  <si>
    <t>Montaje Grupo Interruptor Stop</t>
  </si>
  <si>
    <t>MGI2</t>
  </si>
  <si>
    <t>VER_ENV</t>
  </si>
  <si>
    <t>VER - Puesto de verificación</t>
  </si>
  <si>
    <t>VER_ENV1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</si>
</sst>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6" formatCode="#,##0\ &quot;€&quot;;[Red]\-#,##0\ &quot;€&quot;"/>
    <numFmt numFmtId="44" formatCode="_-* #,##0.00\ &quot;€&quot;_-;\-* #,##0.00\ &quot;€&quot;_-;_-* &quot;-&quot;??\ &quot;€&quot;_-;_-@_-"/>
    <numFmt numFmtId="43" formatCode="_-* #,##0.00_-;\-* #,##0.00_-;_-* &quot;-&quot;??_-;_-@_-"/>
    <numFmt numFmtId="164" formatCode="_-* #,##0.00\ _€_-;\-* #,##0.00\ _€_-;_-* &quot;-&quot;??\ _€_-;_-@_-"/>
    <numFmt numFmtId="165" formatCode="_(&quot;€&quot;* #,##0.00_);_(&quot;€&quot;* \(#,##0.00\);_(&quot;€&quot;* &quot;-&quot;??_);_(@_)"/>
    <numFmt numFmtId="166" formatCode="_(* #,##0.00_);_(* \(#,##0.00\);_(* &quot;-&quot;??_);_(@_)"/>
    <numFmt numFmtId="167" formatCode="_-* #,##0\ _D_M_-;\-* #,##0\ _D_M_-;_-* &quot;-&quot;\ _D_M_-;_-@_-"/>
    <numFmt numFmtId="168" formatCode="0.0"/>
    <numFmt numFmtId="169" formatCode="0.000"/>
    <numFmt numFmtId="170" formatCode="0.0%"/>
    <numFmt numFmtId="171" formatCode="_-* #,##0.00\ [$€-1]_-;\-* #,##0.00\ [$€-1]_-;_-* &quot;-&quot;??\ [$€-1]_-"/>
    <numFmt numFmtId="172" formatCode="#,##0.00&quot;  DM&quot;;[Red]\-#,##0.00&quot;  DM&quot;"/>
    <numFmt numFmtId="173" formatCode="_(&quot;$&quot;* #,##0_);_(&quot;$&quot;* \(#,##0\);_(&quot;$&quot;* &quot;-&quot;_);_(@_)"/>
    <numFmt numFmtId="174" formatCode="#,##0.00\ &quot;€&quot;"/>
    <numFmt numFmtId="175" formatCode="#,##0.0000\ &quot;€&quot;"/>
    <numFmt numFmtId="176" formatCode="_-* #,##0.00\ _P_t_s_-;\-* #,##0.00\ _P_t_s_-;_-* &quot;-&quot;??\ _P_t_s_-;_-@_-"/>
    <numFmt numFmtId="177" formatCode="_-* #,##0.0000\ &quot;€&quot;_-;\-* #,##0.0000\ &quot;€&quot;_-;_-* &quot;-&quot;????\ &quot;€&quot;_-;_-@_-"/>
    <numFmt numFmtId="178" formatCode="_-* #,##0\ [$INR]_-;\-* #,##0\ [$INR]_-;_-* &quot;-&quot;\ [$INR]_-;_-@_-"/>
    <numFmt numFmtId="179" formatCode="_-* #,##0\ [$€-C0A]_-;\-* #,##0\ [$€-C0A]_-;_-* &quot;-&quot;???\ [$€-C0A]_-;_-@_-"/>
    <numFmt numFmtId="180" formatCode="_-* #,##0.00\ [$€-C0A]_-;\-* #,##0.00\ [$€-C0A]_-;_-* &quot;-&quot;??\ [$€-C0A]_-;_-@_-"/>
    <numFmt numFmtId="181" formatCode="_-* #,##0.000\ [$€-C0A]_-;\-* #,##0.000\ [$€-C0A]_-;_-* &quot;-&quot;??\ [$€-C0A]_-;_-@_-"/>
    <numFmt numFmtId="182" formatCode="_-* #,##0\ [$€-C0A]_-;\-* #,##0\ [$€-C0A]_-;_-* &quot;-&quot;??\ [$€-C0A]_-;_-@_-"/>
    <numFmt numFmtId="183" formatCode="_-* #,##0.000\ &quot;€&quot;_-;\-* #,##0.000\ &quot;€&quot;_-;_-* &quot;-&quot;????\ &quot;€&quot;_-;_-@_-"/>
    <numFmt numFmtId="184" formatCode="_-* #,##0.000\ &quot;€&quot;_-;\-* #,##0.000\ &quot;€&quot;_-;_-* &quot;-&quot;??\ &quot;€&quot;_-;_-@_-"/>
    <numFmt numFmtId="185" formatCode="0.00000"/>
    <numFmt numFmtId="186" formatCode="_-* #,##0_-;\-* #,##0_-;_-* &quot;-&quot;??_-;_-@_-"/>
    <numFmt numFmtId="187" formatCode="_-* #,##0\ &quot;€&quot;_-;\-* #,##0\ &quot;€&quot;_-;_-* &quot;-&quot;??\ &quot;€&quot;_-;_-@_-"/>
    <numFmt numFmtId="188" formatCode="#,##0_ ;\-#,##0\ "/>
    <numFmt numFmtId="189" formatCode="#,##0\ &quot;€&quot;"/>
  </numFmts>
  <fonts count="10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name val="Arial"/>
      <family val="2"/>
    </font>
    <font>
      <b/>
      <sz val="12"/>
      <name val="Arial"/>
      <family val="2"/>
    </font>
    <font>
      <sz val="10"/>
      <name val="Times New Roman"/>
      <family val="1"/>
    </font>
    <font>
      <b/>
      <sz val="6"/>
      <name val="Helv"/>
    </font>
    <font>
      <sz val="10"/>
      <name val="Helv"/>
    </font>
    <font>
      <sz val="11"/>
      <name val="Arial"/>
      <family val="2"/>
    </font>
    <font>
      <b/>
      <sz val="11"/>
      <color indexed="10"/>
      <name val="Arial"/>
      <family val="2"/>
    </font>
    <font>
      <b/>
      <sz val="8"/>
      <name val="Arial"/>
      <family val="2"/>
    </font>
    <font>
      <sz val="10"/>
      <name val="Arial"/>
      <family val="2"/>
    </font>
    <font>
      <b/>
      <sz val="26"/>
      <name val="Arial"/>
      <family val="2"/>
    </font>
    <font>
      <b/>
      <u/>
      <sz val="20"/>
      <name val="Arial"/>
      <family val="2"/>
    </font>
    <font>
      <sz val="11"/>
      <color theme="1"/>
      <name val="Calibri"/>
      <family val="2"/>
      <scheme val="minor"/>
    </font>
    <font>
      <sz val="10"/>
      <color theme="1"/>
      <name val="Arial"/>
      <family val="2"/>
    </font>
    <font>
      <b/>
      <sz val="10"/>
      <color theme="0"/>
      <name val="Arial"/>
      <family val="2"/>
    </font>
    <font>
      <b/>
      <sz val="8"/>
      <color theme="0"/>
      <name val="Arial"/>
      <family val="2"/>
    </font>
    <font>
      <b/>
      <sz val="12"/>
      <color theme="0"/>
      <name val="Arial"/>
      <family val="2"/>
    </font>
    <font>
      <sz val="10"/>
      <color theme="0"/>
      <name val="Arial"/>
      <family val="2"/>
    </font>
    <font>
      <sz val="11"/>
      <color rgb="FF000000"/>
      <name val="Calibri"/>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sz val="11"/>
      <color indexed="52"/>
      <name val="Calibri"/>
      <family val="2"/>
      <scheme val="minor"/>
    </font>
    <font>
      <b/>
      <sz val="11"/>
      <color indexed="56"/>
      <name val="Calibri"/>
      <family val="2"/>
      <scheme val="minor"/>
    </font>
    <font>
      <sz val="11"/>
      <color indexed="60"/>
      <name val="Calibri"/>
      <family val="2"/>
      <scheme val="minor"/>
    </font>
    <font>
      <b/>
      <sz val="18"/>
      <color indexed="56"/>
      <name val="Cambria"/>
      <family val="2"/>
      <scheme val="major"/>
    </font>
    <font>
      <b/>
      <sz val="15"/>
      <color indexed="56"/>
      <name val="Calibri"/>
      <family val="2"/>
      <scheme val="minor"/>
    </font>
    <font>
      <b/>
      <sz val="13"/>
      <color indexed="56"/>
      <name val="Calibri"/>
      <family val="2"/>
      <scheme val="minor"/>
    </font>
    <font>
      <sz val="10"/>
      <color indexed="8"/>
      <name val="Arial"/>
      <family val="2"/>
    </font>
    <font>
      <sz val="11"/>
      <color indexed="9"/>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0"/>
      <name val="Arial"/>
      <family val="2"/>
    </font>
    <font>
      <b/>
      <sz val="20"/>
      <name val="Arial"/>
      <family val="2"/>
    </font>
    <font>
      <sz val="8"/>
      <name val="Arial"/>
      <family val="2"/>
    </font>
    <font>
      <b/>
      <sz val="10"/>
      <color theme="1"/>
      <name val="Arial"/>
      <family val="2"/>
    </font>
    <font>
      <sz val="10"/>
      <color indexed="64"/>
      <name val="Arial"/>
      <family val="2"/>
    </font>
    <font>
      <sz val="9"/>
      <color indexed="81"/>
      <name val="Tahoma"/>
      <family val="2"/>
    </font>
    <font>
      <sz val="10"/>
      <color indexed="64"/>
      <name val="Microsoft Sans Serif"/>
      <family val="2"/>
    </font>
    <font>
      <b/>
      <i/>
      <sz val="8"/>
      <color theme="0"/>
      <name val="Arial"/>
      <family val="2"/>
    </font>
    <font>
      <sz val="8"/>
      <color rgb="FFFF0000"/>
      <name val="Arial"/>
      <family val="2"/>
    </font>
    <font>
      <u/>
      <sz val="8"/>
      <color rgb="FF0070C0"/>
      <name val="Arial"/>
      <family val="2"/>
    </font>
    <font>
      <sz val="11"/>
      <color rgb="FF9C5700"/>
      <name val="Calibri"/>
      <family val="2"/>
      <scheme val="minor"/>
    </font>
    <font>
      <i/>
      <sz val="8"/>
      <name val="Arial"/>
      <family val="2"/>
    </font>
    <font>
      <b/>
      <sz val="18"/>
      <name val="Arial"/>
      <family val="2"/>
    </font>
    <font>
      <b/>
      <sz val="22"/>
      <name val="Arial"/>
      <family val="2"/>
    </font>
    <font>
      <b/>
      <i/>
      <sz val="8"/>
      <name val="Arial"/>
      <family val="2"/>
    </font>
    <font>
      <sz val="8"/>
      <color theme="1"/>
      <name val="Arial"/>
      <family val="2"/>
    </font>
    <font>
      <sz val="8"/>
      <color rgb="FF000000"/>
      <name val="Arial"/>
      <family val="2"/>
    </font>
    <font>
      <i/>
      <sz val="8"/>
      <color rgb="FFFF0000"/>
      <name val="Arial"/>
      <family val="2"/>
    </font>
    <font>
      <b/>
      <i/>
      <sz val="8"/>
      <color rgb="FFFF0000"/>
      <name val="Arial"/>
      <family val="2"/>
    </font>
    <font>
      <sz val="2"/>
      <color theme="0"/>
      <name val="Arial"/>
      <family val="2"/>
    </font>
    <font>
      <sz val="10"/>
      <name val="Arial"/>
      <family val="2"/>
    </font>
    <font>
      <sz val="8"/>
      <color theme="0"/>
      <name val="Arial"/>
      <family val="2"/>
    </font>
    <font>
      <b/>
      <u/>
      <sz val="10"/>
      <name val="Arial"/>
      <family val="2"/>
    </font>
    <font>
      <b/>
      <sz val="14"/>
      <name val="Arial"/>
      <family val="2"/>
    </font>
    <font>
      <b/>
      <sz val="11"/>
      <name val="Arial"/>
      <family val="2"/>
    </font>
    <font>
      <i/>
      <sz val="10"/>
      <name val="Arial"/>
      <family val="2"/>
    </font>
    <font>
      <b/>
      <i/>
      <sz val="11"/>
      <name val="Arial"/>
      <family val="2"/>
    </font>
    <font>
      <b/>
      <i/>
      <sz val="10"/>
      <color theme="0" tint="-0.499984740745262"/>
      <name val="Arial"/>
      <family val="2"/>
    </font>
    <font>
      <b/>
      <sz val="16"/>
      <name val="Arial"/>
      <family val="2"/>
    </font>
    <font>
      <b/>
      <i/>
      <u/>
      <sz val="10"/>
      <name val="Arial"/>
      <family val="2"/>
    </font>
    <font>
      <b/>
      <u/>
      <sz val="8"/>
      <name val="Arial"/>
      <family val="2"/>
    </font>
    <font>
      <u/>
      <sz val="10"/>
      <color theme="10"/>
      <name val="Arial"/>
      <family val="2"/>
    </font>
    <font>
      <sz val="9"/>
      <color theme="4" tint="-0.249977111117893"/>
      <name val="Calibri"/>
      <family val="2"/>
      <scheme val="minor"/>
    </font>
    <font>
      <sz val="12"/>
      <color theme="4" tint="-0.249977111117893"/>
      <name val="Calibri"/>
      <family val="2"/>
      <scheme val="minor"/>
    </font>
    <font>
      <sz val="8"/>
      <color theme="4" tint="-0.249977111117893"/>
      <name val="Arial"/>
      <family val="2"/>
    </font>
    <font>
      <sz val="11"/>
      <color theme="1"/>
      <name val="Arial Nova"/>
      <family val="2"/>
    </font>
    <font>
      <b/>
      <sz val="11"/>
      <color theme="1"/>
      <name val="Arial Nova"/>
      <family val="2"/>
    </font>
    <font>
      <b/>
      <sz val="8"/>
      <color theme="1"/>
      <name val="Arial"/>
      <family val="2"/>
    </font>
    <font>
      <i/>
      <sz val="8"/>
      <color theme="1"/>
      <name val="Arial"/>
      <family val="2"/>
    </font>
    <font>
      <b/>
      <sz val="12"/>
      <color theme="1"/>
      <name val="Arial"/>
      <family val="2"/>
    </font>
    <font>
      <sz val="26"/>
      <color theme="1"/>
      <name val="Arial Nova"/>
      <family val="2"/>
    </font>
    <font>
      <b/>
      <sz val="12"/>
      <color rgb="FFFF0000"/>
      <name val="Arial"/>
      <family val="2"/>
    </font>
    <font>
      <b/>
      <i/>
      <u/>
      <sz val="8"/>
      <color theme="1"/>
      <name val="Arial"/>
      <family val="2"/>
    </font>
    <font>
      <sz val="11"/>
      <name val="Symbol"/>
      <family val="1"/>
      <charset val="2"/>
    </font>
    <font>
      <i/>
      <sz val="11"/>
      <name val="Arial"/>
      <family val="2"/>
    </font>
    <font>
      <i/>
      <sz val="8"/>
      <color theme="1"/>
      <name val="Arial Nova"/>
      <family val="2"/>
    </font>
  </fonts>
  <fills count="60">
    <fill>
      <patternFill patternType="none"/>
    </fill>
    <fill>
      <patternFill patternType="gray125"/>
    </fill>
    <fill>
      <patternFill patternType="solid">
        <fgColor rgb="FFFFFF99"/>
        <bgColor indexed="64"/>
      </patternFill>
    </fill>
    <fill>
      <patternFill patternType="solid">
        <fgColor rgb="FFFFFF00"/>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C6EFCE"/>
      </patternFill>
    </fill>
    <fill>
      <patternFill patternType="solid">
        <fgColor rgb="FFFFC7CE"/>
      </patternFill>
    </fill>
    <fill>
      <patternFill patternType="solid">
        <fgColor indexed="43"/>
      </patternFill>
    </fill>
    <fill>
      <patternFill patternType="solid">
        <fgColor indexed="26"/>
      </patternFill>
    </fill>
    <fill>
      <patternFill patternType="solid">
        <fgColor theme="3"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tint="0.39997558519241921"/>
        <bgColor rgb="FF000000"/>
      </patternFill>
    </fill>
    <fill>
      <patternFill patternType="solid">
        <fgColor rgb="FFFFFFFF"/>
        <bgColor rgb="FF000000"/>
      </patternFill>
    </fill>
    <fill>
      <patternFill patternType="solid">
        <fgColor theme="4" tint="-0.499984740745262"/>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5" tint="-0.499984740745262"/>
        <bgColor indexed="64"/>
      </patternFill>
    </fill>
    <fill>
      <patternFill patternType="solid">
        <fgColor theme="6"/>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9"/>
        <bgColor indexed="64"/>
      </patternFill>
    </fill>
    <fill>
      <patternFill patternType="solid">
        <fgColor theme="8"/>
        <bgColor indexed="64"/>
      </patternFill>
    </fill>
    <fill>
      <patternFill patternType="lightUp">
        <bgColor theme="0" tint="-0.14999847407452621"/>
      </patternFill>
    </fill>
  </fills>
  <borders count="66">
    <border>
      <left/>
      <right/>
      <top/>
      <bottom/>
      <diagonal/>
    </border>
    <border>
      <left style="medium">
        <color indexed="64"/>
      </left>
      <right/>
      <top/>
      <bottom/>
      <diagonal/>
    </border>
    <border>
      <left/>
      <right/>
      <top/>
      <bottom style="thin">
        <color indexed="64"/>
      </bottom>
      <diagonal/>
    </border>
    <border>
      <left/>
      <right style="medium">
        <color indexed="64"/>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s>
  <cellStyleXfs count="228">
    <xf numFmtId="0" fontId="0" fillId="0" borderId="0"/>
    <xf numFmtId="171" fontId="16" fillId="0" borderId="0" applyFont="0" applyFill="0" applyBorder="0" applyAlignment="0" applyProtection="0"/>
    <xf numFmtId="176" fontId="11" fillId="0" borderId="0" applyFont="0" applyFill="0" applyBorder="0" applyAlignment="0" applyProtection="0"/>
    <xf numFmtId="166" fontId="25" fillId="0" borderId="0" applyFont="0" applyFill="0" applyBorder="0" applyAlignment="0" applyProtection="0"/>
    <xf numFmtId="0" fontId="11" fillId="0" borderId="0"/>
    <xf numFmtId="0" fontId="25" fillId="0" borderId="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26" fillId="0" borderId="0"/>
    <xf numFmtId="0" fontId="17" fillId="0" borderId="0"/>
    <xf numFmtId="173" fontId="11" fillId="0" borderId="0" applyFont="0" applyFill="0" applyBorder="0" applyAlignment="0" applyProtection="0"/>
    <xf numFmtId="172" fontId="18" fillId="0" borderId="0" applyFont="0" applyFill="0" applyBorder="0" applyAlignment="0" applyProtection="0"/>
    <xf numFmtId="0" fontId="36" fillId="10" borderId="23" applyNumberFormat="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10" fillId="12" borderId="0" applyNumberFormat="0" applyBorder="0" applyAlignment="0" applyProtection="0"/>
    <xf numFmtId="0" fontId="40" fillId="13" borderId="0" applyNumberFormat="0" applyBorder="0" applyAlignment="0" applyProtection="0"/>
    <xf numFmtId="0" fontId="10" fillId="14" borderId="0" applyNumberFormat="0" applyBorder="0" applyAlignment="0" applyProtection="0"/>
    <xf numFmtId="0" fontId="10" fillId="0" borderId="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2" borderId="0" applyNumberFormat="0" applyBorder="0" applyAlignment="0" applyProtection="0"/>
    <xf numFmtId="0" fontId="10" fillId="18" borderId="0" applyNumberFormat="0" applyBorder="0" applyAlignment="0" applyProtection="0"/>
    <xf numFmtId="0" fontId="10" fillId="20" borderId="0" applyNumberFormat="0" applyBorder="0" applyAlignment="0" applyProtection="0"/>
    <xf numFmtId="0" fontId="10" fillId="23" borderId="0" applyNumberFormat="0" applyBorder="0" applyAlignment="0" applyProtection="0"/>
    <xf numFmtId="0" fontId="40" fillId="24" borderId="0" applyNumberFormat="0" applyBorder="0" applyAlignment="0" applyProtection="0"/>
    <xf numFmtId="0" fontId="40" fillId="21" borderId="0" applyNumberFormat="0" applyBorder="0" applyAlignment="0" applyProtection="0"/>
    <xf numFmtId="0" fontId="40" fillId="22"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7" borderId="0" applyNumberFormat="0" applyBorder="0" applyAlignment="0" applyProtection="0"/>
    <xf numFmtId="0" fontId="32" fillId="17" borderId="0" applyNumberFormat="0" applyBorder="0" applyAlignment="0" applyProtection="0"/>
    <xf numFmtId="0" fontId="42" fillId="19" borderId="21" applyNumberFormat="0" applyAlignment="0" applyProtection="0"/>
    <xf numFmtId="0" fontId="43" fillId="0" borderId="25" applyNumberFormat="0" applyFill="0" applyAlignment="0" applyProtection="0"/>
    <xf numFmtId="0" fontId="44" fillId="0" borderId="0" applyNumberFormat="0" applyFill="0" applyBorder="0" applyAlignment="0" applyProtection="0"/>
    <xf numFmtId="0" fontId="40" fillId="28"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1" borderId="0" applyNumberFormat="0" applyBorder="0" applyAlignment="0" applyProtection="0"/>
    <xf numFmtId="0" fontId="34" fillId="19" borderId="21" applyNumberFormat="0" applyAlignment="0" applyProtection="0"/>
    <xf numFmtId="0" fontId="33" fillId="16" borderId="0" applyNumberFormat="0" applyBorder="0" applyAlignment="0" applyProtection="0"/>
    <xf numFmtId="0" fontId="45" fillId="9" borderId="0" applyNumberFormat="0" applyBorder="0" applyAlignment="0" applyProtection="0"/>
    <xf numFmtId="0" fontId="41" fillId="11" borderId="24" applyNumberFormat="0" applyFont="0" applyAlignment="0" applyProtection="0"/>
    <xf numFmtId="0" fontId="35" fillId="19" borderId="22" applyNumberFormat="0" applyAlignment="0" applyProtection="0"/>
    <xf numFmtId="0" fontId="46" fillId="0" borderId="0" applyNumberFormat="0" applyFill="0" applyBorder="0" applyAlignment="0" applyProtection="0"/>
    <xf numFmtId="0" fontId="47" fillId="0" borderId="26" applyNumberFormat="0" applyFill="0" applyAlignment="0" applyProtection="0"/>
    <xf numFmtId="0" fontId="48" fillId="0" borderId="27" applyNumberFormat="0" applyFill="0" applyAlignment="0" applyProtection="0"/>
    <xf numFmtId="0" fontId="44" fillId="0" borderId="28" applyNumberFormat="0" applyFill="0" applyAlignment="0" applyProtection="0"/>
    <xf numFmtId="0" fontId="39" fillId="0" borderId="29" applyNumberFormat="0" applyFill="0" applyAlignment="0" applyProtection="0"/>
    <xf numFmtId="0" fontId="9" fillId="0" borderId="0"/>
    <xf numFmtId="178" fontId="9" fillId="0" borderId="0"/>
    <xf numFmtId="9" fontId="9" fillId="0" borderId="0" applyFont="0" applyFill="0" applyBorder="0" applyAlignment="0" applyProtection="0"/>
    <xf numFmtId="165" fontId="9" fillId="0" borderId="0" applyFont="0" applyFill="0" applyBorder="0" applyAlignment="0" applyProtection="0"/>
    <xf numFmtId="178" fontId="32" fillId="32" borderId="0" applyNumberFormat="0" applyBorder="0" applyAlignment="0" applyProtection="0"/>
    <xf numFmtId="178" fontId="33" fillId="33" borderId="0" applyNumberFormat="0" applyBorder="0" applyAlignment="0" applyProtection="0"/>
    <xf numFmtId="178" fontId="36" fillId="10" borderId="23" applyNumberFormat="0" applyAlignment="0" applyProtection="0"/>
    <xf numFmtId="178" fontId="37" fillId="0" borderId="0" applyNumberFormat="0" applyFill="0" applyBorder="0" applyAlignment="0" applyProtection="0"/>
    <xf numFmtId="178" fontId="38" fillId="0" borderId="0" applyNumberFormat="0" applyFill="0" applyBorder="0" applyAlignment="0" applyProtection="0"/>
    <xf numFmtId="178" fontId="9" fillId="12" borderId="0" applyNumberFormat="0" applyBorder="0" applyAlignment="0" applyProtection="0"/>
    <xf numFmtId="178" fontId="40" fillId="13" borderId="0" applyNumberFormat="0" applyBorder="0" applyAlignment="0" applyProtection="0"/>
    <xf numFmtId="178" fontId="9" fillId="14" borderId="0" applyNumberFormat="0" applyBorder="0" applyAlignment="0" applyProtection="0"/>
    <xf numFmtId="178" fontId="11" fillId="0" borderId="0"/>
    <xf numFmtId="178" fontId="16" fillId="0" borderId="0" applyFont="0" applyFill="0" applyBorder="0" applyAlignment="0" applyProtection="0"/>
    <xf numFmtId="167" fontId="11" fillId="0" borderId="0" applyFont="0" applyFill="0" applyBorder="0" applyAlignment="0" applyProtection="0"/>
    <xf numFmtId="178" fontId="33" fillId="33" borderId="0" applyNumberFormat="0" applyBorder="0" applyAlignment="0" applyProtection="0"/>
    <xf numFmtId="166" fontId="9" fillId="0" borderId="0" applyFont="0" applyFill="0" applyBorder="0" applyAlignment="0" applyProtection="0"/>
    <xf numFmtId="178" fontId="11" fillId="0" borderId="0"/>
    <xf numFmtId="178" fontId="9" fillId="0" borderId="0"/>
    <xf numFmtId="9" fontId="11" fillId="0" borderId="0" applyFont="0" applyFill="0" applyBorder="0" applyAlignment="0" applyProtection="0"/>
    <xf numFmtId="9" fontId="11" fillId="0" borderId="0" applyFont="0" applyFill="0" applyBorder="0" applyAlignment="0" applyProtection="0"/>
    <xf numFmtId="178" fontId="32" fillId="32" borderId="0" applyNumberFormat="0" applyBorder="0" applyAlignment="0" applyProtection="0"/>
    <xf numFmtId="178" fontId="26" fillId="0" borderId="0"/>
    <xf numFmtId="178" fontId="9" fillId="0" borderId="0"/>
    <xf numFmtId="178" fontId="9" fillId="15" borderId="0" applyNumberFormat="0" applyBorder="0" applyAlignment="0" applyProtection="0"/>
    <xf numFmtId="178" fontId="9" fillId="16" borderId="0" applyNumberFormat="0" applyBorder="0" applyAlignment="0" applyProtection="0"/>
    <xf numFmtId="178" fontId="9" fillId="17" borderId="0" applyNumberFormat="0" applyBorder="0" applyAlignment="0" applyProtection="0"/>
    <xf numFmtId="178" fontId="9" fillId="18" borderId="0" applyNumberFormat="0" applyBorder="0" applyAlignment="0" applyProtection="0"/>
    <xf numFmtId="178" fontId="9" fillId="19" borderId="0" applyNumberFormat="0" applyBorder="0" applyAlignment="0" applyProtection="0"/>
    <xf numFmtId="178" fontId="9" fillId="20" borderId="0" applyNumberFormat="0" applyBorder="0" applyAlignment="0" applyProtection="0"/>
    <xf numFmtId="178" fontId="9" fillId="22" borderId="0" applyNumberFormat="0" applyBorder="0" applyAlignment="0" applyProtection="0"/>
    <xf numFmtId="178" fontId="9" fillId="18" borderId="0" applyNumberFormat="0" applyBorder="0" applyAlignment="0" applyProtection="0"/>
    <xf numFmtId="178" fontId="9" fillId="20" borderId="0" applyNumberFormat="0" applyBorder="0" applyAlignment="0" applyProtection="0"/>
    <xf numFmtId="178" fontId="9" fillId="23" borderId="0" applyNumberFormat="0" applyBorder="0" applyAlignment="0" applyProtection="0"/>
    <xf numFmtId="178" fontId="40" fillId="24" borderId="0" applyNumberFormat="0" applyBorder="0" applyAlignment="0" applyProtection="0"/>
    <xf numFmtId="178" fontId="40" fillId="21" borderId="0" applyNumberFormat="0" applyBorder="0" applyAlignment="0" applyProtection="0"/>
    <xf numFmtId="178" fontId="40" fillId="22" borderId="0" applyNumberFormat="0" applyBorder="0" applyAlignment="0" applyProtection="0"/>
    <xf numFmtId="178" fontId="40" fillId="25" borderId="0" applyNumberFormat="0" applyBorder="0" applyAlignment="0" applyProtection="0"/>
    <xf numFmtId="178" fontId="40" fillId="26" borderId="0" applyNumberFormat="0" applyBorder="0" applyAlignment="0" applyProtection="0"/>
    <xf numFmtId="178" fontId="40" fillId="27" borderId="0" applyNumberFormat="0" applyBorder="0" applyAlignment="0" applyProtection="0"/>
    <xf numFmtId="178" fontId="32" fillId="17" borderId="0" applyNumberFormat="0" applyBorder="0" applyAlignment="0" applyProtection="0"/>
    <xf numFmtId="178" fontId="42" fillId="19" borderId="21" applyNumberFormat="0" applyAlignment="0" applyProtection="0"/>
    <xf numFmtId="178" fontId="43" fillId="0" borderId="25" applyNumberFormat="0" applyFill="0" applyAlignment="0" applyProtection="0"/>
    <xf numFmtId="178" fontId="44" fillId="0" borderId="0" applyNumberFormat="0" applyFill="0" applyBorder="0" applyAlignment="0" applyProtection="0"/>
    <xf numFmtId="178" fontId="40" fillId="28" borderId="0" applyNumberFormat="0" applyBorder="0" applyAlignment="0" applyProtection="0"/>
    <xf numFmtId="178" fontId="40" fillId="29" borderId="0" applyNumberFormat="0" applyBorder="0" applyAlignment="0" applyProtection="0"/>
    <xf numFmtId="178" fontId="40" fillId="30" borderId="0" applyNumberFormat="0" applyBorder="0" applyAlignment="0" applyProtection="0"/>
    <xf numFmtId="178" fontId="40" fillId="25" borderId="0" applyNumberFormat="0" applyBorder="0" applyAlignment="0" applyProtection="0"/>
    <xf numFmtId="178" fontId="40" fillId="31" borderId="0" applyNumberFormat="0" applyBorder="0" applyAlignment="0" applyProtection="0"/>
    <xf numFmtId="178" fontId="34" fillId="19" borderId="21" applyNumberFormat="0" applyAlignment="0" applyProtection="0"/>
    <xf numFmtId="178" fontId="33" fillId="16" borderId="0" applyNumberFormat="0" applyBorder="0" applyAlignment="0" applyProtection="0"/>
    <xf numFmtId="178" fontId="45" fillId="9" borderId="0" applyNumberFormat="0" applyBorder="0" applyAlignment="0" applyProtection="0"/>
    <xf numFmtId="178" fontId="41" fillId="11" borderId="24" applyNumberFormat="0" applyFont="0" applyAlignment="0" applyProtection="0"/>
    <xf numFmtId="178" fontId="35" fillId="19" borderId="22" applyNumberFormat="0" applyAlignment="0" applyProtection="0"/>
    <xf numFmtId="178" fontId="46" fillId="0" borderId="0" applyNumberFormat="0" applyFill="0" applyBorder="0" applyAlignment="0" applyProtection="0"/>
    <xf numFmtId="178" fontId="47" fillId="0" borderId="26" applyNumberFormat="0" applyFill="0" applyAlignment="0" applyProtection="0"/>
    <xf numFmtId="178" fontId="48" fillId="0" borderId="27" applyNumberFormat="0" applyFill="0" applyAlignment="0" applyProtection="0"/>
    <xf numFmtId="178" fontId="44" fillId="0" borderId="28" applyNumberFormat="0" applyFill="0" applyAlignment="0" applyProtection="0"/>
    <xf numFmtId="178" fontId="39" fillId="0" borderId="29" applyNumberFormat="0" applyFill="0" applyAlignment="0" applyProtection="0"/>
    <xf numFmtId="178" fontId="41" fillId="15" borderId="0" applyNumberFormat="0" applyBorder="0" applyAlignment="0" applyProtection="0"/>
    <xf numFmtId="178" fontId="41" fillId="16" borderId="0" applyNumberFormat="0" applyBorder="0" applyAlignment="0" applyProtection="0"/>
    <xf numFmtId="178" fontId="41" fillId="17" borderId="0" applyNumberFormat="0" applyBorder="0" applyAlignment="0" applyProtection="0"/>
    <xf numFmtId="178" fontId="41" fillId="18" borderId="0" applyNumberFormat="0" applyBorder="0" applyAlignment="0" applyProtection="0"/>
    <xf numFmtId="178" fontId="41" fillId="19" borderId="0" applyNumberFormat="0" applyBorder="0" applyAlignment="0" applyProtection="0"/>
    <xf numFmtId="178" fontId="41" fillId="20" borderId="0" applyNumberFormat="0" applyBorder="0" applyAlignment="0" applyProtection="0"/>
    <xf numFmtId="178" fontId="41" fillId="22" borderId="0" applyNumberFormat="0" applyBorder="0" applyAlignment="0" applyProtection="0"/>
    <xf numFmtId="178" fontId="41" fillId="18" borderId="0" applyNumberFormat="0" applyBorder="0" applyAlignment="0" applyProtection="0"/>
    <xf numFmtId="178" fontId="41" fillId="20" borderId="0" applyNumberFormat="0" applyBorder="0" applyAlignment="0" applyProtection="0"/>
    <xf numFmtId="178" fontId="41" fillId="23" borderId="0" applyNumberFormat="0" applyBorder="0" applyAlignment="0" applyProtection="0"/>
    <xf numFmtId="178" fontId="50" fillId="24" borderId="0" applyNumberFormat="0" applyBorder="0" applyAlignment="0" applyProtection="0"/>
    <xf numFmtId="178" fontId="50" fillId="21" borderId="0" applyNumberFormat="0" applyBorder="0" applyAlignment="0" applyProtection="0"/>
    <xf numFmtId="178" fontId="50" fillId="22" borderId="0" applyNumberFormat="0" applyBorder="0" applyAlignment="0" applyProtection="0"/>
    <xf numFmtId="178" fontId="50" fillId="25" borderId="0" applyNumberFormat="0" applyBorder="0" applyAlignment="0" applyProtection="0"/>
    <xf numFmtId="178" fontId="50" fillId="26" borderId="0" applyNumberFormat="0" applyBorder="0" applyAlignment="0" applyProtection="0"/>
    <xf numFmtId="178" fontId="50" fillId="27" borderId="0" applyNumberFormat="0" applyBorder="0" applyAlignment="0" applyProtection="0"/>
    <xf numFmtId="178" fontId="51" fillId="17" borderId="0" applyNumberFormat="0" applyBorder="0" applyAlignment="0" applyProtection="0"/>
    <xf numFmtId="178" fontId="52" fillId="19" borderId="31" applyNumberFormat="0" applyAlignment="0" applyProtection="0"/>
    <xf numFmtId="178" fontId="53" fillId="0" borderId="25" applyNumberFormat="0" applyFill="0" applyAlignment="0" applyProtection="0"/>
    <xf numFmtId="178" fontId="54" fillId="0" borderId="0" applyNumberFormat="0" applyFill="0" applyBorder="0" applyAlignment="0" applyProtection="0"/>
    <xf numFmtId="178" fontId="50" fillId="28" borderId="0" applyNumberFormat="0" applyBorder="0" applyAlignment="0" applyProtection="0"/>
    <xf numFmtId="178" fontId="50" fillId="29" borderId="0" applyNumberFormat="0" applyBorder="0" applyAlignment="0" applyProtection="0"/>
    <xf numFmtId="178" fontId="50" fillId="30" borderId="0" applyNumberFormat="0" applyBorder="0" applyAlignment="0" applyProtection="0"/>
    <xf numFmtId="178" fontId="50" fillId="25" borderId="0" applyNumberFormat="0" applyBorder="0" applyAlignment="0" applyProtection="0"/>
    <xf numFmtId="178" fontId="50" fillId="31" borderId="0" applyNumberFormat="0" applyBorder="0" applyAlignment="0" applyProtection="0"/>
    <xf numFmtId="178" fontId="55" fillId="19" borderId="31" applyNumberFormat="0" applyAlignment="0" applyProtection="0"/>
    <xf numFmtId="178" fontId="16" fillId="0" borderId="0" applyFont="0" applyFill="0" applyBorder="0" applyAlignment="0" applyProtection="0"/>
    <xf numFmtId="178" fontId="56" fillId="16" borderId="0" applyNumberFormat="0" applyBorder="0" applyAlignment="0" applyProtection="0"/>
    <xf numFmtId="178" fontId="57" fillId="34" borderId="0" applyNumberFormat="0" applyBorder="0" applyAlignment="0" applyProtection="0"/>
    <xf numFmtId="178" fontId="41" fillId="0" borderId="0"/>
    <xf numFmtId="178" fontId="41" fillId="0" borderId="0"/>
    <xf numFmtId="178" fontId="41" fillId="35" borderId="30" applyNumberFormat="0" applyFont="0" applyAlignment="0" applyProtection="0"/>
    <xf numFmtId="178" fontId="58" fillId="19" borderId="32" applyNumberFormat="0" applyAlignment="0" applyProtection="0"/>
    <xf numFmtId="178" fontId="49" fillId="0" borderId="0"/>
    <xf numFmtId="178" fontId="60" fillId="0" borderId="26" applyNumberFormat="0" applyFill="0" applyAlignment="0" applyProtection="0"/>
    <xf numFmtId="178" fontId="61" fillId="0" borderId="27" applyNumberFormat="0" applyFill="0" applyAlignment="0" applyProtection="0"/>
    <xf numFmtId="178" fontId="54" fillId="0" borderId="28" applyNumberFormat="0" applyFill="0" applyAlignment="0" applyProtection="0"/>
    <xf numFmtId="178" fontId="59" fillId="0" borderId="0" applyNumberFormat="0" applyFill="0" applyBorder="0" applyAlignment="0" applyProtection="0"/>
    <xf numFmtId="178" fontId="62" fillId="0" borderId="29" applyNumberFormat="0" applyFill="0" applyAlignment="0" applyProtection="0"/>
    <xf numFmtId="178" fontId="9" fillId="0" borderId="0"/>
    <xf numFmtId="178" fontId="32" fillId="32" borderId="0" applyNumberFormat="0" applyBorder="0" applyAlignment="0" applyProtection="0"/>
    <xf numFmtId="178" fontId="33" fillId="33" borderId="0" applyNumberFormat="0" applyBorder="0" applyAlignment="0" applyProtection="0"/>
    <xf numFmtId="178" fontId="36" fillId="10" borderId="23" applyNumberFormat="0" applyAlignment="0" applyProtection="0"/>
    <xf numFmtId="178" fontId="37" fillId="0" borderId="0" applyNumberFormat="0" applyFill="0" applyBorder="0" applyAlignment="0" applyProtection="0"/>
    <xf numFmtId="178" fontId="38" fillId="0" borderId="0" applyNumberFormat="0" applyFill="0" applyBorder="0" applyAlignment="0" applyProtection="0"/>
    <xf numFmtId="178" fontId="9" fillId="12" borderId="0" applyNumberFormat="0" applyBorder="0" applyAlignment="0" applyProtection="0"/>
    <xf numFmtId="178" fontId="40" fillId="13" borderId="0" applyNumberFormat="0" applyBorder="0" applyAlignment="0" applyProtection="0"/>
    <xf numFmtId="178" fontId="9" fillId="14" borderId="0" applyNumberFormat="0" applyBorder="0" applyAlignment="0" applyProtection="0"/>
    <xf numFmtId="178" fontId="11" fillId="0" borderId="0"/>
    <xf numFmtId="178" fontId="16" fillId="0" borderId="0" applyFont="0" applyFill="0" applyBorder="0" applyAlignment="0" applyProtection="0"/>
    <xf numFmtId="178" fontId="11" fillId="0" borderId="0"/>
    <xf numFmtId="178" fontId="9" fillId="0" borderId="0"/>
    <xf numFmtId="178" fontId="26" fillId="0" borderId="0"/>
    <xf numFmtId="178" fontId="9" fillId="0" borderId="0"/>
    <xf numFmtId="178" fontId="9" fillId="15" borderId="0" applyNumberFormat="0" applyBorder="0" applyAlignment="0" applyProtection="0"/>
    <xf numFmtId="178" fontId="9" fillId="16" borderId="0" applyNumberFormat="0" applyBorder="0" applyAlignment="0" applyProtection="0"/>
    <xf numFmtId="178" fontId="9" fillId="17" borderId="0" applyNumberFormat="0" applyBorder="0" applyAlignment="0" applyProtection="0"/>
    <xf numFmtId="178" fontId="9" fillId="18" borderId="0" applyNumberFormat="0" applyBorder="0" applyAlignment="0" applyProtection="0"/>
    <xf numFmtId="178" fontId="9" fillId="19" borderId="0" applyNumberFormat="0" applyBorder="0" applyAlignment="0" applyProtection="0"/>
    <xf numFmtId="178" fontId="9" fillId="20" borderId="0" applyNumberFormat="0" applyBorder="0" applyAlignment="0" applyProtection="0"/>
    <xf numFmtId="178" fontId="9" fillId="22" borderId="0" applyNumberFormat="0" applyBorder="0" applyAlignment="0" applyProtection="0"/>
    <xf numFmtId="178" fontId="9" fillId="18" borderId="0" applyNumberFormat="0" applyBorder="0" applyAlignment="0" applyProtection="0"/>
    <xf numFmtId="178" fontId="9" fillId="20" borderId="0" applyNumberFormat="0" applyBorder="0" applyAlignment="0" applyProtection="0"/>
    <xf numFmtId="178" fontId="9" fillId="23" borderId="0" applyNumberFormat="0" applyBorder="0" applyAlignment="0" applyProtection="0"/>
    <xf numFmtId="178" fontId="40" fillId="24" borderId="0" applyNumberFormat="0" applyBorder="0" applyAlignment="0" applyProtection="0"/>
    <xf numFmtId="178" fontId="40" fillId="21" borderId="0" applyNumberFormat="0" applyBorder="0" applyAlignment="0" applyProtection="0"/>
    <xf numFmtId="178" fontId="40" fillId="22" borderId="0" applyNumberFormat="0" applyBorder="0" applyAlignment="0" applyProtection="0"/>
    <xf numFmtId="178" fontId="40" fillId="25" borderId="0" applyNumberFormat="0" applyBorder="0" applyAlignment="0" applyProtection="0"/>
    <xf numFmtId="178" fontId="40" fillId="26" borderId="0" applyNumberFormat="0" applyBorder="0" applyAlignment="0" applyProtection="0"/>
    <xf numFmtId="178" fontId="40" fillId="27" borderId="0" applyNumberFormat="0" applyBorder="0" applyAlignment="0" applyProtection="0"/>
    <xf numFmtId="178" fontId="32" fillId="17" borderId="0" applyNumberFormat="0" applyBorder="0" applyAlignment="0" applyProtection="0"/>
    <xf numFmtId="178" fontId="42" fillId="19" borderId="21" applyNumberFormat="0" applyAlignment="0" applyProtection="0"/>
    <xf numFmtId="178" fontId="43" fillId="0" borderId="25" applyNumberFormat="0" applyFill="0" applyAlignment="0" applyProtection="0"/>
    <xf numFmtId="178" fontId="44" fillId="0" borderId="0" applyNumberFormat="0" applyFill="0" applyBorder="0" applyAlignment="0" applyProtection="0"/>
    <xf numFmtId="178" fontId="40" fillId="28" borderId="0" applyNumberFormat="0" applyBorder="0" applyAlignment="0" applyProtection="0"/>
    <xf numFmtId="178" fontId="40" fillId="29" borderId="0" applyNumberFormat="0" applyBorder="0" applyAlignment="0" applyProtection="0"/>
    <xf numFmtId="178" fontId="40" fillId="30" borderId="0" applyNumberFormat="0" applyBorder="0" applyAlignment="0" applyProtection="0"/>
    <xf numFmtId="178" fontId="40" fillId="25" borderId="0" applyNumberFormat="0" applyBorder="0" applyAlignment="0" applyProtection="0"/>
    <xf numFmtId="178" fontId="40" fillId="31" borderId="0" applyNumberFormat="0" applyBorder="0" applyAlignment="0" applyProtection="0"/>
    <xf numFmtId="178" fontId="34" fillId="19" borderId="21" applyNumberFormat="0" applyAlignment="0" applyProtection="0"/>
    <xf numFmtId="178" fontId="33" fillId="16" borderId="0" applyNumberFormat="0" applyBorder="0" applyAlignment="0" applyProtection="0"/>
    <xf numFmtId="178" fontId="45" fillId="9" borderId="0" applyNumberFormat="0" applyBorder="0" applyAlignment="0" applyProtection="0"/>
    <xf numFmtId="178" fontId="41" fillId="11" borderId="24" applyNumberFormat="0" applyFont="0" applyAlignment="0" applyProtection="0"/>
    <xf numFmtId="178" fontId="35" fillId="19" borderId="22" applyNumberFormat="0" applyAlignment="0" applyProtection="0"/>
    <xf numFmtId="178" fontId="46" fillId="0" borderId="0" applyNumberFormat="0" applyFill="0" applyBorder="0" applyAlignment="0" applyProtection="0"/>
    <xf numFmtId="178" fontId="47" fillId="0" borderId="26" applyNumberFormat="0" applyFill="0" applyAlignment="0" applyProtection="0"/>
    <xf numFmtId="178" fontId="48" fillId="0" borderId="27" applyNumberFormat="0" applyFill="0" applyAlignment="0" applyProtection="0"/>
    <xf numFmtId="178" fontId="44" fillId="0" borderId="28" applyNumberFormat="0" applyFill="0" applyAlignment="0" applyProtection="0"/>
    <xf numFmtId="178" fontId="39" fillId="0" borderId="29" applyNumberFormat="0" applyFill="0" applyAlignment="0" applyProtection="0"/>
    <xf numFmtId="165" fontId="63" fillId="0" borderId="0" applyFont="0" applyFill="0" applyBorder="0" applyAlignment="0" applyProtection="0"/>
    <xf numFmtId="164" fontId="8" fillId="0" borderId="0" applyFont="0" applyFill="0" applyBorder="0" applyAlignment="0" applyProtection="0"/>
    <xf numFmtId="0" fontId="8" fillId="0" borderId="0"/>
    <xf numFmtId="0" fontId="11" fillId="0" borderId="0"/>
    <xf numFmtId="16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49" fillId="0" borderId="0"/>
    <xf numFmtId="0" fontId="6" fillId="0" borderId="0"/>
    <xf numFmtId="43" fontId="5" fillId="0" borderId="0" applyFont="0" applyFill="0" applyBorder="0" applyAlignment="0" applyProtection="0"/>
    <xf numFmtId="0" fontId="5" fillId="0" borderId="0"/>
    <xf numFmtId="0" fontId="40" fillId="41" borderId="0" applyNumberFormat="0" applyBorder="0" applyAlignment="0" applyProtection="0"/>
    <xf numFmtId="0" fontId="4" fillId="0" borderId="0"/>
    <xf numFmtId="9" fontId="4" fillId="0" borderId="0" applyFont="0" applyFill="0" applyBorder="0" applyAlignment="0" applyProtection="0"/>
    <xf numFmtId="0" fontId="73" fillId="9" borderId="0" applyNumberFormat="0" applyBorder="0" applyAlignment="0" applyProtection="0"/>
    <xf numFmtId="0" fontId="40" fillId="52" borderId="0" applyNumberFormat="0" applyBorder="0" applyAlignment="0" applyProtection="0"/>
    <xf numFmtId="43" fontId="83" fillId="0" borderId="0" applyFont="0" applyFill="0" applyBorder="0" applyAlignment="0" applyProtection="0"/>
    <xf numFmtId="0" fontId="3" fillId="0" borderId="0"/>
    <xf numFmtId="0" fontId="94" fillId="0" borderId="0" applyNumberForma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cellStyleXfs>
  <cellXfs count="743">
    <xf numFmtId="0" fontId="0" fillId="0" borderId="0" xfId="0"/>
    <xf numFmtId="0" fontId="19" fillId="0" borderId="0" xfId="0" applyFont="1" applyAlignment="1">
      <alignment vertical="center"/>
    </xf>
    <xf numFmtId="168" fontId="19" fillId="0" borderId="0" xfId="0" applyNumberFormat="1" applyFont="1" applyAlignment="1">
      <alignment horizontal="center" vertical="center"/>
    </xf>
    <xf numFmtId="2" fontId="19" fillId="0" borderId="0" xfId="0" applyNumberFormat="1" applyFont="1" applyAlignment="1">
      <alignment vertical="center"/>
    </xf>
    <xf numFmtId="0" fontId="0" fillId="0" borderId="0" xfId="0" applyAlignment="1">
      <alignment horizontal="center"/>
    </xf>
    <xf numFmtId="0" fontId="0" fillId="0" borderId="0" xfId="0" applyAlignment="1">
      <alignment vertical="center"/>
    </xf>
    <xf numFmtId="0" fontId="11" fillId="0" borderId="2" xfId="0" applyFont="1" applyBorder="1" applyAlignment="1">
      <alignment vertical="center"/>
    </xf>
    <xf numFmtId="0" fontId="0" fillId="0" borderId="3" xfId="0" applyBorder="1" applyAlignment="1">
      <alignment vertical="center"/>
    </xf>
    <xf numFmtId="0" fontId="0" fillId="0" borderId="1" xfId="0" applyBorder="1" applyAlignment="1">
      <alignment vertical="center"/>
    </xf>
    <xf numFmtId="0" fontId="11" fillId="0" borderId="0" xfId="0" applyFont="1" applyAlignment="1">
      <alignment vertical="center"/>
    </xf>
    <xf numFmtId="169" fontId="0" fillId="0" borderId="0" xfId="0" applyNumberFormat="1" applyAlignment="1">
      <alignment vertical="center"/>
    </xf>
    <xf numFmtId="169" fontId="0" fillId="2" borderId="0" xfId="0" applyNumberFormat="1" applyFill="1" applyAlignment="1">
      <alignment vertical="center"/>
    </xf>
    <xf numFmtId="174" fontId="14" fillId="0" borderId="0" xfId="0" applyNumberFormat="1" applyFont="1" applyAlignment="1">
      <alignment vertical="center"/>
    </xf>
    <xf numFmtId="0" fontId="11" fillId="0" borderId="4" xfId="0" applyFont="1" applyBorder="1" applyAlignment="1">
      <alignment vertical="center"/>
    </xf>
    <xf numFmtId="9" fontId="0" fillId="0" borderId="0" xfId="0" applyNumberFormat="1" applyAlignment="1">
      <alignment vertical="center"/>
    </xf>
    <xf numFmtId="0" fontId="12" fillId="0" borderId="1" xfId="0" applyFont="1" applyBorder="1" applyAlignment="1">
      <alignment vertical="center"/>
    </xf>
    <xf numFmtId="9" fontId="0" fillId="0" borderId="2" xfId="0" applyNumberFormat="1" applyBorder="1" applyAlignment="1">
      <alignment vertical="center"/>
    </xf>
    <xf numFmtId="0" fontId="11" fillId="0" borderId="1" xfId="0" applyFont="1" applyBorder="1" applyAlignment="1">
      <alignment vertical="center"/>
    </xf>
    <xf numFmtId="9" fontId="0" fillId="0" borderId="0" xfId="0" applyNumberFormat="1" applyAlignment="1">
      <alignment horizontal="center"/>
    </xf>
    <xf numFmtId="10" fontId="0" fillId="0" borderId="0" xfId="0" applyNumberFormat="1"/>
    <xf numFmtId="0" fontId="12" fillId="0" borderId="0" xfId="0" applyFont="1"/>
    <xf numFmtId="0" fontId="11" fillId="0" borderId="0" xfId="0" applyFont="1"/>
    <xf numFmtId="9" fontId="11" fillId="0" borderId="0" xfId="0" applyNumberFormat="1" applyFont="1" applyAlignment="1">
      <alignment horizontal="center"/>
    </xf>
    <xf numFmtId="10" fontId="11" fillId="0" borderId="0" xfId="0" applyNumberFormat="1" applyFont="1"/>
    <xf numFmtId="0" fontId="11" fillId="0" borderId="0" xfId="0" applyFont="1" applyAlignment="1">
      <alignment horizontal="center"/>
    </xf>
    <xf numFmtId="0" fontId="19" fillId="0" borderId="15" xfId="0" applyFont="1" applyBorder="1" applyAlignment="1" applyProtection="1">
      <alignment vertical="center"/>
      <protection locked="0"/>
    </xf>
    <xf numFmtId="0" fontId="11" fillId="0" borderId="15" xfId="0" applyFont="1" applyBorder="1" applyAlignment="1">
      <alignment horizontal="center"/>
    </xf>
    <xf numFmtId="9" fontId="29" fillId="4" borderId="15" xfId="0" applyNumberFormat="1" applyFont="1" applyFill="1" applyBorder="1" applyAlignment="1">
      <alignment horizontal="center" vertical="center"/>
    </xf>
    <xf numFmtId="0" fontId="29" fillId="4" borderId="15" xfId="0" applyFont="1" applyFill="1" applyBorder="1" applyAlignment="1">
      <alignment horizontal="center" vertical="center"/>
    </xf>
    <xf numFmtId="0" fontId="30" fillId="4" borderId="15" xfId="0" applyFont="1" applyFill="1" applyBorder="1" applyAlignment="1">
      <alignment horizontal="center"/>
    </xf>
    <xf numFmtId="0" fontId="0" fillId="0" borderId="15" xfId="0" applyBorder="1" applyAlignment="1">
      <alignment horizontal="center"/>
    </xf>
    <xf numFmtId="0" fontId="31" fillId="0" borderId="15" xfId="0" applyFont="1" applyBorder="1" applyAlignment="1">
      <alignment vertical="center" wrapText="1"/>
    </xf>
    <xf numFmtId="0" fontId="19" fillId="0" borderId="0" xfId="0" applyFont="1" applyAlignment="1">
      <alignment vertical="center" wrapText="1"/>
    </xf>
    <xf numFmtId="0" fontId="20" fillId="0" borderId="0" xfId="0" applyFont="1" applyAlignment="1">
      <alignment horizontal="center" vertical="center"/>
    </xf>
    <xf numFmtId="0" fontId="0" fillId="0" borderId="0" xfId="0" applyAlignment="1">
      <alignment horizontal="center" vertical="center"/>
    </xf>
    <xf numFmtId="9" fontId="29" fillId="4" borderId="15" xfId="0" applyNumberFormat="1" applyFont="1" applyFill="1" applyBorder="1" applyAlignment="1">
      <alignment horizontal="left" vertical="center"/>
    </xf>
    <xf numFmtId="9" fontId="27" fillId="4" borderId="16" xfId="0" applyNumberFormat="1" applyFont="1" applyFill="1" applyBorder="1" applyAlignment="1">
      <alignment horizontal="center" vertical="center"/>
    </xf>
    <xf numFmtId="9" fontId="27" fillId="4" borderId="15" xfId="0" applyNumberFormat="1" applyFont="1" applyFill="1" applyBorder="1" applyAlignment="1">
      <alignment horizontal="center" vertical="center"/>
    </xf>
    <xf numFmtId="9" fontId="27" fillId="4" borderId="7" xfId="0" applyNumberFormat="1" applyFont="1" applyFill="1" applyBorder="1" applyAlignment="1">
      <alignment horizontal="center" vertical="center"/>
    </xf>
    <xf numFmtId="0" fontId="27" fillId="4" borderId="15" xfId="0" applyFont="1" applyFill="1" applyBorder="1" applyAlignment="1">
      <alignment horizontal="center" vertical="center"/>
    </xf>
    <xf numFmtId="0" fontId="11" fillId="5" borderId="15" xfId="0" applyFont="1" applyFill="1" applyBorder="1" applyAlignment="1">
      <alignment horizontal="center" vertical="center"/>
    </xf>
    <xf numFmtId="0" fontId="0" fillId="0" borderId="15" xfId="0" applyBorder="1" applyAlignment="1">
      <alignment horizontal="center" vertical="center"/>
    </xf>
    <xf numFmtId="0" fontId="0" fillId="42" borderId="15" xfId="0" applyFill="1" applyBorder="1" applyAlignment="1">
      <alignment horizontal="center"/>
    </xf>
    <xf numFmtId="0" fontId="11" fillId="5" borderId="15" xfId="0" applyFont="1" applyFill="1" applyBorder="1" applyAlignment="1">
      <alignment horizontal="center"/>
    </xf>
    <xf numFmtId="0" fontId="11" fillId="5" borderId="15" xfId="0" applyFont="1" applyFill="1" applyBorder="1" applyAlignment="1">
      <alignment horizontal="left"/>
    </xf>
    <xf numFmtId="165" fontId="0" fillId="0" borderId="15" xfId="0" applyNumberFormat="1" applyBorder="1"/>
    <xf numFmtId="0" fontId="0" fillId="43" borderId="15" xfId="0" applyFill="1" applyBorder="1" applyAlignment="1">
      <alignment horizontal="center"/>
    </xf>
    <xf numFmtId="0" fontId="11" fillId="43" borderId="15" xfId="0" applyFont="1" applyFill="1" applyBorder="1" applyAlignment="1">
      <alignment horizontal="center"/>
    </xf>
    <xf numFmtId="0" fontId="11" fillId="43" borderId="0" xfId="0" applyFont="1" applyFill="1" applyAlignment="1">
      <alignment horizontal="left"/>
    </xf>
    <xf numFmtId="165" fontId="0" fillId="43" borderId="15" xfId="0" applyNumberFormat="1" applyFill="1" applyBorder="1"/>
    <xf numFmtId="0" fontId="11" fillId="43" borderId="15" xfId="0" applyFont="1" applyFill="1" applyBorder="1" applyAlignment="1">
      <alignment horizontal="left"/>
    </xf>
    <xf numFmtId="0" fontId="0" fillId="42" borderId="15" xfId="0" applyFill="1" applyBorder="1" applyAlignment="1">
      <alignment horizontal="center" vertical="center"/>
    </xf>
    <xf numFmtId="0" fontId="0" fillId="5" borderId="15" xfId="0" applyFill="1" applyBorder="1" applyAlignment="1">
      <alignment horizontal="left" vertical="center"/>
    </xf>
    <xf numFmtId="3" fontId="0" fillId="42" borderId="15" xfId="0" applyNumberFormat="1" applyFill="1" applyBorder="1" applyAlignment="1">
      <alignment horizontal="center"/>
    </xf>
    <xf numFmtId="3" fontId="0" fillId="0" borderId="15" xfId="0" quotePrefix="1" applyNumberFormat="1" applyBorder="1" applyAlignment="1">
      <alignment horizontal="center"/>
    </xf>
    <xf numFmtId="0" fontId="0" fillId="0" borderId="15" xfId="0" applyBorder="1"/>
    <xf numFmtId="0" fontId="0" fillId="3" borderId="15" xfId="0" applyFill="1" applyBorder="1" applyAlignment="1">
      <alignment horizontal="center"/>
    </xf>
    <xf numFmtId="0" fontId="0" fillId="44" borderId="15" xfId="0" applyFill="1" applyBorder="1" applyAlignment="1">
      <alignment horizontal="center" vertical="center"/>
    </xf>
    <xf numFmtId="0" fontId="11" fillId="45" borderId="15" xfId="0" applyFont="1" applyFill="1" applyBorder="1" applyAlignment="1">
      <alignment horizontal="center"/>
    </xf>
    <xf numFmtId="49" fontId="69" fillId="0" borderId="15" xfId="0" applyNumberFormat="1" applyFont="1" applyBorder="1"/>
    <xf numFmtId="0" fontId="11" fillId="5" borderId="0" xfId="0" applyFont="1" applyFill="1" applyAlignment="1">
      <alignment horizontal="left"/>
    </xf>
    <xf numFmtId="0" fontId="0" fillId="43" borderId="15" xfId="0" applyFill="1" applyBorder="1" applyAlignment="1">
      <alignment horizontal="center" vertical="center"/>
    </xf>
    <xf numFmtId="0" fontId="0" fillId="43" borderId="15" xfId="0" applyFill="1" applyBorder="1" applyAlignment="1">
      <alignment horizontal="left" vertical="center"/>
    </xf>
    <xf numFmtId="0" fontId="0" fillId="45" borderId="15" xfId="0" applyFill="1" applyBorder="1"/>
    <xf numFmtId="0" fontId="11" fillId="45" borderId="7" xfId="0" applyFont="1" applyFill="1" applyBorder="1" applyAlignment="1">
      <alignment horizontal="center"/>
    </xf>
    <xf numFmtId="49" fontId="69" fillId="0" borderId="7" xfId="0" applyNumberFormat="1" applyFont="1" applyBorder="1"/>
    <xf numFmtId="0" fontId="0" fillId="0" borderId="7" xfId="0" applyBorder="1"/>
    <xf numFmtId="0" fontId="11" fillId="5" borderId="7" xfId="0" applyFont="1" applyFill="1" applyBorder="1" applyAlignment="1">
      <alignment horizontal="center"/>
    </xf>
    <xf numFmtId="165" fontId="0" fillId="0" borderId="7" xfId="0" applyNumberFormat="1" applyBorder="1"/>
    <xf numFmtId="0" fontId="14" fillId="0" borderId="0" xfId="0" applyFont="1" applyAlignment="1">
      <alignment vertical="center"/>
    </xf>
    <xf numFmtId="0" fontId="14" fillId="0" borderId="0" xfId="0" applyFont="1"/>
    <xf numFmtId="0" fontId="14" fillId="0" borderId="0" xfId="0" applyFont="1" applyAlignment="1">
      <alignment vertical="top"/>
    </xf>
    <xf numFmtId="0" fontId="28" fillId="4" borderId="8" xfId="0" applyFont="1" applyFill="1" applyBorder="1" applyAlignment="1" applyProtection="1">
      <alignment horizontal="center" vertical="center" wrapText="1"/>
      <protection locked="0"/>
    </xf>
    <xf numFmtId="0" fontId="28" fillId="4" borderId="17" xfId="0" applyFont="1" applyFill="1" applyBorder="1" applyAlignment="1" applyProtection="1">
      <alignment horizontal="center" vertical="center" wrapText="1"/>
      <protection locked="0"/>
    </xf>
    <xf numFmtId="0" fontId="28" fillId="4" borderId="8" xfId="0" applyFont="1" applyFill="1" applyBorder="1" applyAlignment="1" applyProtection="1">
      <alignment horizontal="center" vertical="center"/>
      <protection locked="0"/>
    </xf>
    <xf numFmtId="0" fontId="28" fillId="4" borderId="12" xfId="0" applyFont="1" applyFill="1" applyBorder="1" applyAlignment="1" applyProtection="1">
      <alignment vertical="center"/>
      <protection locked="0"/>
    </xf>
    <xf numFmtId="0" fontId="70" fillId="4" borderId="16" xfId="0" applyFont="1" applyFill="1" applyBorder="1" applyAlignment="1" applyProtection="1">
      <alignment horizontal="center" vertical="center" wrapText="1"/>
      <protection locked="0"/>
    </xf>
    <xf numFmtId="0" fontId="70" fillId="4" borderId="14" xfId="0" applyFont="1" applyFill="1" applyBorder="1" applyAlignment="1" applyProtection="1">
      <alignment horizontal="center" vertical="center"/>
      <protection locked="0"/>
    </xf>
    <xf numFmtId="0" fontId="70" fillId="4" borderId="14" xfId="0" applyFont="1" applyFill="1" applyBorder="1" applyAlignment="1" applyProtection="1">
      <alignment horizontal="center" vertical="center" wrapText="1"/>
      <protection locked="0"/>
    </xf>
    <xf numFmtId="0" fontId="70" fillId="4" borderId="14" xfId="0" applyFont="1" applyFill="1" applyBorder="1" applyAlignment="1" applyProtection="1">
      <alignment vertical="center"/>
      <protection locked="0"/>
    </xf>
    <xf numFmtId="0" fontId="71" fillId="0" borderId="0" xfId="0" applyFont="1" applyAlignment="1">
      <alignment vertical="center"/>
    </xf>
    <xf numFmtId="0" fontId="71" fillId="0" borderId="0" xfId="0" applyFont="1"/>
    <xf numFmtId="0" fontId="12" fillId="0" borderId="15" xfId="0" applyFont="1" applyBorder="1" applyAlignment="1" applyProtection="1">
      <alignment horizontal="centerContinuous"/>
      <protection locked="0"/>
    </xf>
    <xf numFmtId="0" fontId="13" fillId="5" borderId="0" xfId="0" applyFont="1" applyFill="1" applyProtection="1">
      <protection locked="0"/>
    </xf>
    <xf numFmtId="1" fontId="14" fillId="8" borderId="38" xfId="0" applyNumberFormat="1" applyFont="1" applyFill="1" applyBorder="1" applyAlignment="1" applyProtection="1">
      <alignment horizontal="center" vertical="center"/>
      <protection locked="0"/>
    </xf>
    <xf numFmtId="1" fontId="14" fillId="8" borderId="41" xfId="0" applyNumberFormat="1" applyFont="1" applyFill="1" applyBorder="1" applyAlignment="1" applyProtection="1">
      <alignment horizontal="center" vertical="center"/>
      <protection locked="0"/>
    </xf>
    <xf numFmtId="1" fontId="14" fillId="6" borderId="35" xfId="0" applyNumberFormat="1" applyFont="1" applyFill="1" applyBorder="1" applyAlignment="1" applyProtection="1">
      <alignment horizontal="center" vertical="center"/>
      <protection locked="0"/>
    </xf>
    <xf numFmtId="1" fontId="14" fillId="6" borderId="38" xfId="0" applyNumberFormat="1" applyFont="1" applyFill="1" applyBorder="1" applyAlignment="1" applyProtection="1">
      <alignment horizontal="center" vertical="center"/>
      <protection locked="0"/>
    </xf>
    <xf numFmtId="1" fontId="14" fillId="6" borderId="41" xfId="0" applyNumberFormat="1" applyFont="1" applyFill="1" applyBorder="1" applyAlignment="1" applyProtection="1">
      <alignment horizontal="center" vertical="center"/>
      <protection locked="0"/>
    </xf>
    <xf numFmtId="9" fontId="14" fillId="38" borderId="34" xfId="6" applyFont="1" applyFill="1" applyBorder="1" applyAlignment="1" applyProtection="1">
      <alignment horizontal="center" vertical="center"/>
      <protection locked="0"/>
    </xf>
    <xf numFmtId="49" fontId="14" fillId="38" borderId="35" xfId="6" applyNumberFormat="1" applyFont="1" applyFill="1" applyBorder="1" applyAlignment="1" applyProtection="1">
      <alignment horizontal="center" vertical="center"/>
      <protection locked="0"/>
    </xf>
    <xf numFmtId="1" fontId="14" fillId="38" borderId="35" xfId="0" applyNumberFormat="1" applyFont="1" applyFill="1" applyBorder="1" applyAlignment="1" applyProtection="1">
      <alignment horizontal="center" vertical="center"/>
      <protection locked="0"/>
    </xf>
    <xf numFmtId="2" fontId="14" fillId="38" borderId="35" xfId="0" applyNumberFormat="1" applyFont="1" applyFill="1" applyBorder="1" applyAlignment="1" applyProtection="1">
      <alignment horizontal="center" vertical="center"/>
      <protection locked="0"/>
    </xf>
    <xf numFmtId="9" fontId="14" fillId="38" borderId="35" xfId="6" applyFont="1" applyFill="1" applyBorder="1" applyAlignment="1" applyProtection="1">
      <alignment horizontal="center" vertical="center"/>
      <protection locked="0"/>
    </xf>
    <xf numFmtId="9" fontId="14" fillId="38" borderId="36" xfId="6" applyFont="1" applyFill="1" applyBorder="1" applyAlignment="1" applyProtection="1">
      <alignment horizontal="center" vertical="center"/>
      <protection locked="0"/>
    </xf>
    <xf numFmtId="9" fontId="14" fillId="38" borderId="37" xfId="6" applyFont="1" applyFill="1" applyBorder="1" applyAlignment="1" applyProtection="1">
      <alignment horizontal="center" vertical="center"/>
      <protection locked="0"/>
    </xf>
    <xf numFmtId="49" fontId="14" fillId="38" borderId="38" xfId="6" applyNumberFormat="1" applyFont="1" applyFill="1" applyBorder="1" applyAlignment="1" applyProtection="1">
      <alignment horizontal="center" vertical="center"/>
      <protection locked="0"/>
    </xf>
    <xf numFmtId="1" fontId="14" fillId="38" borderId="38" xfId="0" applyNumberFormat="1" applyFont="1" applyFill="1" applyBorder="1" applyAlignment="1" applyProtection="1">
      <alignment horizontal="center" vertical="center"/>
      <protection locked="0"/>
    </xf>
    <xf numFmtId="2" fontId="14" fillId="38" borderId="38" xfId="0" applyNumberFormat="1" applyFont="1" applyFill="1" applyBorder="1" applyAlignment="1" applyProtection="1">
      <alignment horizontal="center" vertical="center"/>
      <protection locked="0"/>
    </xf>
    <xf numFmtId="9" fontId="14" fillId="38" borderId="38" xfId="6" applyFont="1" applyFill="1" applyBorder="1" applyAlignment="1" applyProtection="1">
      <alignment horizontal="center" vertical="center"/>
      <protection locked="0"/>
    </xf>
    <xf numFmtId="9" fontId="14" fillId="38" borderId="39" xfId="6" applyFont="1" applyFill="1" applyBorder="1" applyAlignment="1" applyProtection="1">
      <alignment horizontal="center" vertical="center"/>
      <protection locked="0"/>
    </xf>
    <xf numFmtId="9" fontId="14" fillId="38" borderId="40" xfId="6" applyFont="1" applyFill="1" applyBorder="1" applyAlignment="1" applyProtection="1">
      <alignment horizontal="center" vertical="center"/>
      <protection locked="0"/>
    </xf>
    <xf numFmtId="49" fontId="14" fillId="38" borderId="41" xfId="6" applyNumberFormat="1" applyFont="1" applyFill="1" applyBorder="1" applyAlignment="1" applyProtection="1">
      <alignment horizontal="center" vertical="center"/>
      <protection locked="0"/>
    </xf>
    <xf numFmtId="1" fontId="14" fillId="38" borderId="41" xfId="0" applyNumberFormat="1" applyFont="1" applyFill="1" applyBorder="1" applyAlignment="1" applyProtection="1">
      <alignment horizontal="center" vertical="center"/>
      <protection locked="0"/>
    </xf>
    <xf numFmtId="2" fontId="14" fillId="38" borderId="41" xfId="0" applyNumberFormat="1" applyFont="1" applyFill="1" applyBorder="1" applyAlignment="1" applyProtection="1">
      <alignment horizontal="center" vertical="center"/>
      <protection locked="0"/>
    </xf>
    <xf numFmtId="9" fontId="14" fillId="38" borderId="41" xfId="6" applyFont="1" applyFill="1" applyBorder="1" applyAlignment="1" applyProtection="1">
      <alignment horizontal="center" vertical="center"/>
      <protection locked="0"/>
    </xf>
    <xf numFmtId="9" fontId="14" fillId="38" borderId="42" xfId="6" applyFont="1" applyFill="1" applyBorder="1" applyAlignment="1" applyProtection="1">
      <alignment horizontal="center" vertical="center"/>
      <protection locked="0"/>
    </xf>
    <xf numFmtId="1" fontId="14" fillId="37" borderId="35" xfId="0" applyNumberFormat="1" applyFont="1" applyFill="1" applyBorder="1" applyAlignment="1" applyProtection="1">
      <alignment horizontal="center" vertical="center"/>
      <protection locked="0"/>
    </xf>
    <xf numFmtId="177" fontId="14" fillId="37" borderId="36" xfId="0" applyNumberFormat="1" applyFont="1" applyFill="1" applyBorder="1" applyAlignment="1" applyProtection="1">
      <alignment horizontal="center" vertical="center"/>
      <protection locked="0"/>
    </xf>
    <xf numFmtId="1" fontId="14" fillId="37" borderId="38" xfId="0" applyNumberFormat="1" applyFont="1" applyFill="1" applyBorder="1" applyAlignment="1" applyProtection="1">
      <alignment horizontal="center" vertical="center"/>
      <protection locked="0"/>
    </xf>
    <xf numFmtId="177" fontId="14" fillId="37" borderId="39" xfId="0" applyNumberFormat="1" applyFont="1" applyFill="1" applyBorder="1" applyAlignment="1" applyProtection="1">
      <alignment horizontal="center" vertical="center"/>
      <protection locked="0"/>
    </xf>
    <xf numFmtId="1" fontId="14" fillId="37" borderId="41" xfId="0" applyNumberFormat="1" applyFont="1" applyFill="1" applyBorder="1" applyAlignment="1" applyProtection="1">
      <alignment horizontal="center" vertical="center"/>
      <protection locked="0"/>
    </xf>
    <xf numFmtId="177" fontId="14" fillId="37" borderId="42" xfId="0" applyNumberFormat="1" applyFont="1" applyFill="1" applyBorder="1" applyAlignment="1" applyProtection="1">
      <alignment horizontal="center" vertical="center"/>
      <protection locked="0"/>
    </xf>
    <xf numFmtId="0" fontId="14" fillId="6" borderId="34" xfId="0" applyFont="1" applyFill="1" applyBorder="1" applyAlignment="1" applyProtection="1">
      <alignment horizontal="center" vertical="center"/>
      <protection locked="0"/>
    </xf>
    <xf numFmtId="0" fontId="14" fillId="6" borderId="35" xfId="0" applyFont="1" applyFill="1" applyBorder="1" applyAlignment="1" applyProtection="1">
      <alignment horizontal="center" vertical="center"/>
      <protection locked="0"/>
    </xf>
    <xf numFmtId="0" fontId="14" fillId="6" borderId="37" xfId="0" applyFont="1" applyFill="1" applyBorder="1" applyAlignment="1" applyProtection="1">
      <alignment horizontal="center" vertical="center"/>
      <protection locked="0"/>
    </xf>
    <xf numFmtId="0" fontId="14" fillId="6" borderId="38" xfId="0" applyFont="1" applyFill="1" applyBorder="1" applyAlignment="1" applyProtection="1">
      <alignment horizontal="center" vertical="center"/>
      <protection locked="0"/>
    </xf>
    <xf numFmtId="0" fontId="14" fillId="6" borderId="38" xfId="0" applyFont="1" applyFill="1" applyBorder="1" applyAlignment="1" applyProtection="1">
      <alignment horizontal="left" vertical="center"/>
      <protection locked="0"/>
    </xf>
    <xf numFmtId="9" fontId="14" fillId="6" borderId="38" xfId="6" applyFont="1" applyFill="1" applyBorder="1" applyAlignment="1" applyProtection="1">
      <alignment horizontal="center" vertical="center"/>
      <protection locked="0"/>
    </xf>
    <xf numFmtId="170" fontId="14" fillId="6" borderId="38" xfId="6" applyNumberFormat="1" applyFont="1" applyFill="1" applyBorder="1" applyAlignment="1" applyProtection="1">
      <alignment horizontal="center" vertical="center"/>
      <protection locked="0"/>
    </xf>
    <xf numFmtId="0" fontId="14" fillId="6" borderId="40" xfId="0" applyFont="1" applyFill="1" applyBorder="1" applyAlignment="1" applyProtection="1">
      <alignment horizontal="center" vertical="center"/>
      <protection locked="0"/>
    </xf>
    <xf numFmtId="0" fontId="14" fillId="6" borderId="41" xfId="0" applyFont="1" applyFill="1" applyBorder="1" applyAlignment="1" applyProtection="1">
      <alignment horizontal="center" vertical="center"/>
      <protection locked="0"/>
    </xf>
    <xf numFmtId="0" fontId="14" fillId="6" borderId="41" xfId="0" applyFont="1" applyFill="1" applyBorder="1" applyAlignment="1" applyProtection="1">
      <alignment horizontal="left" vertical="center"/>
      <protection locked="0"/>
    </xf>
    <xf numFmtId="9" fontId="14" fillId="6" borderId="41" xfId="6" applyFont="1" applyFill="1" applyBorder="1" applyAlignment="1" applyProtection="1">
      <alignment horizontal="center" vertical="center"/>
      <protection locked="0"/>
    </xf>
    <xf numFmtId="170" fontId="14" fillId="6" borderId="41" xfId="6" applyNumberFormat="1" applyFont="1" applyFill="1" applyBorder="1" applyAlignment="1" applyProtection="1">
      <alignment horizontal="center" vertical="center"/>
      <protection locked="0"/>
    </xf>
    <xf numFmtId="0" fontId="14" fillId="6" borderId="34" xfId="0" applyFont="1" applyFill="1" applyBorder="1" applyAlignment="1">
      <alignment horizontal="center" vertical="center"/>
    </xf>
    <xf numFmtId="0" fontId="14" fillId="6" borderId="35" xfId="0" applyFont="1" applyFill="1" applyBorder="1" applyAlignment="1">
      <alignment horizontal="center" vertical="center"/>
    </xf>
    <xf numFmtId="0" fontId="14" fillId="6" borderId="36" xfId="0" applyFont="1" applyFill="1" applyBorder="1" applyAlignment="1">
      <alignment horizontal="center" vertical="center"/>
    </xf>
    <xf numFmtId="0" fontId="14" fillId="6" borderId="37" xfId="0" applyFont="1" applyFill="1" applyBorder="1" applyAlignment="1">
      <alignment horizontal="center" vertical="center"/>
    </xf>
    <xf numFmtId="0" fontId="14" fillId="6" borderId="38" xfId="0" applyFont="1" applyFill="1" applyBorder="1" applyAlignment="1">
      <alignment horizontal="center" vertical="center"/>
    </xf>
    <xf numFmtId="0" fontId="14" fillId="6" borderId="39" xfId="0" applyFont="1" applyFill="1" applyBorder="1" applyAlignment="1">
      <alignment horizontal="center" vertical="center"/>
    </xf>
    <xf numFmtId="0" fontId="14" fillId="6" borderId="39" xfId="0" applyFont="1" applyFill="1" applyBorder="1" applyAlignment="1">
      <alignment horizontal="center" vertical="center" wrapText="1"/>
    </xf>
    <xf numFmtId="0" fontId="71" fillId="6" borderId="39" xfId="0" applyFont="1" applyFill="1" applyBorder="1" applyAlignment="1">
      <alignment horizontal="center" vertical="center"/>
    </xf>
    <xf numFmtId="0" fontId="14" fillId="6" borderId="40" xfId="0" applyFont="1" applyFill="1" applyBorder="1" applyAlignment="1">
      <alignment horizontal="center" vertical="center"/>
    </xf>
    <xf numFmtId="0" fontId="14" fillId="6" borderId="41" xfId="0" applyFont="1" applyFill="1" applyBorder="1" applyAlignment="1">
      <alignment horizontal="center" vertical="center"/>
    </xf>
    <xf numFmtId="0" fontId="71" fillId="6" borderId="42" xfId="0" applyFont="1" applyFill="1" applyBorder="1" applyAlignment="1">
      <alignment horizontal="center" vertical="center"/>
    </xf>
    <xf numFmtId="175" fontId="0" fillId="0" borderId="0" xfId="0" applyNumberFormat="1" applyAlignment="1">
      <alignment vertical="center"/>
    </xf>
    <xf numFmtId="175" fontId="0" fillId="0" borderId="2" xfId="0" applyNumberFormat="1" applyBorder="1" applyAlignment="1">
      <alignment vertical="center"/>
    </xf>
    <xf numFmtId="175" fontId="12" fillId="0" borderId="0" xfId="0" applyNumberFormat="1" applyFont="1" applyAlignment="1">
      <alignment vertical="center"/>
    </xf>
    <xf numFmtId="0" fontId="27" fillId="4" borderId="15" xfId="0" applyFont="1" applyFill="1" applyBorder="1" applyAlignment="1">
      <alignment horizontal="center" vertical="center" wrapText="1"/>
    </xf>
    <xf numFmtId="168" fontId="11" fillId="5" borderId="15" xfId="0" applyNumberFormat="1" applyFont="1" applyFill="1" applyBorder="1" applyAlignment="1" applyProtection="1">
      <alignment horizontal="center" vertical="center" wrapText="1"/>
      <protection locked="0"/>
    </xf>
    <xf numFmtId="0" fontId="13" fillId="5" borderId="0" xfId="0" applyFont="1" applyFill="1" applyAlignment="1" applyProtection="1">
      <alignment vertical="center"/>
      <protection locked="0"/>
    </xf>
    <xf numFmtId="1" fontId="14" fillId="6" borderId="34" xfId="0" applyNumberFormat="1" applyFont="1" applyFill="1" applyBorder="1" applyAlignment="1" applyProtection="1">
      <alignment horizontal="center" vertical="center"/>
      <protection locked="0"/>
    </xf>
    <xf numFmtId="169" fontId="14" fillId="6" borderId="35" xfId="0" applyNumberFormat="1" applyFont="1" applyFill="1" applyBorder="1" applyAlignment="1" applyProtection="1">
      <alignment horizontal="center" vertical="center"/>
      <protection locked="0"/>
    </xf>
    <xf numFmtId="2" fontId="14" fillId="6" borderId="35" xfId="0" applyNumberFormat="1" applyFont="1" applyFill="1" applyBorder="1" applyAlignment="1" applyProtection="1">
      <alignment horizontal="center" vertical="center"/>
      <protection locked="0"/>
    </xf>
    <xf numFmtId="169" fontId="14" fillId="37" borderId="35" xfId="0" applyNumberFormat="1" applyFont="1" applyFill="1" applyBorder="1" applyAlignment="1" applyProtection="1">
      <alignment horizontal="center" vertical="center"/>
      <protection locked="0"/>
    </xf>
    <xf numFmtId="2" fontId="14" fillId="37" borderId="35" xfId="0" applyNumberFormat="1" applyFont="1" applyFill="1" applyBorder="1" applyAlignment="1" applyProtection="1">
      <alignment horizontal="center" vertical="center"/>
      <protection locked="0"/>
    </xf>
    <xf numFmtId="0" fontId="12" fillId="5" borderId="0" xfId="0" applyFont="1" applyFill="1" applyAlignment="1" applyProtection="1">
      <alignment horizontal="center" vertical="center"/>
      <protection locked="0"/>
    </xf>
    <xf numFmtId="1" fontId="14" fillId="8" borderId="39" xfId="0" applyNumberFormat="1" applyFont="1" applyFill="1" applyBorder="1" applyAlignment="1" applyProtection="1">
      <alignment horizontal="center" vertical="center"/>
      <protection locked="0"/>
    </xf>
    <xf numFmtId="1" fontId="14" fillId="6" borderId="37" xfId="0" applyNumberFormat="1" applyFont="1" applyFill="1" applyBorder="1" applyAlignment="1" applyProtection="1">
      <alignment horizontal="center" vertical="center"/>
      <protection locked="0"/>
    </xf>
    <xf numFmtId="169" fontId="14" fillId="6" borderId="38" xfId="0" applyNumberFormat="1" applyFont="1" applyFill="1" applyBorder="1" applyAlignment="1" applyProtection="1">
      <alignment horizontal="center" vertical="center"/>
      <protection locked="0"/>
    </xf>
    <xf numFmtId="2" fontId="14" fillId="6" borderId="38" xfId="0" applyNumberFormat="1" applyFont="1" applyFill="1" applyBorder="1" applyAlignment="1" applyProtection="1">
      <alignment horizontal="center" vertical="center"/>
      <protection locked="0"/>
    </xf>
    <xf numFmtId="169" fontId="14" fillId="37" borderId="38" xfId="0" applyNumberFormat="1" applyFont="1" applyFill="1" applyBorder="1" applyAlignment="1" applyProtection="1">
      <alignment horizontal="center" vertical="center"/>
      <protection locked="0"/>
    </xf>
    <xf numFmtId="2" fontId="14" fillId="37" borderId="38" xfId="0" applyNumberFormat="1" applyFont="1" applyFill="1" applyBorder="1" applyAlignment="1" applyProtection="1">
      <alignment horizontal="center" vertical="center"/>
      <protection locked="0"/>
    </xf>
    <xf numFmtId="0" fontId="13" fillId="5" borderId="0" xfId="0" applyFont="1" applyFill="1" applyAlignment="1" applyProtection="1">
      <alignment horizontal="center" vertical="center"/>
      <protection locked="0"/>
    </xf>
    <xf numFmtId="1" fontId="14" fillId="8" borderId="42" xfId="0" applyNumberFormat="1" applyFont="1" applyFill="1" applyBorder="1" applyAlignment="1" applyProtection="1">
      <alignment horizontal="center" vertical="center"/>
      <protection locked="0"/>
    </xf>
    <xf numFmtId="1" fontId="14" fillId="6" borderId="40" xfId="0" applyNumberFormat="1" applyFont="1" applyFill="1" applyBorder="1" applyAlignment="1" applyProtection="1">
      <alignment horizontal="center" vertical="center"/>
      <protection locked="0"/>
    </xf>
    <xf numFmtId="169" fontId="14" fillId="6" borderId="41" xfId="0" applyNumberFormat="1" applyFont="1" applyFill="1" applyBorder="1" applyAlignment="1" applyProtection="1">
      <alignment horizontal="center" vertical="center"/>
      <protection locked="0"/>
    </xf>
    <xf numFmtId="2" fontId="14" fillId="6" borderId="41" xfId="0" applyNumberFormat="1" applyFont="1" applyFill="1" applyBorder="1" applyAlignment="1" applyProtection="1">
      <alignment horizontal="center" vertical="center"/>
      <protection locked="0"/>
    </xf>
    <xf numFmtId="169" fontId="14" fillId="37" borderId="41" xfId="0" applyNumberFormat="1" applyFont="1" applyFill="1" applyBorder="1" applyAlignment="1" applyProtection="1">
      <alignment horizontal="center" vertical="center"/>
      <protection locked="0"/>
    </xf>
    <xf numFmtId="2" fontId="14" fillId="37" borderId="41" xfId="0" applyNumberFormat="1" applyFont="1" applyFill="1" applyBorder="1" applyAlignment="1" applyProtection="1">
      <alignment horizontal="center" vertical="center"/>
      <protection locked="0"/>
    </xf>
    <xf numFmtId="1" fontId="14" fillId="50" borderId="35" xfId="0" applyNumberFormat="1" applyFont="1" applyFill="1" applyBorder="1" applyAlignment="1" applyProtection="1">
      <alignment horizontal="left" vertical="center"/>
      <protection locked="0"/>
    </xf>
    <xf numFmtId="1" fontId="14" fillId="50" borderId="38" xfId="0" applyNumberFormat="1" applyFont="1" applyFill="1" applyBorder="1" applyAlignment="1" applyProtection="1">
      <alignment horizontal="left" vertical="center"/>
      <protection locked="0"/>
    </xf>
    <xf numFmtId="1" fontId="14" fillId="50" borderId="41" xfId="0" applyNumberFormat="1" applyFont="1" applyFill="1" applyBorder="1" applyAlignment="1" applyProtection="1">
      <alignment horizontal="left" vertical="center"/>
      <protection locked="0"/>
    </xf>
    <xf numFmtId="1" fontId="72" fillId="50" borderId="34" xfId="0" applyNumberFormat="1" applyFont="1" applyFill="1" applyBorder="1" applyAlignment="1" applyProtection="1">
      <alignment horizontal="left" vertical="center"/>
      <protection locked="0"/>
    </xf>
    <xf numFmtId="1" fontId="72" fillId="50" borderId="37" xfId="0" applyNumberFormat="1" applyFont="1" applyFill="1" applyBorder="1" applyAlignment="1" applyProtection="1">
      <alignment horizontal="left" vertical="center"/>
      <protection locked="0"/>
    </xf>
    <xf numFmtId="1" fontId="72" fillId="50" borderId="40" xfId="0" applyNumberFormat="1" applyFont="1" applyFill="1" applyBorder="1" applyAlignment="1" applyProtection="1">
      <alignment horizontal="left" vertical="center"/>
      <protection locked="0"/>
    </xf>
    <xf numFmtId="1" fontId="14" fillId="50" borderId="36" xfId="0" applyNumberFormat="1" applyFont="1" applyFill="1" applyBorder="1" applyAlignment="1" applyProtection="1">
      <alignment horizontal="left" vertical="center"/>
      <protection locked="0"/>
    </xf>
    <xf numFmtId="1" fontId="14" fillId="50" borderId="39" xfId="0" applyNumberFormat="1" applyFont="1" applyFill="1" applyBorder="1" applyAlignment="1" applyProtection="1">
      <alignment horizontal="left" vertical="center"/>
      <protection locked="0"/>
    </xf>
    <xf numFmtId="1" fontId="14" fillId="50" borderId="42" xfId="0" applyNumberFormat="1" applyFont="1" applyFill="1" applyBorder="1" applyAlignment="1" applyProtection="1">
      <alignment horizontal="left" vertical="center"/>
      <protection locked="0"/>
    </xf>
    <xf numFmtId="2" fontId="14" fillId="8" borderId="38" xfId="0" applyNumberFormat="1" applyFont="1" applyFill="1" applyBorder="1" applyAlignment="1" applyProtection="1">
      <alignment horizontal="center" vertical="center"/>
      <protection locked="0"/>
    </xf>
    <xf numFmtId="2" fontId="14" fillId="8" borderId="41" xfId="0" applyNumberFormat="1" applyFont="1" applyFill="1" applyBorder="1" applyAlignment="1" applyProtection="1">
      <alignment horizontal="center" vertical="center"/>
      <protection locked="0"/>
    </xf>
    <xf numFmtId="1" fontId="14" fillId="54" borderId="34" xfId="0" applyNumberFormat="1" applyFont="1" applyFill="1" applyBorder="1" applyAlignment="1" applyProtection="1">
      <alignment horizontal="center" vertical="center"/>
      <protection locked="0"/>
    </xf>
    <xf numFmtId="1" fontId="14" fillId="54" borderId="35" xfId="0" applyNumberFormat="1" applyFont="1" applyFill="1" applyBorder="1" applyAlignment="1" applyProtection="1">
      <alignment horizontal="center" vertical="center"/>
      <protection locked="0"/>
    </xf>
    <xf numFmtId="169" fontId="14" fillId="54" borderId="35" xfId="0" applyNumberFormat="1" applyFont="1" applyFill="1" applyBorder="1" applyAlignment="1" applyProtection="1">
      <alignment horizontal="center" vertical="center"/>
      <protection locked="0"/>
    </xf>
    <xf numFmtId="2" fontId="14" fillId="54" borderId="35" xfId="0" applyNumberFormat="1" applyFont="1" applyFill="1" applyBorder="1" applyAlignment="1" applyProtection="1">
      <alignment horizontal="center" vertical="center"/>
      <protection locked="0"/>
    </xf>
    <xf numFmtId="177" fontId="14" fillId="54" borderId="35" xfId="0" applyNumberFormat="1" applyFont="1" applyFill="1" applyBorder="1" applyAlignment="1" applyProtection="1">
      <alignment horizontal="center" vertical="center"/>
      <protection locked="0"/>
    </xf>
    <xf numFmtId="1" fontId="14" fillId="54" borderId="37" xfId="0" applyNumberFormat="1" applyFont="1" applyFill="1" applyBorder="1" applyAlignment="1" applyProtection="1">
      <alignment horizontal="center" vertical="center"/>
      <protection locked="0"/>
    </xf>
    <xf numFmtId="1" fontId="14" fillId="54" borderId="38" xfId="0" applyNumberFormat="1" applyFont="1" applyFill="1" applyBorder="1" applyAlignment="1" applyProtection="1">
      <alignment horizontal="center" vertical="center"/>
      <protection locked="0"/>
    </xf>
    <xf numFmtId="169" fontId="14" fillId="54" borderId="38" xfId="0" applyNumberFormat="1" applyFont="1" applyFill="1" applyBorder="1" applyAlignment="1" applyProtection="1">
      <alignment horizontal="center" vertical="center"/>
      <protection locked="0"/>
    </xf>
    <xf numFmtId="2" fontId="14" fillId="54" borderId="38" xfId="0" applyNumberFormat="1" applyFont="1" applyFill="1" applyBorder="1" applyAlignment="1" applyProtection="1">
      <alignment horizontal="center" vertical="center"/>
      <protection locked="0"/>
    </xf>
    <xf numFmtId="177" fontId="14" fillId="54" borderId="38" xfId="0" applyNumberFormat="1" applyFont="1" applyFill="1" applyBorder="1" applyAlignment="1" applyProtection="1">
      <alignment horizontal="center" vertical="center"/>
      <protection locked="0"/>
    </xf>
    <xf numFmtId="1" fontId="14" fillId="54" borderId="40" xfId="0" applyNumberFormat="1" applyFont="1" applyFill="1" applyBorder="1" applyAlignment="1" applyProtection="1">
      <alignment horizontal="center" vertical="center"/>
      <protection locked="0"/>
    </xf>
    <xf numFmtId="1" fontId="14" fillId="54" borderId="41" xfId="0" applyNumberFormat="1" applyFont="1" applyFill="1" applyBorder="1" applyAlignment="1" applyProtection="1">
      <alignment horizontal="center" vertical="center"/>
      <protection locked="0"/>
    </xf>
    <xf numFmtId="169" fontId="14" fillId="54" borderId="41" xfId="0" applyNumberFormat="1" applyFont="1" applyFill="1" applyBorder="1" applyAlignment="1" applyProtection="1">
      <alignment horizontal="center" vertical="center"/>
      <protection locked="0"/>
    </xf>
    <xf numFmtId="2" fontId="14" fillId="54" borderId="41" xfId="0" applyNumberFormat="1" applyFont="1" applyFill="1" applyBorder="1" applyAlignment="1" applyProtection="1">
      <alignment horizontal="center" vertical="center"/>
      <protection locked="0"/>
    </xf>
    <xf numFmtId="177" fontId="14" fillId="54" borderId="41" xfId="0" applyNumberFormat="1" applyFont="1" applyFill="1" applyBorder="1" applyAlignment="1" applyProtection="1">
      <alignment horizontal="center" vertical="center"/>
      <protection locked="0"/>
    </xf>
    <xf numFmtId="0" fontId="74" fillId="5" borderId="0" xfId="0" applyFont="1" applyFill="1" applyAlignment="1" applyProtection="1">
      <alignment horizontal="center" vertical="center" wrapText="1"/>
      <protection locked="0"/>
    </xf>
    <xf numFmtId="0" fontId="28" fillId="46" borderId="8" xfId="0" applyFont="1" applyFill="1" applyBorder="1" applyAlignment="1" applyProtection="1">
      <alignment horizontal="center" vertical="center" wrapText="1"/>
      <protection locked="0"/>
    </xf>
    <xf numFmtId="0" fontId="28" fillId="48" borderId="8" xfId="0" applyFont="1" applyFill="1" applyBorder="1" applyAlignment="1" applyProtection="1">
      <alignment horizontal="center" vertical="center" wrapText="1"/>
      <protection locked="0"/>
    </xf>
    <xf numFmtId="0" fontId="28" fillId="40" borderId="8" xfId="0" applyFont="1" applyFill="1" applyBorder="1" applyAlignment="1" applyProtection="1">
      <alignment horizontal="center" vertical="center" wrapText="1"/>
      <protection locked="0"/>
    </xf>
    <xf numFmtId="0" fontId="28" fillId="49" borderId="8" xfId="0" applyFont="1" applyFill="1" applyBorder="1" applyAlignment="1" applyProtection="1">
      <alignment horizontal="center" vertical="center" wrapText="1"/>
      <protection locked="0"/>
    </xf>
    <xf numFmtId="0" fontId="28" fillId="53" borderId="8" xfId="0" applyFont="1" applyFill="1" applyBorder="1" applyAlignment="1" applyProtection="1">
      <alignment horizontal="center" vertical="center" wrapText="1"/>
      <protection locked="0"/>
    </xf>
    <xf numFmtId="0" fontId="28" fillId="51" borderId="8" xfId="0" applyFont="1" applyFill="1" applyBorder="1" applyAlignment="1" applyProtection="1">
      <alignment horizontal="center" vertical="center" wrapText="1"/>
      <protection locked="0"/>
    </xf>
    <xf numFmtId="0" fontId="74" fillId="0" borderId="0" xfId="0" applyFont="1" applyAlignment="1">
      <alignment vertical="center"/>
    </xf>
    <xf numFmtId="0" fontId="64" fillId="5" borderId="0" xfId="0" applyFont="1" applyFill="1" applyAlignment="1" applyProtection="1">
      <alignment horizontal="centerContinuous" vertical="center"/>
      <protection locked="0"/>
    </xf>
    <xf numFmtId="0" fontId="64" fillId="5" borderId="0" xfId="0" applyFont="1" applyFill="1" applyAlignment="1" applyProtection="1">
      <alignment horizontal="centerContinuous"/>
      <protection locked="0"/>
    </xf>
    <xf numFmtId="0" fontId="74" fillId="0" borderId="0" xfId="0" applyFont="1" applyAlignment="1">
      <alignment horizontal="centerContinuous" vertical="center"/>
    </xf>
    <xf numFmtId="0" fontId="23" fillId="5" borderId="0" xfId="0" applyFont="1" applyFill="1" applyAlignment="1" applyProtection="1">
      <alignment horizontal="centerContinuous" vertical="center"/>
      <protection locked="0"/>
    </xf>
    <xf numFmtId="0" fontId="23" fillId="5" borderId="0" xfId="0" applyFont="1" applyFill="1" applyAlignment="1" applyProtection="1">
      <alignment horizontal="center" vertical="center"/>
      <protection locked="0"/>
    </xf>
    <xf numFmtId="9" fontId="27" fillId="4" borderId="8" xfId="0" applyNumberFormat="1" applyFont="1" applyFill="1" applyBorder="1" applyAlignment="1">
      <alignment vertical="center"/>
    </xf>
    <xf numFmtId="9" fontId="27" fillId="4" borderId="8" xfId="0" applyNumberFormat="1" applyFont="1" applyFill="1" applyBorder="1" applyAlignment="1">
      <alignment horizontal="centerContinuous" vertical="center"/>
    </xf>
    <xf numFmtId="9" fontId="27" fillId="4" borderId="16" xfId="0" applyNumberFormat="1" applyFont="1" applyFill="1" applyBorder="1" applyAlignment="1">
      <alignment horizontal="centerContinuous" vertical="center"/>
    </xf>
    <xf numFmtId="9" fontId="27" fillId="4" borderId="7" xfId="0" applyNumberFormat="1" applyFont="1" applyFill="1" applyBorder="1" applyAlignment="1">
      <alignment horizontal="centerContinuous" vertical="center"/>
    </xf>
    <xf numFmtId="9" fontId="27" fillId="4" borderId="11" xfId="0" applyNumberFormat="1" applyFont="1" applyFill="1" applyBorder="1" applyAlignment="1">
      <alignment horizontal="center" vertical="center"/>
    </xf>
    <xf numFmtId="0" fontId="24" fillId="0" borderId="0" xfId="0" applyFont="1" applyAlignment="1">
      <alignment horizontal="centerContinuous" vertical="center"/>
    </xf>
    <xf numFmtId="14" fontId="11" fillId="0" borderId="15" xfId="0" applyNumberFormat="1" applyFont="1" applyBorder="1" applyAlignment="1">
      <alignment horizontal="center" vertical="center"/>
    </xf>
    <xf numFmtId="9" fontId="12" fillId="0" borderId="15" xfId="0" applyNumberFormat="1" applyFont="1" applyBorder="1" applyAlignment="1">
      <alignment horizontal="center" vertical="center"/>
    </xf>
    <xf numFmtId="0" fontId="64" fillId="0" borderId="0" xfId="0" applyFont="1" applyAlignment="1">
      <alignment horizontal="centerContinuous" vertical="center"/>
    </xf>
    <xf numFmtId="49" fontId="11" fillId="0" borderId="15" xfId="0" applyNumberFormat="1" applyFont="1" applyBorder="1" applyAlignment="1">
      <alignment horizontal="center" vertical="center"/>
    </xf>
    <xf numFmtId="14" fontId="12" fillId="0" borderId="0" xfId="0" applyNumberFormat="1" applyFont="1" applyAlignment="1">
      <alignment horizontal="left" vertical="center"/>
    </xf>
    <xf numFmtId="14" fontId="11" fillId="0" borderId="0" xfId="0" applyNumberFormat="1" applyFont="1" applyAlignment="1">
      <alignment horizontal="center" vertical="center"/>
    </xf>
    <xf numFmtId="49" fontId="11" fillId="0" borderId="0" xfId="0" applyNumberFormat="1" applyFont="1" applyAlignment="1">
      <alignment horizontal="center" vertical="center"/>
    </xf>
    <xf numFmtId="9" fontId="27" fillId="4" borderId="15" xfId="0" applyNumberFormat="1" applyFont="1" applyFill="1" applyBorder="1" applyAlignment="1">
      <alignment horizontal="centerContinuous" vertical="center"/>
    </xf>
    <xf numFmtId="0" fontId="11" fillId="0" borderId="0" xfId="0" applyFont="1" applyAlignment="1">
      <alignment horizontal="center" vertical="center"/>
    </xf>
    <xf numFmtId="9" fontId="0" fillId="0" borderId="0" xfId="0" applyNumberFormat="1" applyAlignment="1">
      <alignment horizontal="center" vertical="center"/>
    </xf>
    <xf numFmtId="0" fontId="19" fillId="0" borderId="15" xfId="0" applyFont="1" applyBorder="1" applyAlignment="1" applyProtection="1">
      <alignment horizontal="center" vertical="center"/>
      <protection locked="0"/>
    </xf>
    <xf numFmtId="49" fontId="14" fillId="6" borderId="43" xfId="0" applyNumberFormat="1" applyFont="1" applyFill="1" applyBorder="1" applyAlignment="1" applyProtection="1">
      <alignment horizontal="center" vertical="center"/>
      <protection locked="0"/>
    </xf>
    <xf numFmtId="49" fontId="14" fillId="6" borderId="44" xfId="0" applyNumberFormat="1" applyFont="1" applyFill="1" applyBorder="1" applyAlignment="1" applyProtection="1">
      <alignment horizontal="center" vertical="center"/>
      <protection locked="0"/>
    </xf>
    <xf numFmtId="49" fontId="14" fillId="6" borderId="45" xfId="0" applyNumberFormat="1" applyFont="1" applyFill="1" applyBorder="1" applyAlignment="1" applyProtection="1">
      <alignment horizontal="center" vertical="center"/>
      <protection locked="0"/>
    </xf>
    <xf numFmtId="174" fontId="14" fillId="6" borderId="43" xfId="0" applyNumberFormat="1" applyFont="1" applyFill="1" applyBorder="1" applyAlignment="1" applyProtection="1">
      <alignment horizontal="center" vertical="center"/>
      <protection locked="0"/>
    </xf>
    <xf numFmtId="174" fontId="14" fillId="6" borderId="44" xfId="0" applyNumberFormat="1" applyFont="1" applyFill="1" applyBorder="1" applyAlignment="1" applyProtection="1">
      <alignment horizontal="center" vertical="center"/>
      <protection locked="0"/>
    </xf>
    <xf numFmtId="174" fontId="14" fillId="6" borderId="45" xfId="0" applyNumberFormat="1" applyFont="1" applyFill="1" applyBorder="1" applyAlignment="1" applyProtection="1">
      <alignment horizontal="center" vertical="center"/>
      <protection locked="0"/>
    </xf>
    <xf numFmtId="0" fontId="74" fillId="0" borderId="0" xfId="0" applyFont="1"/>
    <xf numFmtId="14" fontId="15" fillId="0" borderId="0" xfId="0" applyNumberFormat="1" applyFont="1" applyAlignment="1">
      <alignment horizontal="left" vertical="center"/>
    </xf>
    <xf numFmtId="0" fontId="75" fillId="5" borderId="0" xfId="0" applyFont="1" applyFill="1" applyAlignment="1">
      <alignment horizontal="centerContinuous" vertical="center"/>
    </xf>
    <xf numFmtId="0" fontId="11" fillId="5" borderId="0" xfId="0" applyFont="1" applyFill="1"/>
    <xf numFmtId="0" fontId="0" fillId="5" borderId="0" xfId="0" applyFill="1"/>
    <xf numFmtId="174" fontId="11" fillId="5" borderId="15" xfId="0" applyNumberFormat="1" applyFont="1" applyFill="1" applyBorder="1"/>
    <xf numFmtId="0" fontId="49" fillId="5" borderId="15" xfId="212" applyFill="1" applyBorder="1" applyAlignment="1">
      <alignment horizontal="center" vertical="center" wrapText="1"/>
    </xf>
    <xf numFmtId="0" fontId="11" fillId="5" borderId="15" xfId="0" applyFont="1" applyFill="1" applyBorder="1"/>
    <xf numFmtId="174" fontId="66" fillId="5" borderId="15" xfId="0" applyNumberFormat="1" applyFont="1" applyFill="1" applyBorder="1" applyAlignment="1">
      <alignment vertical="center"/>
    </xf>
    <xf numFmtId="3" fontId="11" fillId="5" borderId="15" xfId="0" applyNumberFormat="1" applyFont="1" applyFill="1" applyBorder="1" applyAlignment="1">
      <alignment horizontal="center"/>
    </xf>
    <xf numFmtId="3" fontId="11" fillId="5" borderId="15" xfId="0" quotePrefix="1" applyNumberFormat="1" applyFont="1" applyFill="1" applyBorder="1" applyAlignment="1">
      <alignment horizontal="center"/>
    </xf>
    <xf numFmtId="0" fontId="11" fillId="5" borderId="15" xfId="212" applyFont="1" applyFill="1" applyBorder="1" applyAlignment="1">
      <alignment horizontal="center" vertical="center" wrapText="1"/>
    </xf>
    <xf numFmtId="3" fontId="11" fillId="5" borderId="15" xfId="0" applyNumberFormat="1" applyFont="1" applyFill="1" applyBorder="1" applyAlignment="1">
      <alignment horizontal="center" vertical="center"/>
    </xf>
    <xf numFmtId="49" fontId="67" fillId="5" borderId="0" xfId="0" applyNumberFormat="1" applyFont="1" applyFill="1"/>
    <xf numFmtId="0" fontId="76" fillId="5" borderId="0" xfId="0" applyFont="1" applyFill="1" applyAlignment="1">
      <alignment horizontal="centerContinuous" vertical="center"/>
    </xf>
    <xf numFmtId="0" fontId="19" fillId="0" borderId="15" xfId="0" applyFont="1" applyBorder="1" applyAlignment="1">
      <alignment horizontal="centerContinuous" vertical="center"/>
    </xf>
    <xf numFmtId="0" fontId="19" fillId="0" borderId="15" xfId="0" applyFont="1" applyBorder="1" applyAlignment="1">
      <alignment vertical="center"/>
    </xf>
    <xf numFmtId="0" fontId="64" fillId="0" borderId="15" xfId="0" applyFont="1" applyBorder="1" applyAlignment="1">
      <alignment horizontal="centerContinuous" vertical="center"/>
    </xf>
    <xf numFmtId="2" fontId="19" fillId="0" borderId="15" xfId="0" applyNumberFormat="1" applyFont="1" applyBorder="1" applyAlignment="1">
      <alignment horizontal="centerContinuous" vertical="center"/>
    </xf>
    <xf numFmtId="168" fontId="19" fillId="0" borderId="15" xfId="0" applyNumberFormat="1" applyFont="1" applyBorder="1" applyAlignment="1">
      <alignment horizontal="centerContinuous" vertical="center"/>
    </xf>
    <xf numFmtId="0" fontId="27" fillId="36" borderId="15" xfId="0" applyFont="1" applyFill="1" applyBorder="1" applyAlignment="1">
      <alignment horizontal="centerContinuous" vertical="center"/>
    </xf>
    <xf numFmtId="0" fontId="30" fillId="36" borderId="15" xfId="0" applyFont="1" applyFill="1" applyBorder="1" applyAlignment="1">
      <alignment horizontal="centerContinuous" vertical="center"/>
    </xf>
    <xf numFmtId="1" fontId="11" fillId="5" borderId="15" xfId="0" applyNumberFormat="1" applyFont="1" applyFill="1" applyBorder="1" applyAlignment="1" applyProtection="1">
      <alignment horizontal="center" vertical="center" wrapText="1"/>
      <protection locked="0"/>
    </xf>
    <xf numFmtId="0" fontId="27" fillId="4" borderId="15" xfId="0" applyFont="1" applyFill="1" applyBorder="1" applyAlignment="1">
      <alignment horizontal="centerContinuous" vertical="center" wrapText="1"/>
    </xf>
    <xf numFmtId="0" fontId="14" fillId="6" borderId="35" xfId="0" applyFont="1" applyFill="1" applyBorder="1" applyAlignment="1">
      <alignment horizontal="left" vertical="center"/>
    </xf>
    <xf numFmtId="10" fontId="14" fillId="6" borderId="35" xfId="0" applyNumberFormat="1" applyFont="1" applyFill="1" applyBorder="1" applyAlignment="1">
      <alignment horizontal="center" vertical="center"/>
    </xf>
    <xf numFmtId="0" fontId="14" fillId="6" borderId="38" xfId="0" applyFont="1" applyFill="1" applyBorder="1" applyAlignment="1">
      <alignment horizontal="left" vertical="center"/>
    </xf>
    <xf numFmtId="9" fontId="14" fillId="6" borderId="38" xfId="6" applyFont="1" applyFill="1" applyBorder="1" applyAlignment="1">
      <alignment horizontal="center" vertical="center"/>
    </xf>
    <xf numFmtId="180" fontId="14" fillId="6" borderId="44" xfId="204" applyNumberFormat="1" applyFont="1" applyFill="1" applyBorder="1" applyAlignment="1">
      <alignment horizontal="center" vertical="center"/>
    </xf>
    <xf numFmtId="0" fontId="14" fillId="6" borderId="46" xfId="0" applyFont="1" applyFill="1" applyBorder="1" applyAlignment="1">
      <alignment horizontal="center" vertical="center"/>
    </xf>
    <xf numFmtId="10" fontId="14" fillId="6" borderId="38" xfId="0" applyNumberFormat="1" applyFont="1" applyFill="1" applyBorder="1" applyAlignment="1">
      <alignment horizontal="center" vertical="center"/>
    </xf>
    <xf numFmtId="0" fontId="14" fillId="6" borderId="41" xfId="0" applyFont="1" applyFill="1" applyBorder="1" applyAlignment="1">
      <alignment horizontal="left" vertical="center"/>
    </xf>
    <xf numFmtId="180" fontId="14" fillId="6" borderId="45" xfId="204" applyNumberFormat="1" applyFont="1" applyFill="1" applyBorder="1" applyAlignment="1">
      <alignment horizontal="center" vertical="center"/>
    </xf>
    <xf numFmtId="10" fontId="14" fillId="6" borderId="41" xfId="0" applyNumberFormat="1" applyFont="1" applyFill="1" applyBorder="1" applyAlignment="1">
      <alignment horizontal="center" vertical="center"/>
    </xf>
    <xf numFmtId="0" fontId="21" fillId="0" borderId="15" xfId="0" applyFont="1" applyBorder="1" applyAlignment="1">
      <alignment vertical="center"/>
    </xf>
    <xf numFmtId="3" fontId="14" fillId="6" borderId="36" xfId="0" applyNumberFormat="1" applyFont="1" applyFill="1" applyBorder="1" applyAlignment="1">
      <alignment horizontal="center" vertical="center"/>
    </xf>
    <xf numFmtId="3" fontId="14" fillId="6" borderId="39" xfId="0" applyNumberFormat="1" applyFont="1" applyFill="1" applyBorder="1" applyAlignment="1">
      <alignment horizontal="center" vertical="center"/>
    </xf>
    <xf numFmtId="3" fontId="14" fillId="6" borderId="42" xfId="0" applyNumberFormat="1" applyFont="1" applyFill="1" applyBorder="1" applyAlignment="1">
      <alignment horizontal="center" vertical="center"/>
    </xf>
    <xf numFmtId="44" fontId="14" fillId="6" borderId="38" xfId="0" applyNumberFormat="1" applyFont="1" applyFill="1" applyBorder="1" applyAlignment="1">
      <alignment horizontal="center" vertical="center"/>
    </xf>
    <xf numFmtId="44" fontId="14" fillId="6" borderId="38" xfId="204" applyNumberFormat="1" applyFont="1" applyFill="1" applyBorder="1" applyAlignment="1">
      <alignment horizontal="center" vertical="center"/>
    </xf>
    <xf numFmtId="0" fontId="12" fillId="0" borderId="15" xfId="0" applyFont="1" applyBorder="1" applyAlignment="1" applyProtection="1">
      <alignment horizontal="centerContinuous" vertical="center"/>
      <protection locked="0"/>
    </xf>
    <xf numFmtId="0" fontId="64" fillId="5" borderId="15" xfId="0" applyFont="1" applyFill="1" applyBorder="1" applyAlignment="1" applyProtection="1">
      <alignment horizontal="centerContinuous" vertical="center"/>
      <protection locked="0"/>
    </xf>
    <xf numFmtId="0" fontId="23" fillId="5" borderId="15" xfId="0" applyFont="1" applyFill="1" applyBorder="1" applyAlignment="1" applyProtection="1">
      <alignment horizontal="centerContinuous" vertical="center"/>
      <protection locked="0"/>
    </xf>
    <xf numFmtId="0" fontId="12" fillId="5" borderId="15" xfId="0" applyFont="1" applyFill="1" applyBorder="1" applyAlignment="1" applyProtection="1">
      <alignment horizontal="centerContinuous" vertical="center"/>
      <protection locked="0"/>
    </xf>
    <xf numFmtId="0" fontId="77" fillId="0" borderId="15" xfId="0" applyFont="1" applyBorder="1" applyAlignment="1">
      <alignment horizontal="centerContinuous" vertical="center"/>
    </xf>
    <xf numFmtId="174" fontId="14" fillId="39" borderId="34" xfId="0" applyNumberFormat="1" applyFont="1" applyFill="1" applyBorder="1" applyAlignment="1" applyProtection="1">
      <alignment horizontal="center" vertical="center"/>
      <protection locked="0"/>
    </xf>
    <xf numFmtId="174" fontId="14" fillId="39" borderId="35" xfId="204" applyNumberFormat="1" applyFont="1" applyFill="1" applyBorder="1" applyAlignment="1" applyProtection="1">
      <alignment horizontal="center" vertical="center"/>
      <protection locked="0"/>
    </xf>
    <xf numFmtId="1" fontId="14" fillId="39" borderId="35" xfId="0" applyNumberFormat="1" applyFont="1" applyFill="1" applyBorder="1" applyAlignment="1" applyProtection="1">
      <alignment horizontal="center" vertical="center"/>
      <protection locked="0"/>
    </xf>
    <xf numFmtId="2" fontId="14" fillId="39" borderId="35" xfId="0" applyNumberFormat="1" applyFont="1" applyFill="1" applyBorder="1" applyAlignment="1" applyProtection="1">
      <alignment horizontal="center" vertical="center"/>
      <protection locked="0"/>
    </xf>
    <xf numFmtId="0" fontId="14" fillId="39" borderId="35" xfId="0" applyFont="1" applyFill="1" applyBorder="1" applyAlignment="1" applyProtection="1">
      <alignment horizontal="center" vertical="center"/>
      <protection locked="0"/>
    </xf>
    <xf numFmtId="0" fontId="14" fillId="39" borderId="43" xfId="0" applyFont="1" applyFill="1" applyBorder="1" applyAlignment="1" applyProtection="1">
      <alignment horizontal="center" vertical="center"/>
      <protection locked="0"/>
    </xf>
    <xf numFmtId="181" fontId="14" fillId="39" borderId="34" xfId="0" applyNumberFormat="1" applyFont="1" applyFill="1" applyBorder="1" applyAlignment="1" applyProtection="1">
      <alignment horizontal="center" vertical="center"/>
      <protection locked="0"/>
    </xf>
    <xf numFmtId="181" fontId="14" fillId="39" borderId="35" xfId="0" applyNumberFormat="1" applyFont="1" applyFill="1" applyBorder="1" applyAlignment="1" applyProtection="1">
      <alignment horizontal="center" vertical="center"/>
      <protection locked="0"/>
    </xf>
    <xf numFmtId="181" fontId="14" fillId="39" borderId="36" xfId="0" applyNumberFormat="1" applyFont="1" applyFill="1" applyBorder="1" applyAlignment="1" applyProtection="1">
      <alignment horizontal="center" vertical="center"/>
      <protection locked="0"/>
    </xf>
    <xf numFmtId="174" fontId="14" fillId="39" borderId="37" xfId="0" applyNumberFormat="1" applyFont="1" applyFill="1" applyBorder="1" applyAlignment="1" applyProtection="1">
      <alignment horizontal="center" vertical="center"/>
      <protection locked="0"/>
    </xf>
    <xf numFmtId="174" fontId="14" fillId="39" borderId="46" xfId="0" applyNumberFormat="1" applyFont="1" applyFill="1" applyBorder="1" applyAlignment="1" applyProtection="1">
      <alignment horizontal="center" vertical="center"/>
      <protection locked="0"/>
    </xf>
    <xf numFmtId="174" fontId="14" fillId="39" borderId="38" xfId="204" applyNumberFormat="1" applyFont="1" applyFill="1" applyBorder="1" applyAlignment="1" applyProtection="1">
      <alignment horizontal="center" vertical="center"/>
      <protection locked="0"/>
    </xf>
    <xf numFmtId="174" fontId="14" fillId="39" borderId="38" xfId="6" applyNumberFormat="1" applyFont="1" applyFill="1" applyBorder="1" applyAlignment="1" applyProtection="1">
      <alignment horizontal="center" vertical="center"/>
      <protection locked="0"/>
    </xf>
    <xf numFmtId="1" fontId="14" fillId="39" borderId="38" xfId="0" applyNumberFormat="1" applyFont="1" applyFill="1" applyBorder="1" applyAlignment="1" applyProtection="1">
      <alignment horizontal="center" vertical="center"/>
      <protection locked="0"/>
    </xf>
    <xf numFmtId="2" fontId="14" fillId="39" borderId="38" xfId="0" applyNumberFormat="1" applyFont="1" applyFill="1" applyBorder="1" applyAlignment="1" applyProtection="1">
      <alignment horizontal="center" vertical="center"/>
      <protection locked="0"/>
    </xf>
    <xf numFmtId="0" fontId="14" fillId="39" borderId="38" xfId="0" applyFont="1" applyFill="1" applyBorder="1" applyAlignment="1" applyProtection="1">
      <alignment horizontal="center" vertical="center"/>
      <protection locked="0"/>
    </xf>
    <xf numFmtId="0" fontId="14" fillId="39" borderId="44" xfId="0" applyFont="1" applyFill="1" applyBorder="1" applyAlignment="1" applyProtection="1">
      <alignment horizontal="center" vertical="center"/>
      <protection locked="0"/>
    </xf>
    <xf numFmtId="181" fontId="14" fillId="39" borderId="37" xfId="0" applyNumberFormat="1" applyFont="1" applyFill="1" applyBorder="1" applyAlignment="1" applyProtection="1">
      <alignment horizontal="center" vertical="center"/>
      <protection locked="0"/>
    </xf>
    <xf numFmtId="181" fontId="14" fillId="39" borderId="38" xfId="0" applyNumberFormat="1" applyFont="1" applyFill="1" applyBorder="1" applyAlignment="1" applyProtection="1">
      <alignment horizontal="center" vertical="center"/>
      <protection locked="0"/>
    </xf>
    <xf numFmtId="181" fontId="14" fillId="39" borderId="39" xfId="0" applyNumberFormat="1" applyFont="1" applyFill="1" applyBorder="1" applyAlignment="1" applyProtection="1">
      <alignment horizontal="center" vertical="center"/>
      <protection locked="0"/>
    </xf>
    <xf numFmtId="174" fontId="14" fillId="39" borderId="40" xfId="0" applyNumberFormat="1" applyFont="1" applyFill="1" applyBorder="1" applyAlignment="1" applyProtection="1">
      <alignment horizontal="center" vertical="center"/>
      <protection locked="0"/>
    </xf>
    <xf numFmtId="174" fontId="14" fillId="39" borderId="47" xfId="0" applyNumberFormat="1" applyFont="1" applyFill="1" applyBorder="1" applyAlignment="1" applyProtection="1">
      <alignment horizontal="center" vertical="center"/>
      <protection locked="0"/>
    </xf>
    <xf numFmtId="174" fontId="14" fillId="39" borderId="41" xfId="204" applyNumberFormat="1" applyFont="1" applyFill="1" applyBorder="1" applyAlignment="1" applyProtection="1">
      <alignment horizontal="center" vertical="center"/>
      <protection locked="0"/>
    </xf>
    <xf numFmtId="174" fontId="14" fillId="39" borderId="41" xfId="6" applyNumberFormat="1" applyFont="1" applyFill="1" applyBorder="1" applyAlignment="1" applyProtection="1">
      <alignment horizontal="center" vertical="center"/>
      <protection locked="0"/>
    </xf>
    <xf numFmtId="1" fontId="14" fillId="39" borderId="41" xfId="0" applyNumberFormat="1" applyFont="1" applyFill="1" applyBorder="1" applyAlignment="1" applyProtection="1">
      <alignment horizontal="center" vertical="center"/>
      <protection locked="0"/>
    </xf>
    <xf numFmtId="2" fontId="14" fillId="39" borderId="41" xfId="0" applyNumberFormat="1" applyFont="1" applyFill="1" applyBorder="1" applyAlignment="1" applyProtection="1">
      <alignment horizontal="center" vertical="center"/>
      <protection locked="0"/>
    </xf>
    <xf numFmtId="0" fontId="14" fillId="39" borderId="41" xfId="0" applyFont="1" applyFill="1" applyBorder="1" applyAlignment="1" applyProtection="1">
      <alignment horizontal="center" vertical="center"/>
      <protection locked="0"/>
    </xf>
    <xf numFmtId="0" fontId="14" fillId="39" borderId="45" xfId="0" applyFont="1" applyFill="1" applyBorder="1" applyAlignment="1" applyProtection="1">
      <alignment horizontal="center" vertical="center"/>
      <protection locked="0"/>
    </xf>
    <xf numFmtId="181" fontId="14" fillId="39" borderId="40" xfId="0" applyNumberFormat="1" applyFont="1" applyFill="1" applyBorder="1" applyAlignment="1" applyProtection="1">
      <alignment horizontal="center" vertical="center"/>
      <protection locked="0"/>
    </xf>
    <xf numFmtId="181" fontId="14" fillId="39" borderId="41" xfId="0" applyNumberFormat="1" applyFont="1" applyFill="1" applyBorder="1" applyAlignment="1" applyProtection="1">
      <alignment horizontal="center" vertical="center"/>
      <protection locked="0"/>
    </xf>
    <xf numFmtId="181" fontId="14" fillId="39" borderId="42" xfId="0" applyNumberFormat="1" applyFont="1" applyFill="1" applyBorder="1" applyAlignment="1" applyProtection="1">
      <alignment horizontal="center" vertical="center"/>
      <protection locked="0"/>
    </xf>
    <xf numFmtId="181" fontId="14" fillId="39" borderId="15" xfId="0" applyNumberFormat="1" applyFont="1" applyFill="1" applyBorder="1" applyAlignment="1" applyProtection="1">
      <alignment horizontal="center" vertical="center"/>
      <protection locked="0"/>
    </xf>
    <xf numFmtId="183" fontId="14" fillId="39" borderId="36" xfId="0" applyNumberFormat="1" applyFont="1" applyFill="1" applyBorder="1" applyAlignment="1" applyProtection="1">
      <alignment horizontal="center" vertical="center"/>
      <protection locked="0"/>
    </xf>
    <xf numFmtId="183" fontId="14" fillId="39" borderId="39" xfId="0" applyNumberFormat="1" applyFont="1" applyFill="1" applyBorder="1" applyAlignment="1" applyProtection="1">
      <alignment horizontal="center" vertical="center"/>
      <protection locked="0"/>
    </xf>
    <xf numFmtId="183" fontId="14" fillId="39" borderId="42" xfId="0" applyNumberFormat="1" applyFont="1" applyFill="1" applyBorder="1" applyAlignment="1" applyProtection="1">
      <alignment horizontal="center" vertical="center"/>
      <protection locked="0"/>
    </xf>
    <xf numFmtId="183" fontId="14" fillId="39" borderId="34" xfId="0" applyNumberFormat="1" applyFont="1" applyFill="1" applyBorder="1" applyAlignment="1" applyProtection="1">
      <alignment horizontal="center" vertical="center"/>
      <protection locked="0"/>
    </xf>
    <xf numFmtId="183" fontId="14" fillId="39" borderId="35" xfId="0" applyNumberFormat="1" applyFont="1" applyFill="1" applyBorder="1" applyAlignment="1" applyProtection="1">
      <alignment horizontal="center" vertical="center"/>
      <protection locked="0"/>
    </xf>
    <xf numFmtId="183" fontId="14" fillId="39" borderId="37" xfId="0" applyNumberFormat="1" applyFont="1" applyFill="1" applyBorder="1" applyAlignment="1" applyProtection="1">
      <alignment horizontal="center" vertical="center"/>
      <protection locked="0"/>
    </xf>
    <xf numFmtId="183" fontId="14" fillId="39" borderId="38" xfId="0" applyNumberFormat="1" applyFont="1" applyFill="1" applyBorder="1" applyAlignment="1" applyProtection="1">
      <alignment horizontal="center" vertical="center"/>
      <protection locked="0"/>
    </xf>
    <xf numFmtId="183" fontId="14" fillId="39" borderId="40" xfId="0" applyNumberFormat="1" applyFont="1" applyFill="1" applyBorder="1" applyAlignment="1" applyProtection="1">
      <alignment horizontal="center" vertical="center"/>
      <protection locked="0"/>
    </xf>
    <xf numFmtId="183" fontId="14" fillId="39" borderId="41" xfId="0" applyNumberFormat="1" applyFont="1" applyFill="1" applyBorder="1" applyAlignment="1" applyProtection="1">
      <alignment horizontal="center" vertical="center"/>
      <protection locked="0"/>
    </xf>
    <xf numFmtId="183" fontId="21" fillId="39" borderId="15" xfId="0" applyNumberFormat="1" applyFont="1" applyFill="1" applyBorder="1" applyAlignment="1" applyProtection="1">
      <alignment horizontal="center" vertical="center"/>
      <protection locked="0"/>
    </xf>
    <xf numFmtId="180" fontId="21" fillId="39" borderId="48" xfId="204" applyNumberFormat="1" applyFont="1" applyFill="1" applyBorder="1" applyAlignment="1">
      <alignment vertical="center"/>
    </xf>
    <xf numFmtId="180" fontId="21" fillId="39" borderId="9" xfId="204" applyNumberFormat="1" applyFont="1" applyFill="1" applyBorder="1" applyAlignment="1">
      <alignment vertical="center"/>
    </xf>
    <xf numFmtId="180" fontId="21" fillId="39" borderId="49" xfId="204" applyNumberFormat="1" applyFont="1" applyFill="1" applyBorder="1" applyAlignment="1">
      <alignment vertical="center"/>
    </xf>
    <xf numFmtId="180" fontId="21" fillId="39" borderId="15" xfId="0" applyNumberFormat="1" applyFont="1" applyFill="1" applyBorder="1" applyAlignment="1">
      <alignment vertical="center"/>
    </xf>
    <xf numFmtId="165" fontId="21" fillId="39" borderId="48" xfId="0" applyNumberFormat="1" applyFont="1" applyFill="1" applyBorder="1" applyAlignment="1">
      <alignment vertical="center"/>
    </xf>
    <xf numFmtId="165" fontId="21" fillId="39" borderId="9" xfId="0" applyNumberFormat="1" applyFont="1" applyFill="1" applyBorder="1" applyAlignment="1">
      <alignment vertical="center"/>
    </xf>
    <xf numFmtId="165" fontId="21" fillId="39" borderId="15" xfId="0" applyNumberFormat="1" applyFont="1" applyFill="1" applyBorder="1" applyAlignment="1">
      <alignment vertical="center"/>
    </xf>
    <xf numFmtId="0" fontId="28" fillId="4" borderId="8" xfId="0" applyFont="1" applyFill="1" applyBorder="1" applyAlignment="1">
      <alignment horizontal="center" vertical="center" wrapText="1"/>
    </xf>
    <xf numFmtId="0" fontId="14" fillId="0" borderId="0" xfId="0" applyFont="1" applyAlignment="1">
      <alignment vertical="center" wrapText="1"/>
    </xf>
    <xf numFmtId="0" fontId="14" fillId="0" borderId="1" xfId="0" applyFont="1" applyBorder="1" applyAlignment="1">
      <alignment vertical="center" wrapText="1"/>
    </xf>
    <xf numFmtId="0" fontId="14" fillId="0" borderId="3" xfId="0" applyFont="1" applyBorder="1" applyAlignment="1">
      <alignment vertical="center" wrapText="1"/>
    </xf>
    <xf numFmtId="0" fontId="14" fillId="0" borderId="0" xfId="0" applyFont="1" applyAlignment="1">
      <alignment wrapText="1"/>
    </xf>
    <xf numFmtId="0" fontId="70" fillId="4" borderId="16" xfId="0" applyFont="1" applyFill="1" applyBorder="1" applyAlignment="1">
      <alignment horizontal="center" vertical="center" wrapText="1"/>
    </xf>
    <xf numFmtId="0" fontId="77" fillId="0" borderId="0" xfId="0" applyFont="1" applyAlignment="1">
      <alignment vertical="center" wrapText="1"/>
    </xf>
    <xf numFmtId="0" fontId="77" fillId="0" borderId="1" xfId="0" applyFont="1" applyBorder="1" applyAlignment="1">
      <alignment vertical="center" wrapText="1"/>
    </xf>
    <xf numFmtId="0" fontId="77" fillId="0" borderId="3" xfId="0" applyFont="1" applyBorder="1" applyAlignment="1">
      <alignment vertical="center" wrapText="1"/>
    </xf>
    <xf numFmtId="0" fontId="77" fillId="0" borderId="0" xfId="0" applyFont="1" applyAlignment="1">
      <alignment wrapText="1"/>
    </xf>
    <xf numFmtId="0" fontId="28" fillId="47" borderId="8" xfId="0" applyFont="1" applyFill="1" applyBorder="1" applyAlignment="1" applyProtection="1">
      <alignment horizontal="center" vertical="center" wrapText="1"/>
      <protection locked="0"/>
    </xf>
    <xf numFmtId="0" fontId="14" fillId="5" borderId="0" xfId="0" applyFont="1" applyFill="1" applyAlignment="1" applyProtection="1">
      <alignment horizontal="center" vertical="center" wrapText="1"/>
      <protection locked="0"/>
    </xf>
    <xf numFmtId="0" fontId="70" fillId="47" borderId="16" xfId="0" applyFont="1" applyFill="1" applyBorder="1" applyAlignment="1" applyProtection="1">
      <alignment horizontal="center" vertical="center" wrapText="1"/>
      <protection locked="0"/>
    </xf>
    <xf numFmtId="0" fontId="70" fillId="46" borderId="16" xfId="0" applyFont="1" applyFill="1" applyBorder="1" applyAlignment="1" applyProtection="1">
      <alignment horizontal="center" vertical="center" wrapText="1"/>
      <protection locked="0"/>
    </xf>
    <xf numFmtId="0" fontId="70" fillId="48" borderId="16" xfId="0" applyFont="1" applyFill="1" applyBorder="1" applyAlignment="1" applyProtection="1">
      <alignment horizontal="center" vertical="center" wrapText="1"/>
      <protection locked="0"/>
    </xf>
    <xf numFmtId="0" fontId="70" fillId="40" borderId="16" xfId="0" applyFont="1" applyFill="1" applyBorder="1" applyAlignment="1" applyProtection="1">
      <alignment horizontal="center" vertical="center" wrapText="1"/>
      <protection locked="0"/>
    </xf>
    <xf numFmtId="0" fontId="70" fillId="49" borderId="16" xfId="0" applyFont="1" applyFill="1" applyBorder="1" applyAlignment="1" applyProtection="1">
      <alignment horizontal="center" vertical="center" wrapText="1"/>
      <protection locked="0"/>
    </xf>
    <xf numFmtId="0" fontId="70" fillId="53" borderId="16" xfId="0" applyFont="1" applyFill="1" applyBorder="1" applyAlignment="1" applyProtection="1">
      <alignment horizontal="center" vertical="center" wrapText="1"/>
      <protection locked="0"/>
    </xf>
    <xf numFmtId="0" fontId="70" fillId="51" borderId="16" xfId="0" applyFont="1" applyFill="1" applyBorder="1" applyAlignment="1" applyProtection="1">
      <alignment horizontal="center" vertical="center" wrapText="1"/>
      <protection locked="0"/>
    </xf>
    <xf numFmtId="168" fontId="14" fillId="0" borderId="0" xfId="0" applyNumberFormat="1" applyFont="1" applyAlignment="1">
      <alignment horizontal="center" vertical="center"/>
    </xf>
    <xf numFmtId="2" fontId="14" fillId="0" borderId="0" xfId="0" applyNumberFormat="1" applyFont="1" applyAlignment="1">
      <alignment vertical="center"/>
    </xf>
    <xf numFmtId="0" fontId="28" fillId="36" borderId="11" xfId="0" applyFont="1" applyFill="1" applyBorder="1" applyAlignment="1">
      <alignment horizontal="centerContinuous" vertical="center"/>
    </xf>
    <xf numFmtId="0" fontId="28" fillId="36" borderId="0" xfId="0" applyFont="1" applyFill="1" applyAlignment="1">
      <alignment horizontal="centerContinuous" vertical="center"/>
    </xf>
    <xf numFmtId="0" fontId="21" fillId="55" borderId="15" xfId="0" applyFont="1" applyFill="1" applyBorder="1" applyAlignment="1">
      <alignment horizontal="centerContinuous" vertical="center"/>
    </xf>
    <xf numFmtId="0" fontId="21" fillId="55" borderId="15" xfId="0" applyFont="1" applyFill="1" applyBorder="1" applyAlignment="1">
      <alignment vertical="center"/>
    </xf>
    <xf numFmtId="0" fontId="21" fillId="55" borderId="15" xfId="0" applyFont="1" applyFill="1" applyBorder="1" applyAlignment="1">
      <alignment horizontal="center" vertical="center"/>
    </xf>
    <xf numFmtId="0" fontId="21" fillId="8" borderId="14" xfId="0" applyFont="1" applyFill="1" applyBorder="1" applyAlignment="1">
      <alignment horizontal="left" vertical="center" indent="1"/>
    </xf>
    <xf numFmtId="0" fontId="21" fillId="8" borderId="19" xfId="0" applyFont="1" applyFill="1" applyBorder="1" applyAlignment="1">
      <alignment horizontal="centerContinuous" vertical="center" wrapText="1"/>
    </xf>
    <xf numFmtId="168" fontId="14" fillId="0" borderId="5" xfId="0" applyNumberFormat="1" applyFont="1" applyBorder="1" applyAlignment="1">
      <alignment horizontal="left" vertical="center"/>
    </xf>
    <xf numFmtId="2" fontId="14" fillId="0" borderId="7" xfId="0" applyNumberFormat="1" applyFont="1" applyBorder="1" applyAlignment="1">
      <alignment vertical="center"/>
    </xf>
    <xf numFmtId="0" fontId="21" fillId="8" borderId="5" xfId="0" applyFont="1" applyFill="1" applyBorder="1" applyAlignment="1">
      <alignment horizontal="left" vertical="center" indent="1"/>
    </xf>
    <xf numFmtId="0" fontId="21" fillId="8" borderId="7" xfId="0" applyFont="1" applyFill="1" applyBorder="1" applyAlignment="1">
      <alignment horizontal="centerContinuous" vertical="center" wrapText="1"/>
    </xf>
    <xf numFmtId="0" fontId="28" fillId="36" borderId="5" xfId="0" applyFont="1" applyFill="1" applyBorder="1" applyAlignment="1">
      <alignment horizontal="left" vertical="center"/>
    </xf>
    <xf numFmtId="0" fontId="28" fillId="36" borderId="7" xfId="0" applyFont="1" applyFill="1" applyBorder="1" applyAlignment="1">
      <alignment horizontal="centerContinuous" vertical="center"/>
    </xf>
    <xf numFmtId="0" fontId="21" fillId="56" borderId="14" xfId="0" applyFont="1" applyFill="1" applyBorder="1" applyAlignment="1">
      <alignment horizontal="left" vertical="center"/>
    </xf>
    <xf numFmtId="0" fontId="21" fillId="56" borderId="19" xfId="0" applyFont="1" applyFill="1" applyBorder="1" applyAlignment="1">
      <alignment horizontal="centerContinuous" vertical="center" wrapText="1"/>
    </xf>
    <xf numFmtId="0" fontId="75" fillId="0" borderId="15" xfId="0" applyFont="1" applyBorder="1" applyAlignment="1">
      <alignment horizontal="centerContinuous" vertical="center"/>
    </xf>
    <xf numFmtId="0" fontId="28" fillId="36" borderId="6" xfId="0" applyFont="1" applyFill="1" applyBorder="1" applyAlignment="1">
      <alignment horizontal="centerContinuous" vertical="center"/>
    </xf>
    <xf numFmtId="184" fontId="21" fillId="3" borderId="33" xfId="0" applyNumberFormat="1" applyFont="1" applyFill="1" applyBorder="1" applyAlignment="1" applyProtection="1">
      <alignment horizontal="center" vertical="center"/>
      <protection locked="0"/>
    </xf>
    <xf numFmtId="170" fontId="14" fillId="0" borderId="15" xfId="6" applyNumberFormat="1" applyFont="1" applyBorder="1" applyAlignment="1">
      <alignment horizontal="center" vertical="center"/>
    </xf>
    <xf numFmtId="170" fontId="21" fillId="0" borderId="15" xfId="6" applyNumberFormat="1" applyFont="1" applyBorder="1" applyAlignment="1">
      <alignment horizontal="center" vertical="center"/>
    </xf>
    <xf numFmtId="170" fontId="40" fillId="52" borderId="15" xfId="220" applyNumberFormat="1" applyBorder="1" applyAlignment="1">
      <alignment horizontal="center" vertical="center"/>
    </xf>
    <xf numFmtId="170" fontId="73" fillId="9" borderId="15" xfId="219" applyNumberFormat="1" applyBorder="1" applyAlignment="1">
      <alignment horizontal="center" vertical="center"/>
    </xf>
    <xf numFmtId="1" fontId="14" fillId="8" borderId="38" xfId="0" applyNumberFormat="1" applyFont="1" applyFill="1" applyBorder="1" applyAlignment="1" applyProtection="1">
      <alignment horizontal="left" vertical="center"/>
      <protection locked="0"/>
    </xf>
    <xf numFmtId="1" fontId="14" fillId="8" borderId="41" xfId="0" applyNumberFormat="1" applyFont="1" applyFill="1" applyBorder="1" applyAlignment="1" applyProtection="1">
      <alignment horizontal="left" vertical="center"/>
      <protection locked="0"/>
    </xf>
    <xf numFmtId="10" fontId="11" fillId="39" borderId="15" xfId="0" applyNumberFormat="1" applyFont="1" applyFill="1" applyBorder="1" applyAlignment="1" applyProtection="1">
      <alignment horizontal="center" vertical="center"/>
      <protection locked="0"/>
    </xf>
    <xf numFmtId="165" fontId="11" fillId="39" borderId="15" xfId="204" applyFont="1" applyFill="1" applyBorder="1" applyAlignment="1" applyProtection="1">
      <alignment horizontal="center" vertical="center"/>
      <protection locked="0"/>
    </xf>
    <xf numFmtId="0" fontId="28" fillId="4" borderId="10" xfId="0" applyFont="1" applyFill="1" applyBorder="1" applyAlignment="1">
      <alignment horizontal="left" vertical="center" wrapText="1"/>
    </xf>
    <xf numFmtId="0" fontId="14" fillId="7" borderId="15" xfId="4" applyFont="1" applyFill="1" applyBorder="1" applyAlignment="1">
      <alignment horizontal="center" vertical="center"/>
    </xf>
    <xf numFmtId="0" fontId="79" fillId="7" borderId="15" xfId="4" applyFont="1" applyFill="1" applyBorder="1" applyAlignment="1">
      <alignment horizontal="center" vertical="center"/>
    </xf>
    <xf numFmtId="185" fontId="14" fillId="8" borderId="38" xfId="0" applyNumberFormat="1" applyFont="1" applyFill="1" applyBorder="1" applyAlignment="1" applyProtection="1">
      <alignment horizontal="center" vertical="center"/>
      <protection locked="0"/>
    </xf>
    <xf numFmtId="168" fontId="14" fillId="0" borderId="6" xfId="0" applyNumberFormat="1" applyFont="1" applyBorder="1" applyAlignment="1">
      <alignment horizontal="left" vertical="center"/>
    </xf>
    <xf numFmtId="0" fontId="80" fillId="0" borderId="0" xfId="0" applyFont="1" applyAlignment="1">
      <alignment vertical="top"/>
    </xf>
    <xf numFmtId="184" fontId="14" fillId="7" borderId="16" xfId="0" applyNumberFormat="1" applyFont="1" applyFill="1" applyBorder="1" applyAlignment="1" applyProtection="1">
      <alignment horizontal="center" vertical="center"/>
      <protection locked="0"/>
    </xf>
    <xf numFmtId="10" fontId="14" fillId="7" borderId="15" xfId="6" applyNumberFormat="1" applyFont="1" applyFill="1" applyBorder="1" applyAlignment="1" applyProtection="1">
      <alignment horizontal="center" vertical="center"/>
      <protection locked="0"/>
    </xf>
    <xf numFmtId="184" fontId="14" fillId="7" borderId="15" xfId="0" applyNumberFormat="1" applyFont="1" applyFill="1" applyBorder="1" applyAlignment="1" applyProtection="1">
      <alignment horizontal="center" vertical="center"/>
      <protection locked="0"/>
    </xf>
    <xf numFmtId="184" fontId="21" fillId="7" borderId="15" xfId="0" applyNumberFormat="1" applyFont="1" applyFill="1" applyBorder="1" applyAlignment="1" applyProtection="1">
      <alignment horizontal="center" vertical="center"/>
      <protection locked="0"/>
    </xf>
    <xf numFmtId="9" fontId="21" fillId="7" borderId="15" xfId="6" applyFont="1" applyFill="1" applyBorder="1" applyAlignment="1" applyProtection="1">
      <alignment horizontal="center" vertical="center"/>
      <protection locked="0"/>
    </xf>
    <xf numFmtId="10" fontId="21" fillId="7" borderId="15" xfId="6" applyNumberFormat="1" applyFont="1" applyFill="1" applyBorder="1" applyAlignment="1" applyProtection="1">
      <alignment horizontal="center" vertical="center"/>
      <protection locked="0"/>
    </xf>
    <xf numFmtId="184" fontId="14" fillId="7" borderId="18" xfId="0" applyNumberFormat="1" applyFont="1" applyFill="1" applyBorder="1" applyAlignment="1" applyProtection="1">
      <alignment horizontal="center" vertical="center"/>
      <protection locked="0"/>
    </xf>
    <xf numFmtId="9" fontId="21" fillId="7" borderId="7" xfId="6" applyFont="1" applyFill="1" applyBorder="1" applyAlignment="1" applyProtection="1">
      <alignment horizontal="center" vertical="center"/>
      <protection locked="0"/>
    </xf>
    <xf numFmtId="0" fontId="15" fillId="57" borderId="15" xfId="0" applyFont="1" applyFill="1" applyBorder="1" applyAlignment="1">
      <alignment horizontal="centerContinuous" vertical="center"/>
    </xf>
    <xf numFmtId="0" fontId="12" fillId="57" borderId="15" xfId="0" applyFont="1" applyFill="1" applyBorder="1" applyAlignment="1">
      <alignment horizontal="centerContinuous" vertical="center"/>
    </xf>
    <xf numFmtId="184" fontId="14" fillId="5" borderId="16" xfId="0" applyNumberFormat="1" applyFont="1" applyFill="1" applyBorder="1" applyAlignment="1" applyProtection="1">
      <alignment horizontal="center" vertical="center"/>
      <protection locked="0"/>
    </xf>
    <xf numFmtId="168" fontId="81" fillId="0" borderId="5" xfId="0" applyNumberFormat="1" applyFont="1" applyBorder="1" applyAlignment="1">
      <alignment horizontal="left" vertical="center"/>
    </xf>
    <xf numFmtId="9" fontId="14" fillId="7" borderId="15" xfId="6" applyFont="1" applyFill="1" applyBorder="1" applyAlignment="1">
      <alignment horizontal="center" vertical="center"/>
    </xf>
    <xf numFmtId="0" fontId="28" fillId="4" borderId="15" xfId="0" applyFont="1" applyFill="1" applyBorder="1" applyAlignment="1">
      <alignment horizontal="left" vertical="center" wrapText="1"/>
    </xf>
    <xf numFmtId="2" fontId="14" fillId="5" borderId="15" xfId="0" applyNumberFormat="1" applyFont="1" applyFill="1" applyBorder="1" applyAlignment="1" applyProtection="1">
      <alignment horizontal="center" vertical="center"/>
      <protection locked="0"/>
    </xf>
    <xf numFmtId="168" fontId="14" fillId="5" borderId="15" xfId="0" applyNumberFormat="1" applyFont="1" applyFill="1" applyBorder="1" applyAlignment="1" applyProtection="1">
      <alignment horizontal="center" vertical="center" wrapText="1"/>
      <protection locked="0"/>
    </xf>
    <xf numFmtId="14" fontId="14" fillId="5" borderId="15" xfId="0" applyNumberFormat="1" applyFont="1" applyFill="1" applyBorder="1" applyAlignment="1" applyProtection="1">
      <alignment horizontal="center" vertical="center"/>
      <protection locked="0"/>
    </xf>
    <xf numFmtId="14" fontId="14" fillId="7" borderId="15" xfId="0" applyNumberFormat="1" applyFont="1" applyFill="1" applyBorder="1" applyAlignment="1">
      <alignment horizontal="center" vertical="center"/>
    </xf>
    <xf numFmtId="1" fontId="14" fillId="5" borderId="15" xfId="0" applyNumberFormat="1" applyFont="1" applyFill="1" applyBorder="1" applyAlignment="1" applyProtection="1">
      <alignment horizontal="center" vertical="center"/>
      <protection locked="0"/>
    </xf>
    <xf numFmtId="0" fontId="14" fillId="5" borderId="15" xfId="0" applyFont="1" applyFill="1" applyBorder="1" applyAlignment="1" applyProtection="1">
      <alignment horizontal="center" vertical="center"/>
      <protection locked="0"/>
    </xf>
    <xf numFmtId="14" fontId="14" fillId="5" borderId="15" xfId="0" applyNumberFormat="1" applyFont="1" applyFill="1" applyBorder="1" applyAlignment="1" applyProtection="1">
      <alignment horizontal="center" vertical="center" wrapText="1"/>
      <protection locked="0"/>
    </xf>
    <xf numFmtId="0" fontId="14" fillId="5" borderId="15" xfId="0" applyFont="1" applyFill="1" applyBorder="1" applyAlignment="1" applyProtection="1">
      <alignment horizontal="center" vertical="center" wrapText="1"/>
      <protection locked="0"/>
    </xf>
    <xf numFmtId="3" fontId="14" fillId="7" borderId="15" xfId="0" applyNumberFormat="1" applyFont="1" applyFill="1" applyBorder="1" applyAlignment="1" applyProtection="1">
      <alignment horizontal="center" vertical="center"/>
      <protection locked="0"/>
    </xf>
    <xf numFmtId="2" fontId="14" fillId="7" borderId="15" xfId="0" applyNumberFormat="1" applyFont="1" applyFill="1" applyBorder="1" applyAlignment="1" applyProtection="1">
      <alignment horizontal="center" vertical="center"/>
      <protection locked="0"/>
    </xf>
    <xf numFmtId="168" fontId="14" fillId="7" borderId="15" xfId="0" applyNumberFormat="1" applyFont="1" applyFill="1" applyBorder="1" applyAlignment="1" applyProtection="1">
      <alignment horizontal="center" vertical="center" wrapText="1"/>
      <protection locked="0"/>
    </xf>
    <xf numFmtId="14" fontId="14" fillId="7" borderId="15" xfId="0" applyNumberFormat="1" applyFont="1" applyFill="1" applyBorder="1" applyAlignment="1" applyProtection="1">
      <alignment horizontal="center" vertical="center"/>
      <protection locked="0"/>
    </xf>
    <xf numFmtId="1" fontId="14" fillId="7" borderId="15" xfId="0" applyNumberFormat="1"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14" fontId="14" fillId="7" borderId="15" xfId="0" applyNumberFormat="1" applyFont="1" applyFill="1" applyBorder="1" applyAlignment="1" applyProtection="1">
      <alignment horizontal="center" vertical="center" wrapText="1"/>
      <protection locked="0"/>
    </xf>
    <xf numFmtId="0" fontId="14" fillId="7" borderId="15" xfId="0" applyFont="1" applyFill="1" applyBorder="1" applyAlignment="1" applyProtection="1">
      <alignment horizontal="center" vertical="center" wrapText="1"/>
      <protection locked="0"/>
    </xf>
    <xf numFmtId="44" fontId="14" fillId="7" borderId="15" xfId="221" applyNumberFormat="1" applyFont="1" applyFill="1" applyBorder="1" applyAlignment="1" applyProtection="1">
      <alignment horizontal="center" vertical="center"/>
      <protection locked="0"/>
    </xf>
    <xf numFmtId="44" fontId="21" fillId="7" borderId="15" xfId="0" applyNumberFormat="1" applyFont="1" applyFill="1" applyBorder="1" applyAlignment="1" applyProtection="1">
      <alignment horizontal="center" vertical="center"/>
      <protection locked="0"/>
    </xf>
    <xf numFmtId="0" fontId="86" fillId="5" borderId="0" xfId="0" applyFont="1" applyFill="1"/>
    <xf numFmtId="44" fontId="14" fillId="5" borderId="15" xfId="221" applyNumberFormat="1" applyFont="1" applyFill="1" applyBorder="1" applyAlignment="1" applyProtection="1">
      <alignment horizontal="center" vertical="center"/>
      <protection locked="0"/>
    </xf>
    <xf numFmtId="186" fontId="14" fillId="5" borderId="15" xfId="221" applyNumberFormat="1" applyFont="1" applyFill="1" applyBorder="1" applyAlignment="1" applyProtection="1">
      <alignment horizontal="center" vertical="center"/>
      <protection locked="0"/>
    </xf>
    <xf numFmtId="9" fontId="14" fillId="5" borderId="15" xfId="6" applyFont="1" applyFill="1" applyBorder="1" applyAlignment="1" applyProtection="1">
      <alignment horizontal="center" vertical="center"/>
      <protection locked="0"/>
    </xf>
    <xf numFmtId="0" fontId="0" fillId="5" borderId="15" xfId="0" applyFill="1" applyBorder="1" applyAlignment="1">
      <alignment vertical="center"/>
    </xf>
    <xf numFmtId="0" fontId="14" fillId="5" borderId="15" xfId="0" applyFont="1" applyFill="1" applyBorder="1" applyAlignment="1">
      <alignment horizontal="center" vertical="center"/>
    </xf>
    <xf numFmtId="0" fontId="0" fillId="5" borderId="0" xfId="0" applyFill="1" applyAlignment="1">
      <alignment vertical="center"/>
    </xf>
    <xf numFmtId="0" fontId="11" fillId="5" borderId="15" xfId="0" applyFont="1" applyFill="1" applyBorder="1" applyAlignment="1">
      <alignment vertical="center"/>
    </xf>
    <xf numFmtId="0" fontId="3" fillId="5" borderId="15" xfId="222" applyFill="1" applyBorder="1" applyAlignment="1">
      <alignment vertical="center"/>
    </xf>
    <xf numFmtId="44" fontId="14" fillId="7" borderId="15" xfId="0" applyNumberFormat="1" applyFont="1" applyFill="1" applyBorder="1" applyAlignment="1" applyProtection="1">
      <alignment horizontal="center" vertical="center"/>
      <protection locked="0"/>
    </xf>
    <xf numFmtId="44" fontId="21" fillId="7" borderId="15" xfId="221" applyNumberFormat="1" applyFont="1" applyFill="1" applyBorder="1" applyAlignment="1" applyProtection="1">
      <alignment horizontal="center" vertical="center"/>
      <protection locked="0"/>
    </xf>
    <xf numFmtId="0" fontId="15" fillId="0" borderId="0" xfId="0" applyFont="1" applyAlignment="1">
      <alignment vertical="center"/>
    </xf>
    <xf numFmtId="0" fontId="21" fillId="0" borderId="16" xfId="0" applyFont="1" applyBorder="1" applyAlignment="1">
      <alignment vertical="center"/>
    </xf>
    <xf numFmtId="180" fontId="21" fillId="39" borderId="16" xfId="0" applyNumberFormat="1" applyFont="1" applyFill="1" applyBorder="1" applyAlignment="1">
      <alignment vertical="center"/>
    </xf>
    <xf numFmtId="170" fontId="14" fillId="6" borderId="35" xfId="6" applyNumberFormat="1" applyFont="1" applyFill="1" applyBorder="1" applyAlignment="1">
      <alignment horizontal="center" vertical="center"/>
    </xf>
    <xf numFmtId="170" fontId="14" fillId="6" borderId="38" xfId="6" applyNumberFormat="1" applyFont="1" applyFill="1" applyBorder="1" applyAlignment="1">
      <alignment horizontal="center" vertical="center"/>
    </xf>
    <xf numFmtId="170" fontId="14" fillId="6" borderId="41" xfId="6" applyNumberFormat="1" applyFont="1" applyFill="1" applyBorder="1" applyAlignment="1">
      <alignment horizontal="center" vertical="center"/>
    </xf>
    <xf numFmtId="0" fontId="21" fillId="0" borderId="0" xfId="0" applyFont="1" applyAlignment="1">
      <alignment vertical="center"/>
    </xf>
    <xf numFmtId="0" fontId="14" fillId="6" borderId="15" xfId="0" applyFont="1" applyFill="1" applyBorder="1" applyAlignment="1">
      <alignment horizontal="center" vertical="center"/>
    </xf>
    <xf numFmtId="174" fontId="14" fillId="6" borderId="15" xfId="0" applyNumberFormat="1" applyFont="1" applyFill="1" applyBorder="1" applyAlignment="1">
      <alignment horizontal="center" vertical="center"/>
    </xf>
    <xf numFmtId="9" fontId="21" fillId="39" borderId="15" xfId="6" applyFont="1" applyFill="1" applyBorder="1" applyAlignment="1">
      <alignment horizontal="center" vertical="center"/>
    </xf>
    <xf numFmtId="1" fontId="21" fillId="39" borderId="15" xfId="0" applyNumberFormat="1" applyFont="1" applyFill="1" applyBorder="1" applyAlignment="1">
      <alignment horizontal="center" vertical="center"/>
    </xf>
    <xf numFmtId="0" fontId="86" fillId="0" borderId="0" xfId="0" applyFont="1" applyAlignment="1">
      <alignment vertical="center"/>
    </xf>
    <xf numFmtId="44" fontId="3" fillId="5" borderId="15" xfId="222" applyNumberFormat="1" applyFill="1" applyBorder="1" applyAlignment="1">
      <alignment vertical="center"/>
    </xf>
    <xf numFmtId="44" fontId="0" fillId="5" borderId="15" xfId="0" applyNumberFormat="1" applyFill="1" applyBorder="1" applyAlignment="1">
      <alignment vertical="center"/>
    </xf>
    <xf numFmtId="14" fontId="3" fillId="5" borderId="15" xfId="222" applyNumberFormat="1" applyFill="1" applyBorder="1" applyAlignment="1">
      <alignment vertical="center"/>
    </xf>
    <xf numFmtId="0" fontId="0" fillId="5" borderId="0" xfId="0" applyFill="1" applyAlignment="1">
      <alignment horizontal="center"/>
    </xf>
    <xf numFmtId="0" fontId="12" fillId="5" borderId="0" xfId="0" applyFont="1" applyFill="1" applyAlignment="1">
      <alignment horizontal="center"/>
    </xf>
    <xf numFmtId="0" fontId="11" fillId="5" borderId="0" xfId="0" applyFont="1" applyFill="1" applyAlignment="1">
      <alignment horizontal="center"/>
    </xf>
    <xf numFmtId="0" fontId="28" fillId="4" borderId="15" xfId="0" applyFont="1" applyFill="1" applyBorder="1" applyAlignment="1">
      <alignment horizontal="centerContinuous" vertical="center" wrapText="1"/>
    </xf>
    <xf numFmtId="0" fontId="14" fillId="6" borderId="5" xfId="0" applyFont="1" applyFill="1" applyBorder="1" applyAlignment="1">
      <alignment horizontal="left" vertical="center"/>
    </xf>
    <xf numFmtId="0" fontId="14" fillId="6" borderId="7" xfId="0" applyFont="1" applyFill="1" applyBorder="1" applyAlignment="1">
      <alignment horizontal="left" vertical="center"/>
    </xf>
    <xf numFmtId="49" fontId="3" fillId="5" borderId="15" xfId="222" applyNumberFormat="1" applyFill="1" applyBorder="1" applyAlignment="1">
      <alignment horizontal="left" vertical="center"/>
    </xf>
    <xf numFmtId="0" fontId="28" fillId="4" borderId="16" xfId="0" applyFont="1" applyFill="1" applyBorder="1" applyAlignment="1">
      <alignment horizontal="left" vertical="center" wrapText="1"/>
    </xf>
    <xf numFmtId="180" fontId="14" fillId="39" borderId="48" xfId="204" applyNumberFormat="1" applyFont="1" applyFill="1" applyBorder="1" applyAlignment="1">
      <alignment vertical="center"/>
    </xf>
    <xf numFmtId="180" fontId="14" fillId="39" borderId="9" xfId="204" applyNumberFormat="1" applyFont="1" applyFill="1" applyBorder="1" applyAlignment="1">
      <alignment vertical="center"/>
    </xf>
    <xf numFmtId="180" fontId="14" fillId="39" borderId="49" xfId="204" applyNumberFormat="1" applyFont="1" applyFill="1" applyBorder="1" applyAlignment="1">
      <alignment vertical="center"/>
    </xf>
    <xf numFmtId="180" fontId="14" fillId="39" borderId="16" xfId="0" applyNumberFormat="1" applyFont="1" applyFill="1" applyBorder="1" applyAlignment="1">
      <alignment vertical="center"/>
    </xf>
    <xf numFmtId="1" fontId="14" fillId="39" borderId="48" xfId="0" applyNumberFormat="1" applyFont="1" applyFill="1" applyBorder="1" applyAlignment="1">
      <alignment horizontal="center" vertical="center"/>
    </xf>
    <xf numFmtId="0" fontId="0" fillId="0" borderId="17" xfId="0" applyBorder="1" applyAlignment="1">
      <alignment vertical="center"/>
    </xf>
    <xf numFmtId="0" fontId="0" fillId="0" borderId="11" xfId="0" applyBorder="1" applyAlignment="1">
      <alignment vertical="center"/>
    </xf>
    <xf numFmtId="0" fontId="0" fillId="0" borderId="20" xfId="0" applyBorder="1" applyAlignment="1">
      <alignment vertical="center"/>
    </xf>
    <xf numFmtId="0" fontId="0" fillId="0" borderId="19" xfId="0" applyBorder="1" applyAlignment="1">
      <alignment vertical="center"/>
    </xf>
    <xf numFmtId="0" fontId="0" fillId="0" borderId="13" xfId="0" applyBorder="1" applyAlignment="1">
      <alignment vertical="center"/>
    </xf>
    <xf numFmtId="0" fontId="0" fillId="0" borderId="2" xfId="0" applyBorder="1" applyAlignment="1">
      <alignment vertical="center"/>
    </xf>
    <xf numFmtId="0" fontId="0" fillId="0" borderId="0" xfId="0" applyAlignment="1">
      <alignment horizontal="centerContinuous" vertical="top"/>
    </xf>
    <xf numFmtId="0" fontId="86" fillId="5" borderId="12" xfId="0" applyFont="1" applyFill="1" applyBorder="1"/>
    <xf numFmtId="0" fontId="86" fillId="5" borderId="13" xfId="0" applyFont="1" applyFill="1" applyBorder="1"/>
    <xf numFmtId="0" fontId="0" fillId="5" borderId="13" xfId="0" applyFill="1" applyBorder="1"/>
    <xf numFmtId="0" fontId="85" fillId="5" borderId="13" xfId="0" applyFont="1" applyFill="1" applyBorder="1"/>
    <xf numFmtId="0" fontId="0" fillId="5" borderId="17" xfId="0" applyFill="1" applyBorder="1"/>
    <xf numFmtId="0" fontId="86" fillId="5" borderId="11" xfId="0" applyFont="1" applyFill="1" applyBorder="1"/>
    <xf numFmtId="0" fontId="0" fillId="5" borderId="20" xfId="0" applyFill="1" applyBorder="1"/>
    <xf numFmtId="0" fontId="85" fillId="5" borderId="0" xfId="0" applyFont="1" applyFill="1"/>
    <xf numFmtId="0" fontId="86" fillId="5" borderId="14" xfId="0" applyFont="1" applyFill="1" applyBorder="1"/>
    <xf numFmtId="0" fontId="0" fillId="5" borderId="2" xfId="0" applyFill="1" applyBorder="1"/>
    <xf numFmtId="0" fontId="0" fillId="5" borderId="19" xfId="0" applyFill="1" applyBorder="1"/>
    <xf numFmtId="0" fontId="91" fillId="5" borderId="13" xfId="0" applyFont="1" applyFill="1" applyBorder="1"/>
    <xf numFmtId="0" fontId="29" fillId="4" borderId="15" xfId="0" applyFont="1" applyFill="1" applyBorder="1" applyAlignment="1">
      <alignment horizontal="centerContinuous" vertical="center" wrapText="1"/>
    </xf>
    <xf numFmtId="0" fontId="87" fillId="5" borderId="11" xfId="0" applyFont="1" applyFill="1" applyBorder="1"/>
    <xf numFmtId="0" fontId="23" fillId="5" borderId="0" xfId="0" applyFont="1" applyFill="1" applyAlignment="1">
      <alignment horizontal="centerContinuous" vertical="center"/>
    </xf>
    <xf numFmtId="0" fontId="0" fillId="5" borderId="0" xfId="0" applyFill="1" applyAlignment="1">
      <alignment horizontal="centerContinuous"/>
    </xf>
    <xf numFmtId="44" fontId="0" fillId="3" borderId="15" xfId="0" applyNumberFormat="1" applyFill="1" applyBorder="1" applyAlignment="1">
      <alignment vertical="center"/>
    </xf>
    <xf numFmtId="0" fontId="88" fillId="5" borderId="0" xfId="0" applyFont="1" applyFill="1"/>
    <xf numFmtId="0" fontId="92" fillId="5" borderId="0" xfId="0" applyFont="1" applyFill="1"/>
    <xf numFmtId="0" fontId="93" fillId="0" borderId="12" xfId="0" applyFont="1" applyBorder="1" applyAlignment="1">
      <alignment vertical="center"/>
    </xf>
    <xf numFmtId="0" fontId="14" fillId="0" borderId="11" xfId="0" applyFont="1" applyBorder="1" applyAlignment="1">
      <alignment horizontal="left" vertical="top"/>
    </xf>
    <xf numFmtId="0" fontId="14" fillId="0" borderId="14" xfId="0" applyFont="1" applyBorder="1" applyAlignment="1">
      <alignment horizontal="left" vertical="top"/>
    </xf>
    <xf numFmtId="0" fontId="0" fillId="5" borderId="15" xfId="0" applyFill="1" applyBorder="1" applyAlignment="1">
      <alignment horizontal="center"/>
    </xf>
    <xf numFmtId="0" fontId="14" fillId="0" borderId="15" xfId="0" applyFont="1" applyBorder="1" applyAlignment="1">
      <alignment horizontal="center" vertical="center"/>
    </xf>
    <xf numFmtId="0" fontId="19" fillId="0" borderId="5" xfId="0" applyFont="1" applyBorder="1" applyAlignment="1">
      <alignment vertical="center"/>
    </xf>
    <xf numFmtId="0" fontId="64" fillId="0" borderId="5" xfId="0" applyFont="1" applyBorder="1" applyAlignment="1">
      <alignment horizontal="centerContinuous" vertical="center"/>
    </xf>
    <xf numFmtId="0" fontId="19" fillId="0" borderId="6" xfId="0" applyFont="1" applyBorder="1" applyAlignment="1">
      <alignment horizontal="centerContinuous" vertical="center"/>
    </xf>
    <xf numFmtId="2" fontId="19" fillId="0" borderId="6" xfId="0" applyNumberFormat="1" applyFont="1" applyBorder="1" applyAlignment="1">
      <alignment horizontal="centerContinuous" vertical="center"/>
    </xf>
    <xf numFmtId="168" fontId="19" fillId="0" borderId="6" xfId="0" applyNumberFormat="1" applyFont="1" applyBorder="1" applyAlignment="1">
      <alignment horizontal="centerContinuous" vertical="center"/>
    </xf>
    <xf numFmtId="0" fontId="19" fillId="0" borderId="7" xfId="0" applyFont="1" applyBorder="1" applyAlignment="1">
      <alignment horizontal="centerContinuous" vertical="center"/>
    </xf>
    <xf numFmtId="0" fontId="27" fillId="36" borderId="6" xfId="0" applyFont="1" applyFill="1" applyBorder="1" applyAlignment="1">
      <alignment horizontal="centerContinuous" vertical="center"/>
    </xf>
    <xf numFmtId="0" fontId="27" fillId="36" borderId="7" xfId="0" applyFont="1" applyFill="1" applyBorder="1" applyAlignment="1">
      <alignment horizontal="centerContinuous" vertical="center"/>
    </xf>
    <xf numFmtId="168" fontId="19" fillId="0" borderId="13" xfId="0" applyNumberFormat="1" applyFont="1" applyBorder="1" applyAlignment="1">
      <alignment horizontal="center" vertical="center"/>
    </xf>
    <xf numFmtId="2" fontId="19" fillId="0" borderId="13" xfId="0" applyNumberFormat="1" applyFont="1" applyBorder="1" applyAlignment="1">
      <alignment vertical="center"/>
    </xf>
    <xf numFmtId="0" fontId="19" fillId="0" borderId="13" xfId="0" applyFont="1" applyBorder="1" applyAlignment="1">
      <alignment vertical="center"/>
    </xf>
    <xf numFmtId="0" fontId="19" fillId="0" borderId="17" xfId="0" applyFont="1" applyBorder="1" applyAlignment="1">
      <alignment vertical="center"/>
    </xf>
    <xf numFmtId="168" fontId="19" fillId="0" borderId="2" xfId="0" applyNumberFormat="1" applyFont="1" applyBorder="1" applyAlignment="1">
      <alignment horizontal="center" vertical="center"/>
    </xf>
    <xf numFmtId="2" fontId="19" fillId="0" borderId="2" xfId="0" applyNumberFormat="1" applyFont="1" applyBorder="1" applyAlignment="1">
      <alignment vertical="center"/>
    </xf>
    <xf numFmtId="0" fontId="19" fillId="0" borderId="2" xfId="0" applyFont="1" applyBorder="1" applyAlignment="1">
      <alignment vertical="center"/>
    </xf>
    <xf numFmtId="0" fontId="19" fillId="0" borderId="19" xfId="0" applyFont="1" applyBorder="1" applyAlignment="1">
      <alignment vertical="center"/>
    </xf>
    <xf numFmtId="0" fontId="29" fillId="36" borderId="5" xfId="0" applyFont="1" applyFill="1" applyBorder="1" applyAlignment="1">
      <alignment horizontal="centerContinuous" vertical="center"/>
    </xf>
    <xf numFmtId="0" fontId="28" fillId="4" borderId="52" xfId="0" applyFont="1" applyFill="1" applyBorder="1" applyAlignment="1">
      <alignment horizontal="center" vertical="center" wrapText="1"/>
    </xf>
    <xf numFmtId="0" fontId="28" fillId="4" borderId="53" xfId="0" applyFont="1" applyFill="1" applyBorder="1" applyAlignment="1">
      <alignment horizontal="center" vertical="center" wrapText="1"/>
    </xf>
    <xf numFmtId="186" fontId="14" fillId="0" borderId="42" xfId="221" applyNumberFormat="1" applyFont="1" applyBorder="1" applyAlignment="1">
      <alignment horizontal="center" vertical="center"/>
    </xf>
    <xf numFmtId="0" fontId="28" fillId="4" borderId="55" xfId="0" applyFont="1" applyFill="1" applyBorder="1" applyAlignment="1">
      <alignment horizontal="center" vertical="center" wrapText="1"/>
    </xf>
    <xf numFmtId="0" fontId="28" fillId="4" borderId="56" xfId="0" applyFont="1" applyFill="1" applyBorder="1" applyAlignment="1">
      <alignment horizontal="center" vertical="center" wrapText="1"/>
    </xf>
    <xf numFmtId="0" fontId="28" fillId="4" borderId="34" xfId="0" applyFont="1" applyFill="1" applyBorder="1" applyAlignment="1">
      <alignment horizontal="left" vertical="center" wrapText="1"/>
    </xf>
    <xf numFmtId="186" fontId="14" fillId="0" borderId="36" xfId="221" applyNumberFormat="1" applyFont="1" applyBorder="1" applyAlignment="1">
      <alignment horizontal="center" vertical="center"/>
    </xf>
    <xf numFmtId="0" fontId="28" fillId="4" borderId="40" xfId="0" applyFont="1" applyFill="1" applyBorder="1" applyAlignment="1">
      <alignment horizontal="left" vertical="center" wrapText="1"/>
    </xf>
    <xf numFmtId="0" fontId="28" fillId="4" borderId="37" xfId="0" applyFont="1" applyFill="1" applyBorder="1" applyAlignment="1">
      <alignment horizontal="left" vertical="center" wrapText="1"/>
    </xf>
    <xf numFmtId="0" fontId="19" fillId="0" borderId="0" xfId="0" applyFont="1" applyAlignment="1">
      <alignment horizontal="left" vertical="center"/>
    </xf>
    <xf numFmtId="0" fontId="28" fillId="4" borderId="50" xfId="0" applyFont="1" applyFill="1" applyBorder="1" applyAlignment="1">
      <alignment horizontal="left" vertical="center" wrapText="1"/>
    </xf>
    <xf numFmtId="0" fontId="14" fillId="0" borderId="6" xfId="0" applyFont="1" applyBorder="1" applyAlignment="1">
      <alignment vertical="center"/>
    </xf>
    <xf numFmtId="168" fontId="14" fillId="0" borderId="6" xfId="0" applyNumberFormat="1" applyFont="1" applyBorder="1" applyAlignment="1">
      <alignment horizontal="center" vertical="center"/>
    </xf>
    <xf numFmtId="168" fontId="14" fillId="0" borderId="6" xfId="0" applyNumberFormat="1" applyFont="1" applyBorder="1" applyAlignment="1">
      <alignment horizontal="centerContinuous" vertical="center"/>
    </xf>
    <xf numFmtId="2" fontId="14" fillId="0" borderId="6" xfId="0" applyNumberFormat="1" applyFont="1" applyBorder="1" applyAlignment="1">
      <alignment horizontal="centerContinuous" vertical="center"/>
    </xf>
    <xf numFmtId="0" fontId="14" fillId="0" borderId="0" xfId="0" applyFont="1" applyAlignment="1">
      <alignment horizontal="right" vertical="center"/>
    </xf>
    <xf numFmtId="0" fontId="21" fillId="8" borderId="37" xfId="0" applyFont="1" applyFill="1" applyBorder="1" applyAlignment="1">
      <alignment horizontal="left" vertical="center" indent="1"/>
    </xf>
    <xf numFmtId="0" fontId="28" fillId="4" borderId="35" xfId="0" applyFont="1" applyFill="1" applyBorder="1" applyAlignment="1">
      <alignment horizontal="centerContinuous" vertical="center" wrapText="1"/>
    </xf>
    <xf numFmtId="0" fontId="28" fillId="4" borderId="36" xfId="0" applyFont="1" applyFill="1" applyBorder="1" applyAlignment="1">
      <alignment horizontal="centerContinuous" vertical="center" wrapText="1"/>
    </xf>
    <xf numFmtId="44" fontId="14" fillId="5" borderId="61" xfId="221" applyNumberFormat="1" applyFont="1" applyFill="1" applyBorder="1" applyAlignment="1">
      <alignment horizontal="centerContinuous" vertical="center"/>
    </xf>
    <xf numFmtId="0" fontId="14" fillId="5" borderId="62" xfId="0" applyFont="1" applyFill="1" applyBorder="1" applyAlignment="1">
      <alignment horizontal="centerContinuous" vertical="center"/>
    </xf>
    <xf numFmtId="0" fontId="19" fillId="5" borderId="62" xfId="0" applyFont="1" applyFill="1" applyBorder="1" applyAlignment="1">
      <alignment horizontal="centerContinuous" vertical="center"/>
    </xf>
    <xf numFmtId="44" fontId="14" fillId="5" borderId="63" xfId="221" applyNumberFormat="1" applyFont="1" applyFill="1" applyBorder="1" applyAlignment="1">
      <alignment horizontal="centerContinuous" vertical="center"/>
    </xf>
    <xf numFmtId="0" fontId="19" fillId="5" borderId="64" xfId="0" applyFont="1" applyFill="1" applyBorder="1" applyAlignment="1">
      <alignment horizontal="centerContinuous" vertical="center"/>
    </xf>
    <xf numFmtId="0" fontId="28" fillId="4" borderId="58" xfId="0" applyFont="1" applyFill="1" applyBorder="1" applyAlignment="1">
      <alignment horizontal="centerContinuous" vertical="center"/>
    </xf>
    <xf numFmtId="0" fontId="28" fillId="4" borderId="59" xfId="0" applyFont="1" applyFill="1" applyBorder="1" applyAlignment="1">
      <alignment horizontal="centerContinuous" vertical="center"/>
    </xf>
    <xf numFmtId="0" fontId="28" fillId="4" borderId="57" xfId="0" applyFont="1" applyFill="1" applyBorder="1" applyAlignment="1">
      <alignment horizontal="left" vertical="center"/>
    </xf>
    <xf numFmtId="168" fontId="14" fillId="0" borderId="14" xfId="0" applyNumberFormat="1" applyFont="1" applyBorder="1" applyAlignment="1">
      <alignment horizontal="left" vertical="center"/>
    </xf>
    <xf numFmtId="0" fontId="28" fillId="4" borderId="7" xfId="0" applyFont="1" applyFill="1" applyBorder="1" applyAlignment="1">
      <alignment horizontal="left" vertical="center" wrapText="1"/>
    </xf>
    <xf numFmtId="0" fontId="28" fillId="4" borderId="5" xfId="0" applyFont="1" applyFill="1" applyBorder="1" applyAlignment="1">
      <alignment horizontal="left" vertical="center" wrapText="1"/>
    </xf>
    <xf numFmtId="0" fontId="28" fillId="36" borderId="15" xfId="0" applyFont="1" applyFill="1" applyBorder="1" applyAlignment="1">
      <alignment horizontal="centerContinuous" vertical="center"/>
    </xf>
    <xf numFmtId="2" fontId="14" fillId="0" borderId="7" xfId="0" applyNumberFormat="1" applyFont="1" applyBorder="1" applyAlignment="1">
      <alignment horizontal="centerContinuous" vertical="center"/>
    </xf>
    <xf numFmtId="14" fontId="14" fillId="0" borderId="15" xfId="0" applyNumberFormat="1" applyFont="1" applyBorder="1" applyAlignment="1">
      <alignment horizontal="center" vertical="center"/>
    </xf>
    <xf numFmtId="168" fontId="94" fillId="0" borderId="5" xfId="223" applyNumberFormat="1" applyBorder="1" applyAlignment="1">
      <alignment horizontal="left" vertical="center"/>
    </xf>
    <xf numFmtId="168" fontId="93" fillId="0" borderId="12" xfId="0" applyNumberFormat="1" applyFont="1" applyBorder="1" applyAlignment="1">
      <alignment horizontal="left" vertical="center"/>
    </xf>
    <xf numFmtId="0" fontId="19" fillId="0" borderId="20" xfId="0" applyFont="1" applyBorder="1" applyAlignment="1">
      <alignment horizontal="left" vertical="center"/>
    </xf>
    <xf numFmtId="0" fontId="19" fillId="0" borderId="2" xfId="0" applyFont="1" applyBorder="1" applyAlignment="1">
      <alignment horizontal="left" vertical="center"/>
    </xf>
    <xf numFmtId="0" fontId="19" fillId="0" borderId="19" xfId="0" applyFont="1" applyBorder="1" applyAlignment="1">
      <alignment horizontal="left" vertical="center"/>
    </xf>
    <xf numFmtId="0" fontId="14" fillId="0" borderId="5" xfId="0" applyFont="1" applyBorder="1" applyAlignment="1">
      <alignment horizontal="left" vertical="center"/>
    </xf>
    <xf numFmtId="0" fontId="28" fillId="4" borderId="15" xfId="0" applyFont="1" applyFill="1" applyBorder="1" applyAlignment="1">
      <alignment horizontal="left" vertical="center"/>
    </xf>
    <xf numFmtId="0" fontId="28" fillId="4" borderId="7" xfId="0" applyFont="1" applyFill="1" applyBorder="1" applyAlignment="1">
      <alignment horizontal="left" vertical="center"/>
    </xf>
    <xf numFmtId="0" fontId="28" fillId="4" borderId="5" xfId="0" applyFont="1" applyFill="1" applyBorder="1" applyAlignment="1">
      <alignment horizontal="left" vertical="center"/>
    </xf>
    <xf numFmtId="2" fontId="14" fillId="0" borderId="7" xfId="0" applyNumberFormat="1" applyFont="1" applyBorder="1" applyAlignment="1">
      <alignment horizontal="left" vertical="center"/>
    </xf>
    <xf numFmtId="6" fontId="14" fillId="0" borderId="5" xfId="0" applyNumberFormat="1" applyFont="1" applyBorder="1" applyAlignment="1">
      <alignment horizontal="left" vertical="center"/>
    </xf>
    <xf numFmtId="0" fontId="28" fillId="4" borderId="6" xfId="0" applyFont="1" applyFill="1" applyBorder="1" applyAlignment="1">
      <alignment horizontal="left" vertical="center"/>
    </xf>
    <xf numFmtId="9" fontId="14" fillId="0" borderId="7" xfId="6" applyFont="1" applyBorder="1" applyAlignment="1">
      <alignment horizontal="center" vertical="center"/>
    </xf>
    <xf numFmtId="0" fontId="95" fillId="0" borderId="0" xfId="0" applyFont="1" applyAlignment="1">
      <alignment horizontal="right" vertical="center"/>
    </xf>
    <xf numFmtId="0" fontId="96" fillId="0" borderId="0" xfId="0" applyFont="1" applyAlignment="1">
      <alignment horizontal="right" vertical="center"/>
    </xf>
    <xf numFmtId="0" fontId="97" fillId="0" borderId="0" xfId="0" applyFont="1" applyAlignment="1">
      <alignment horizontal="right" vertical="center"/>
    </xf>
    <xf numFmtId="14" fontId="14" fillId="0" borderId="0" xfId="0" applyNumberFormat="1" applyFont="1" applyAlignment="1">
      <alignment horizontal="right" vertical="center"/>
    </xf>
    <xf numFmtId="0" fontId="14" fillId="5" borderId="60" xfId="0" applyFont="1" applyFill="1" applyBorder="1" applyAlignment="1">
      <alignment horizontal="left" vertical="center" indent="1"/>
    </xf>
    <xf numFmtId="0" fontId="84" fillId="5" borderId="14" xfId="0" applyFont="1" applyFill="1" applyBorder="1" applyAlignment="1">
      <alignment horizontal="left" vertical="center" wrapText="1"/>
    </xf>
    <xf numFmtId="0" fontId="14" fillId="0" borderId="11" xfId="0" applyFont="1" applyBorder="1" applyAlignment="1">
      <alignment horizontal="left" vertical="center"/>
    </xf>
    <xf numFmtId="0" fontId="14" fillId="0" borderId="14" xfId="0" applyFont="1" applyBorder="1" applyAlignment="1">
      <alignment horizontal="left" vertical="center"/>
    </xf>
    <xf numFmtId="0" fontId="14" fillId="0" borderId="0" xfId="0" applyFont="1" applyAlignment="1">
      <alignment horizontal="center" vertical="center"/>
    </xf>
    <xf numFmtId="0" fontId="11" fillId="5" borderId="0" xfId="0" applyFont="1" applyFill="1" applyAlignment="1" applyProtection="1">
      <alignment horizontal="centerContinuous"/>
      <protection locked="0"/>
    </xf>
    <xf numFmtId="0" fontId="11" fillId="5" borderId="0" xfId="0" applyFont="1" applyFill="1" applyProtection="1">
      <protection locked="0"/>
    </xf>
    <xf numFmtId="0" fontId="11" fillId="0" borderId="15" xfId="0" applyFont="1" applyBorder="1" applyAlignment="1" applyProtection="1">
      <alignment horizontal="centerContinuous"/>
      <protection locked="0"/>
    </xf>
    <xf numFmtId="0" fontId="11" fillId="5" borderId="15" xfId="0" applyFont="1" applyFill="1" applyBorder="1" applyAlignment="1" applyProtection="1">
      <alignment horizontal="centerContinuous" vertical="center"/>
      <protection locked="0"/>
    </xf>
    <xf numFmtId="0" fontId="11" fillId="5" borderId="0" xfId="0" applyFont="1" applyFill="1" applyAlignment="1" applyProtection="1">
      <alignment vertical="center"/>
      <protection locked="0"/>
    </xf>
    <xf numFmtId="44" fontId="14" fillId="39" borderId="38" xfId="204" applyNumberFormat="1" applyFont="1" applyFill="1" applyBorder="1" applyAlignment="1">
      <alignment horizontal="center" vertical="center"/>
    </xf>
    <xf numFmtId="44" fontId="14" fillId="39" borderId="41" xfId="204" applyNumberFormat="1" applyFont="1" applyFill="1" applyBorder="1" applyAlignment="1">
      <alignment horizontal="center" vertical="center"/>
    </xf>
    <xf numFmtId="0" fontId="98" fillId="5" borderId="0" xfId="224" applyFont="1" applyFill="1"/>
    <xf numFmtId="44" fontId="98" fillId="5" borderId="0" xfId="225" applyFont="1" applyFill="1" applyBorder="1" applyAlignment="1">
      <alignment horizontal="center" vertical="center"/>
    </xf>
    <xf numFmtId="43" fontId="98" fillId="5" borderId="0" xfId="226" applyFont="1" applyFill="1" applyBorder="1" applyAlignment="1">
      <alignment horizontal="center" vertical="center"/>
    </xf>
    <xf numFmtId="0" fontId="78" fillId="5" borderId="0" xfId="224" applyFont="1" applyFill="1"/>
    <xf numFmtId="0" fontId="78" fillId="5" borderId="20" xfId="224" applyFont="1" applyFill="1" applyBorder="1"/>
    <xf numFmtId="44" fontId="100" fillId="8" borderId="15" xfId="225" applyFont="1" applyFill="1" applyBorder="1" applyAlignment="1">
      <alignment horizontal="center" vertical="center"/>
    </xf>
    <xf numFmtId="43" fontId="100" fillId="8" borderId="15" xfId="226" applyFont="1" applyFill="1" applyBorder="1" applyAlignment="1">
      <alignment horizontal="center" vertical="center"/>
    </xf>
    <xf numFmtId="44" fontId="100" fillId="58" borderId="15" xfId="225" applyFont="1" applyFill="1" applyBorder="1" applyAlignment="1">
      <alignment horizontal="center" vertical="center" wrapText="1"/>
    </xf>
    <xf numFmtId="0" fontId="78" fillId="5" borderId="19" xfId="224" applyFont="1" applyFill="1" applyBorder="1"/>
    <xf numFmtId="174" fontId="78" fillId="7" borderId="15" xfId="225" applyNumberFormat="1" applyFont="1" applyFill="1" applyBorder="1" applyAlignment="1">
      <alignment horizontal="center" vertical="center"/>
    </xf>
    <xf numFmtId="174" fontId="78" fillId="0" borderId="15" xfId="225" applyNumberFormat="1" applyFont="1" applyBorder="1" applyAlignment="1">
      <alignment horizontal="center" vertical="center"/>
    </xf>
    <xf numFmtId="9" fontId="100" fillId="7" borderId="15" xfId="6" applyFont="1" applyFill="1" applyBorder="1" applyAlignment="1">
      <alignment horizontal="center" vertical="center"/>
    </xf>
    <xf numFmtId="180" fontId="74" fillId="7" borderId="15" xfId="4" applyNumberFormat="1" applyFont="1" applyFill="1" applyBorder="1"/>
    <xf numFmtId="44" fontId="78" fillId="5" borderId="0" xfId="225" applyFont="1" applyFill="1" applyBorder="1" applyAlignment="1">
      <alignment horizontal="center" vertical="center"/>
    </xf>
    <xf numFmtId="43" fontId="78" fillId="5" borderId="0" xfId="226" applyFont="1" applyFill="1" applyBorder="1" applyAlignment="1">
      <alignment horizontal="center" vertical="center"/>
    </xf>
    <xf numFmtId="0" fontId="99" fillId="5" borderId="0" xfId="224" applyFont="1" applyFill="1"/>
    <xf numFmtId="174" fontId="74" fillId="7" borderId="15" xfId="4" applyNumberFormat="1" applyFont="1" applyFill="1" applyBorder="1" applyAlignment="1">
      <alignment horizontal="center" vertical="center"/>
    </xf>
    <xf numFmtId="179" fontId="14" fillId="7" borderId="15" xfId="4" applyNumberFormat="1" applyFont="1" applyFill="1" applyBorder="1" applyAlignment="1">
      <alignment horizontal="center" vertical="center"/>
    </xf>
    <xf numFmtId="0" fontId="28" fillId="4" borderId="16" xfId="0" applyFont="1" applyFill="1" applyBorder="1" applyAlignment="1">
      <alignment horizontal="center" vertical="center" wrapText="1"/>
    </xf>
    <xf numFmtId="2" fontId="74" fillId="7" borderId="15" xfId="216" applyNumberFormat="1" applyFont="1" applyFill="1" applyBorder="1" applyAlignment="1">
      <alignment horizontal="center" vertical="center"/>
    </xf>
    <xf numFmtId="0" fontId="78" fillId="5" borderId="15" xfId="217" applyFont="1" applyFill="1" applyBorder="1" applyAlignment="1">
      <alignment horizontal="center" vertical="center"/>
    </xf>
    <xf numFmtId="0" fontId="78" fillId="7" borderId="15" xfId="217" applyFont="1" applyFill="1" applyBorder="1" applyAlignment="1">
      <alignment horizontal="center" vertical="center"/>
    </xf>
    <xf numFmtId="0" fontId="82" fillId="7" borderId="15" xfId="217" applyFont="1" applyFill="1" applyBorder="1" applyAlignment="1">
      <alignment horizontal="center" vertical="center"/>
    </xf>
    <xf numFmtId="9" fontId="14" fillId="0" borderId="15" xfId="4" applyNumberFormat="1" applyFont="1" applyBorder="1" applyAlignment="1">
      <alignment horizontal="center" vertical="center"/>
    </xf>
    <xf numFmtId="2" fontId="14" fillId="7" borderId="15" xfId="4" applyNumberFormat="1" applyFont="1" applyFill="1" applyBorder="1" applyAlignment="1">
      <alignment horizontal="center" vertical="center"/>
    </xf>
    <xf numFmtId="0" fontId="74" fillId="5" borderId="15" xfId="4" applyFont="1" applyFill="1" applyBorder="1" applyAlignment="1">
      <alignment horizontal="center" vertical="center"/>
    </xf>
    <xf numFmtId="181" fontId="74" fillId="5" borderId="17" xfId="4" applyNumberFormat="1" applyFont="1" applyFill="1" applyBorder="1" applyAlignment="1">
      <alignment horizontal="center" vertical="center"/>
    </xf>
    <xf numFmtId="181" fontId="74" fillId="5" borderId="19" xfId="4" applyNumberFormat="1" applyFont="1" applyFill="1" applyBorder="1" applyAlignment="1">
      <alignment horizontal="center" vertical="center"/>
    </xf>
    <xf numFmtId="181" fontId="74" fillId="5" borderId="12" xfId="4" applyNumberFormat="1" applyFont="1" applyFill="1" applyBorder="1" applyAlignment="1">
      <alignment horizontal="center" vertical="center"/>
    </xf>
    <xf numFmtId="181" fontId="74" fillId="5" borderId="14" xfId="4" applyNumberFormat="1" applyFont="1" applyFill="1" applyBorder="1" applyAlignment="1">
      <alignment horizontal="center" vertical="center"/>
    </xf>
    <xf numFmtId="181" fontId="74" fillId="5" borderId="13" xfId="4" applyNumberFormat="1" applyFont="1" applyFill="1" applyBorder="1" applyAlignment="1">
      <alignment horizontal="center" vertical="center"/>
    </xf>
    <xf numFmtId="181" fontId="74" fillId="5" borderId="2" xfId="4" applyNumberFormat="1" applyFont="1" applyFill="1" applyBorder="1" applyAlignment="1">
      <alignment horizontal="center" vertical="center"/>
    </xf>
    <xf numFmtId="188" fontId="79" fillId="5" borderId="15" xfId="221" applyNumberFormat="1" applyFont="1" applyFill="1" applyBorder="1" applyAlignment="1">
      <alignment horizontal="center" vertical="center"/>
    </xf>
    <xf numFmtId="188" fontId="14" fillId="7" borderId="7" xfId="221" applyNumberFormat="1" applyFont="1" applyFill="1" applyBorder="1" applyAlignment="1">
      <alignment horizontal="center" vertical="center"/>
    </xf>
    <xf numFmtId="188" fontId="14" fillId="7" borderId="15" xfId="221" applyNumberFormat="1" applyFont="1" applyFill="1" applyBorder="1" applyAlignment="1">
      <alignment horizontal="center" vertical="center"/>
    </xf>
    <xf numFmtId="187" fontId="14" fillId="7" borderId="15" xfId="4" applyNumberFormat="1" applyFont="1" applyFill="1" applyBorder="1" applyAlignment="1">
      <alignment horizontal="center" vertical="center"/>
    </xf>
    <xf numFmtId="187" fontId="14" fillId="0" borderId="15" xfId="4" applyNumberFormat="1" applyFont="1" applyBorder="1" applyAlignment="1">
      <alignment horizontal="center" vertical="center"/>
    </xf>
    <xf numFmtId="182" fontId="14" fillId="5" borderId="15" xfId="4" applyNumberFormat="1" applyFont="1" applyFill="1" applyBorder="1"/>
    <xf numFmtId="187" fontId="14" fillId="7" borderId="15" xfId="4" applyNumberFormat="1" applyFont="1" applyFill="1" applyBorder="1" applyAlignment="1">
      <alignment horizontal="left" vertical="center"/>
    </xf>
    <xf numFmtId="187" fontId="14" fillId="0" borderId="15" xfId="4" applyNumberFormat="1" applyFont="1" applyBorder="1" applyAlignment="1">
      <alignment horizontal="left" vertical="center"/>
    </xf>
    <xf numFmtId="182" fontId="14" fillId="5" borderId="15" xfId="4" applyNumberFormat="1" applyFont="1" applyFill="1" applyBorder="1" applyAlignment="1">
      <alignment horizontal="left"/>
    </xf>
    <xf numFmtId="44" fontId="101" fillId="38" borderId="15" xfId="225" applyFont="1" applyFill="1" applyBorder="1" applyAlignment="1">
      <alignment horizontal="center" vertical="center"/>
    </xf>
    <xf numFmtId="168" fontId="11" fillId="5" borderId="7" xfId="0" applyNumberFormat="1" applyFont="1" applyFill="1" applyBorder="1" applyAlignment="1" applyProtection="1">
      <alignment horizontal="left" vertical="center" wrapText="1"/>
      <protection locked="0"/>
    </xf>
    <xf numFmtId="0" fontId="11" fillId="7" borderId="11" xfId="0" applyFont="1" applyFill="1" applyBorder="1"/>
    <xf numFmtId="0" fontId="0" fillId="7" borderId="0" xfId="0" applyFill="1"/>
    <xf numFmtId="0" fontId="0" fillId="7" borderId="20" xfId="0" applyFill="1" applyBorder="1"/>
    <xf numFmtId="0" fontId="0" fillId="7" borderId="11" xfId="0" applyFill="1" applyBorder="1"/>
    <xf numFmtId="0" fontId="11" fillId="7" borderId="0" xfId="0" applyFont="1" applyFill="1"/>
    <xf numFmtId="0" fontId="0" fillId="7" borderId="14" xfId="0" applyFill="1" applyBorder="1"/>
    <xf numFmtId="0" fontId="0" fillId="7" borderId="2" xfId="0" applyFill="1" applyBorder="1"/>
    <xf numFmtId="0" fontId="0" fillId="7" borderId="19" xfId="0" applyFill="1" applyBorder="1"/>
    <xf numFmtId="183" fontId="21" fillId="7" borderId="15" xfId="0" applyNumberFormat="1" applyFont="1" applyFill="1" applyBorder="1" applyAlignment="1" applyProtection="1">
      <alignment horizontal="center" vertical="center"/>
      <protection locked="0"/>
    </xf>
    <xf numFmtId="180" fontId="21" fillId="7" borderId="15" xfId="0" applyNumberFormat="1" applyFont="1" applyFill="1" applyBorder="1" applyAlignment="1" applyProtection="1">
      <alignment horizontal="center" vertical="center"/>
      <protection locked="0"/>
    </xf>
    <xf numFmtId="0" fontId="12" fillId="7" borderId="0" xfId="0" applyFont="1" applyFill="1"/>
    <xf numFmtId="183" fontId="14" fillId="7" borderId="36" xfId="0" applyNumberFormat="1" applyFont="1" applyFill="1" applyBorder="1" applyAlignment="1" applyProtection="1">
      <alignment horizontal="center" vertical="center"/>
      <protection locked="0"/>
    </xf>
    <xf numFmtId="183" fontId="14" fillId="7" borderId="39" xfId="0" applyNumberFormat="1" applyFont="1" applyFill="1" applyBorder="1" applyAlignment="1" applyProtection="1">
      <alignment horizontal="center" vertical="center"/>
      <protection locked="0"/>
    </xf>
    <xf numFmtId="183" fontId="14" fillId="7" borderId="42" xfId="0" applyNumberFormat="1" applyFont="1" applyFill="1" applyBorder="1" applyAlignment="1" applyProtection="1">
      <alignment horizontal="center" vertical="center"/>
      <protection locked="0"/>
    </xf>
    <xf numFmtId="0" fontId="28" fillId="40" borderId="8" xfId="0" applyFont="1" applyFill="1" applyBorder="1" applyAlignment="1">
      <alignment horizontal="center" vertical="center" wrapText="1"/>
    </xf>
    <xf numFmtId="0" fontId="70" fillId="40" borderId="16" xfId="0" applyFont="1" applyFill="1" applyBorder="1" applyAlignment="1">
      <alignment horizontal="center" vertical="center" wrapText="1"/>
    </xf>
    <xf numFmtId="44" fontId="14" fillId="39" borderId="38" xfId="0" applyNumberFormat="1" applyFont="1" applyFill="1" applyBorder="1" applyAlignment="1">
      <alignment horizontal="center" vertical="center"/>
    </xf>
    <xf numFmtId="44" fontId="14" fillId="39" borderId="41" xfId="0" applyNumberFormat="1" applyFont="1" applyFill="1" applyBorder="1" applyAlignment="1">
      <alignment horizontal="center" vertical="center"/>
    </xf>
    <xf numFmtId="0" fontId="27" fillId="4" borderId="5" xfId="0" applyFont="1" applyFill="1" applyBorder="1" applyAlignment="1">
      <alignment horizontal="centerContinuous"/>
    </xf>
    <xf numFmtId="0" fontId="27" fillId="4" borderId="6" xfId="0" applyFont="1" applyFill="1" applyBorder="1" applyAlignment="1">
      <alignment horizontal="centerContinuous"/>
    </xf>
    <xf numFmtId="0" fontId="27" fillId="4" borderId="7" xfId="0" applyFont="1" applyFill="1" applyBorder="1" applyAlignment="1">
      <alignment horizontal="centerContinuous"/>
    </xf>
    <xf numFmtId="0" fontId="104" fillId="5" borderId="5" xfId="0" applyFont="1" applyFill="1" applyBorder="1" applyAlignment="1">
      <alignment horizontal="centerContinuous"/>
    </xf>
    <xf numFmtId="0" fontId="0" fillId="5" borderId="6" xfId="0" applyFill="1" applyBorder="1" applyAlignment="1">
      <alignment horizontal="centerContinuous"/>
    </xf>
    <xf numFmtId="0" fontId="0" fillId="5" borderId="7" xfId="0" applyFill="1" applyBorder="1" applyAlignment="1">
      <alignment horizontal="centerContinuous"/>
    </xf>
    <xf numFmtId="0" fontId="39" fillId="7" borderId="57" xfId="222" applyFont="1" applyFill="1" applyBorder="1" applyAlignment="1">
      <alignment vertical="center"/>
    </xf>
    <xf numFmtId="0" fontId="39" fillId="7" borderId="58" xfId="222" applyFont="1" applyFill="1" applyBorder="1" applyAlignment="1">
      <alignment vertical="center"/>
    </xf>
    <xf numFmtId="0" fontId="1" fillId="7" borderId="59" xfId="222" applyFont="1" applyFill="1" applyBorder="1" applyAlignment="1">
      <alignment vertical="center"/>
    </xf>
    <xf numFmtId="0" fontId="1" fillId="7" borderId="57" xfId="222" applyFont="1" applyFill="1" applyBorder="1" applyAlignment="1">
      <alignment vertical="center"/>
    </xf>
    <xf numFmtId="0" fontId="1" fillId="7" borderId="58" xfId="222" applyFont="1" applyFill="1" applyBorder="1" applyAlignment="1">
      <alignment vertical="center"/>
    </xf>
    <xf numFmtId="0" fontId="39" fillId="7" borderId="60" xfId="222" applyFont="1" applyFill="1" applyBorder="1" applyAlignment="1">
      <alignment vertical="center"/>
    </xf>
    <xf numFmtId="0" fontId="39" fillId="7" borderId="61" xfId="222" applyFont="1" applyFill="1" applyBorder="1" applyAlignment="1">
      <alignment vertical="center"/>
    </xf>
    <xf numFmtId="0" fontId="1" fillId="7" borderId="62" xfId="222" applyFont="1" applyFill="1" applyBorder="1" applyAlignment="1">
      <alignment vertical="center"/>
    </xf>
    <xf numFmtId="0" fontId="1" fillId="7" borderId="60" xfId="222" applyFont="1" applyFill="1" applyBorder="1" applyAlignment="1">
      <alignment vertical="center"/>
    </xf>
    <xf numFmtId="0" fontId="1" fillId="7" borderId="61" xfId="222" applyFont="1" applyFill="1" applyBorder="1" applyAlignment="1">
      <alignment vertical="center"/>
    </xf>
    <xf numFmtId="0" fontId="39" fillId="7" borderId="65" xfId="222" applyFont="1" applyFill="1" applyBorder="1" applyAlignment="1">
      <alignment vertical="center"/>
    </xf>
    <xf numFmtId="0" fontId="39" fillId="7" borderId="63" xfId="222" applyFont="1" applyFill="1" applyBorder="1" applyAlignment="1">
      <alignment vertical="center"/>
    </xf>
    <xf numFmtId="0" fontId="1" fillId="7" borderId="64" xfId="222" applyFont="1" applyFill="1" applyBorder="1" applyAlignment="1">
      <alignment vertical="center"/>
    </xf>
    <xf numFmtId="0" fontId="1" fillId="7" borderId="65" xfId="222" applyFont="1" applyFill="1" applyBorder="1" applyAlignment="1">
      <alignment vertical="center"/>
    </xf>
    <xf numFmtId="0" fontId="1" fillId="7" borderId="63" xfId="222" applyFont="1" applyFill="1" applyBorder="1" applyAlignment="1">
      <alignment vertical="center"/>
    </xf>
    <xf numFmtId="1" fontId="14" fillId="7" borderId="34" xfId="0" applyNumberFormat="1" applyFont="1" applyFill="1" applyBorder="1" applyAlignment="1" applyProtection="1">
      <alignment horizontal="center" vertical="center"/>
      <protection locked="0"/>
    </xf>
    <xf numFmtId="1" fontId="14" fillId="7" borderId="37" xfId="0" applyNumberFormat="1" applyFont="1" applyFill="1" applyBorder="1" applyAlignment="1" applyProtection="1">
      <alignment horizontal="center" vertical="center"/>
      <protection locked="0"/>
    </xf>
    <xf numFmtId="1" fontId="14" fillId="7" borderId="40" xfId="0" applyNumberFormat="1" applyFont="1" applyFill="1" applyBorder="1" applyAlignment="1" applyProtection="1">
      <alignment horizontal="center" vertical="center"/>
      <protection locked="0"/>
    </xf>
    <xf numFmtId="0" fontId="14" fillId="39" borderId="37" xfId="0" applyFont="1" applyFill="1" applyBorder="1" applyAlignment="1">
      <alignment horizontal="center" vertical="center"/>
    </xf>
    <xf numFmtId="0" fontId="14" fillId="39" borderId="38" xfId="0" applyFont="1" applyFill="1" applyBorder="1" applyAlignment="1">
      <alignment horizontal="left" vertical="center"/>
    </xf>
    <xf numFmtId="0" fontId="14" fillId="39" borderId="38" xfId="0" applyFont="1" applyFill="1" applyBorder="1" applyAlignment="1">
      <alignment horizontal="center" vertical="center"/>
    </xf>
    <xf numFmtId="0" fontId="14" fillId="39" borderId="40" xfId="0" applyFont="1" applyFill="1" applyBorder="1" applyAlignment="1">
      <alignment horizontal="center" vertical="center"/>
    </xf>
    <xf numFmtId="0" fontId="14" fillId="39" borderId="41" xfId="0" applyFont="1" applyFill="1" applyBorder="1" applyAlignment="1">
      <alignment horizontal="left" vertical="center"/>
    </xf>
    <xf numFmtId="0" fontId="14" fillId="39" borderId="41" xfId="0" applyFont="1" applyFill="1" applyBorder="1" applyAlignment="1">
      <alignment horizontal="center" vertical="center"/>
    </xf>
    <xf numFmtId="9" fontId="14" fillId="39" borderId="38" xfId="6" applyFont="1" applyFill="1" applyBorder="1" applyAlignment="1">
      <alignment horizontal="center" vertical="center"/>
    </xf>
    <xf numFmtId="180" fontId="14" fillId="39" borderId="44" xfId="204" applyNumberFormat="1" applyFont="1" applyFill="1" applyBorder="1" applyAlignment="1">
      <alignment horizontal="center" vertical="center"/>
    </xf>
    <xf numFmtId="9" fontId="14" fillId="39" borderId="41" xfId="6" applyFont="1" applyFill="1" applyBorder="1" applyAlignment="1">
      <alignment horizontal="center" vertical="center"/>
    </xf>
    <xf numFmtId="0" fontId="14" fillId="39" borderId="46" xfId="0" applyFont="1" applyFill="1" applyBorder="1" applyAlignment="1">
      <alignment horizontal="center" vertical="center"/>
    </xf>
    <xf numFmtId="0" fontId="14" fillId="39" borderId="47" xfId="0" applyFont="1" applyFill="1" applyBorder="1" applyAlignment="1">
      <alignment horizontal="center" vertical="center"/>
    </xf>
    <xf numFmtId="14" fontId="78" fillId="5" borderId="15" xfId="224" applyNumberFormat="1" applyFont="1" applyFill="1" applyBorder="1" applyAlignment="1">
      <alignment horizontal="center" vertical="center"/>
    </xf>
    <xf numFmtId="9" fontId="78" fillId="7" borderId="2" xfId="224" applyNumberFormat="1" applyFont="1" applyFill="1" applyBorder="1" applyAlignment="1">
      <alignment horizontal="right" vertical="center"/>
    </xf>
    <xf numFmtId="0" fontId="100" fillId="7" borderId="11" xfId="224" applyFont="1" applyFill="1" applyBorder="1" applyAlignment="1">
      <alignment horizontal="left" vertical="center" indent="1"/>
    </xf>
    <xf numFmtId="0" fontId="78" fillId="7" borderId="20" xfId="224" applyFont="1" applyFill="1" applyBorder="1" applyAlignment="1">
      <alignment horizontal="left" vertical="center"/>
    </xf>
    <xf numFmtId="0" fontId="101" fillId="7" borderId="11" xfId="224" applyFont="1" applyFill="1" applyBorder="1" applyAlignment="1">
      <alignment horizontal="left" vertical="center" indent="1"/>
    </xf>
    <xf numFmtId="0" fontId="101" fillId="7" borderId="14" xfId="224" applyFont="1" applyFill="1" applyBorder="1" applyAlignment="1">
      <alignment horizontal="left" vertical="center" indent="1"/>
    </xf>
    <xf numFmtId="0" fontId="101" fillId="7" borderId="2" xfId="224" applyFont="1" applyFill="1" applyBorder="1" applyAlignment="1">
      <alignment horizontal="left" vertical="center" indent="1"/>
    </xf>
    <xf numFmtId="0" fontId="78" fillId="7" borderId="19" xfId="224" applyFont="1" applyFill="1" applyBorder="1" applyAlignment="1">
      <alignment horizontal="left" vertical="center"/>
    </xf>
    <xf numFmtId="0" fontId="100" fillId="7" borderId="12" xfId="224" applyFont="1" applyFill="1" applyBorder="1"/>
    <xf numFmtId="0" fontId="78" fillId="7" borderId="13" xfId="224" applyFont="1" applyFill="1" applyBorder="1"/>
    <xf numFmtId="0" fontId="100" fillId="7" borderId="15" xfId="224" applyFont="1" applyFill="1" applyBorder="1" applyAlignment="1">
      <alignment horizontal="center" vertical="center"/>
    </xf>
    <xf numFmtId="0" fontId="28" fillId="4" borderId="15" xfId="0" applyFont="1" applyFill="1" applyBorder="1" applyAlignment="1">
      <alignment horizontal="center" vertical="center" wrapText="1"/>
    </xf>
    <xf numFmtId="1" fontId="21" fillId="7" borderId="35" xfId="0" applyNumberFormat="1" applyFont="1" applyFill="1" applyBorder="1" applyAlignment="1">
      <alignment horizontal="center" vertical="center"/>
    </xf>
    <xf numFmtId="49" fontId="14" fillId="7" borderId="38" xfId="0" applyNumberFormat="1" applyFont="1" applyFill="1" applyBorder="1" applyAlignment="1">
      <alignment horizontal="center" vertical="center"/>
    </xf>
    <xf numFmtId="186" fontId="14" fillId="7" borderId="41" xfId="221" applyNumberFormat="1" applyFont="1" applyFill="1" applyBorder="1" applyAlignment="1">
      <alignment horizontal="center" vertical="center"/>
    </xf>
    <xf numFmtId="186" fontId="14" fillId="7" borderId="42" xfId="221" applyNumberFormat="1" applyFont="1" applyFill="1" applyBorder="1" applyAlignment="1">
      <alignment horizontal="center" vertical="center"/>
    </xf>
    <xf numFmtId="44" fontId="14" fillId="7" borderId="51" xfId="221" applyNumberFormat="1" applyFont="1" applyFill="1" applyBorder="1" applyAlignment="1">
      <alignment horizontal="center" vertical="center"/>
    </xf>
    <xf numFmtId="186" fontId="14" fillId="59" borderId="51" xfId="221" applyNumberFormat="1" applyFont="1" applyFill="1" applyBorder="1" applyAlignment="1">
      <alignment horizontal="center" vertical="center"/>
    </xf>
    <xf numFmtId="44" fontId="14" fillId="7" borderId="54" xfId="221" applyNumberFormat="1" applyFont="1" applyFill="1" applyBorder="1" applyAlignment="1">
      <alignment horizontal="center" vertical="center"/>
    </xf>
    <xf numFmtId="44" fontId="14" fillId="7" borderId="38" xfId="221" applyNumberFormat="1" applyFont="1" applyFill="1" applyBorder="1" applyAlignment="1">
      <alignment horizontal="centerContinuous" vertical="center"/>
    </xf>
    <xf numFmtId="0" fontId="14" fillId="7" borderId="39" xfId="0" applyFont="1" applyFill="1" applyBorder="1" applyAlignment="1">
      <alignment horizontal="centerContinuous" vertical="center"/>
    </xf>
    <xf numFmtId="0" fontId="19" fillId="7" borderId="39" xfId="0" applyFont="1" applyFill="1" applyBorder="1" applyAlignment="1">
      <alignment horizontal="centerContinuous" vertical="center"/>
    </xf>
    <xf numFmtId="44" fontId="14" fillId="7" borderId="41" xfId="221" applyNumberFormat="1" applyFont="1" applyFill="1" applyBorder="1" applyAlignment="1">
      <alignment horizontal="centerContinuous" vertical="center"/>
    </xf>
    <xf numFmtId="0" fontId="19" fillId="7" borderId="42" xfId="0" applyFont="1" applyFill="1" applyBorder="1" applyAlignment="1">
      <alignment horizontal="centerContinuous" vertical="center"/>
    </xf>
    <xf numFmtId="168" fontId="11" fillId="5" borderId="5" xfId="0" applyNumberFormat="1" applyFont="1" applyFill="1" applyBorder="1" applyAlignment="1" applyProtection="1">
      <alignment horizontal="left" vertical="center"/>
      <protection locked="0"/>
    </xf>
    <xf numFmtId="44" fontId="98" fillId="5" borderId="0" xfId="225" applyFont="1" applyFill="1" applyAlignment="1">
      <alignment horizontal="center" vertical="center"/>
    </xf>
    <xf numFmtId="43" fontId="98" fillId="5" borderId="0" xfId="226" applyFont="1" applyFill="1" applyAlignment="1">
      <alignment horizontal="center" vertical="center"/>
    </xf>
    <xf numFmtId="44" fontId="78" fillId="5" borderId="0" xfId="225" applyFont="1" applyFill="1" applyAlignment="1">
      <alignment horizontal="center" vertical="center"/>
    </xf>
    <xf numFmtId="43" fontId="78" fillId="5" borderId="0" xfId="226" applyFont="1" applyFill="1" applyAlignment="1">
      <alignment horizontal="center" vertical="center"/>
    </xf>
    <xf numFmtId="0" fontId="98" fillId="5" borderId="12" xfId="224" applyFont="1" applyFill="1" applyBorder="1"/>
    <xf numFmtId="0" fontId="103" fillId="5" borderId="13" xfId="224" applyFont="1" applyFill="1" applyBorder="1"/>
    <xf numFmtId="0" fontId="23" fillId="5" borderId="13" xfId="0" applyFont="1" applyFill="1" applyBorder="1" applyAlignment="1" applyProtection="1">
      <alignment horizontal="centerContinuous" vertical="center"/>
      <protection locked="0"/>
    </xf>
    <xf numFmtId="44" fontId="103" fillId="5" borderId="13" xfId="225" applyFont="1" applyFill="1" applyBorder="1" applyAlignment="1">
      <alignment horizontal="centerContinuous" vertical="center"/>
    </xf>
    <xf numFmtId="43" fontId="103" fillId="5" borderId="13" xfId="226" applyFont="1" applyFill="1" applyBorder="1" applyAlignment="1">
      <alignment horizontal="centerContinuous" vertical="center"/>
    </xf>
    <xf numFmtId="0" fontId="103" fillId="5" borderId="13" xfId="224" applyFont="1" applyFill="1" applyBorder="1" applyAlignment="1">
      <alignment horizontal="centerContinuous"/>
    </xf>
    <xf numFmtId="0" fontId="98" fillId="5" borderId="13" xfId="224" applyFont="1" applyFill="1" applyBorder="1"/>
    <xf numFmtId="0" fontId="105" fillId="5" borderId="13" xfId="224" applyFont="1" applyFill="1" applyBorder="1" applyAlignment="1">
      <alignment horizontal="left"/>
    </xf>
    <xf numFmtId="0" fontId="98" fillId="5" borderId="17" xfId="224" applyFont="1" applyFill="1" applyBorder="1"/>
    <xf numFmtId="0" fontId="98" fillId="5" borderId="11" xfId="224" applyFont="1" applyFill="1" applyBorder="1"/>
    <xf numFmtId="174" fontId="100" fillId="7" borderId="0" xfId="224" applyNumberFormat="1" applyFont="1" applyFill="1" applyAlignment="1">
      <alignment horizontal="right" vertical="center"/>
    </xf>
    <xf numFmtId="0" fontId="100" fillId="7" borderId="0" xfId="224" applyFont="1" applyFill="1" applyAlignment="1">
      <alignment horizontal="left" vertical="center" indent="1"/>
    </xf>
    <xf numFmtId="179" fontId="100" fillId="7" borderId="0" xfId="224" applyNumberFormat="1" applyFont="1" applyFill="1" applyAlignment="1">
      <alignment horizontal="left" vertical="center"/>
    </xf>
    <xf numFmtId="9" fontId="78" fillId="7" borderId="0" xfId="224" applyNumberFormat="1" applyFont="1" applyFill="1" applyAlignment="1">
      <alignment horizontal="right" vertical="center"/>
    </xf>
    <xf numFmtId="0" fontId="101" fillId="7" borderId="0" xfId="224" applyFont="1" applyFill="1" applyAlignment="1">
      <alignment horizontal="left" vertical="center" indent="1"/>
    </xf>
    <xf numFmtId="174" fontId="78" fillId="7" borderId="0" xfId="224" applyNumberFormat="1" applyFont="1" applyFill="1" applyAlignment="1">
      <alignment horizontal="right" vertical="center"/>
    </xf>
    <xf numFmtId="0" fontId="99" fillId="5" borderId="11" xfId="224" applyFont="1" applyFill="1" applyBorder="1"/>
    <xf numFmtId="189" fontId="78" fillId="7" borderId="0" xfId="224" applyNumberFormat="1" applyFont="1" applyFill="1" applyAlignment="1">
      <alignment horizontal="right" vertical="center"/>
    </xf>
    <xf numFmtId="187" fontId="78" fillId="7" borderId="0" xfId="224" applyNumberFormat="1" applyFont="1" applyFill="1" applyAlignment="1">
      <alignment horizontal="left" vertical="center"/>
    </xf>
    <xf numFmtId="182" fontId="78" fillId="7" borderId="0" xfId="224" applyNumberFormat="1" applyFont="1" applyFill="1" applyAlignment="1">
      <alignment horizontal="right" vertical="center"/>
    </xf>
    <xf numFmtId="187" fontId="78" fillId="7" borderId="0" xfId="224" applyNumberFormat="1" applyFont="1" applyFill="1" applyAlignment="1">
      <alignment horizontal="right" vertical="center"/>
    </xf>
    <xf numFmtId="0" fontId="102" fillId="5" borderId="0" xfId="224" applyFont="1" applyFill="1" applyAlignment="1">
      <alignment horizontal="left" vertical="center"/>
    </xf>
    <xf numFmtId="0" fontId="14" fillId="5" borderId="0" xfId="4" applyFont="1" applyFill="1" applyAlignment="1">
      <alignment horizontal="center" vertical="center"/>
    </xf>
    <xf numFmtId="0" fontId="14" fillId="5" borderId="20" xfId="4" applyFont="1" applyFill="1" applyBorder="1" applyAlignment="1">
      <alignment horizontal="center" vertical="center"/>
    </xf>
    <xf numFmtId="0" fontId="66" fillId="5" borderId="0" xfId="217" applyFont="1" applyFill="1"/>
    <xf numFmtId="0" fontId="78" fillId="5" borderId="0" xfId="217" applyFont="1" applyFill="1"/>
    <xf numFmtId="0" fontId="78" fillId="5" borderId="20" xfId="217" applyFont="1" applyFill="1" applyBorder="1"/>
    <xf numFmtId="0" fontId="14" fillId="5" borderId="20" xfId="4" applyFont="1" applyFill="1" applyBorder="1"/>
    <xf numFmtId="180" fontId="14" fillId="5" borderId="20" xfId="4" applyNumberFormat="1" applyFont="1" applyFill="1" applyBorder="1"/>
    <xf numFmtId="174" fontId="14" fillId="5" borderId="0" xfId="4" applyNumberFormat="1" applyFont="1" applyFill="1"/>
    <xf numFmtId="187" fontId="14" fillId="5" borderId="0" xfId="4" applyNumberFormat="1" applyFont="1" applyFill="1" applyAlignment="1">
      <alignment horizontal="center" vertical="center"/>
    </xf>
    <xf numFmtId="187" fontId="78" fillId="5" borderId="0" xfId="217" applyNumberFormat="1" applyFont="1" applyFill="1"/>
    <xf numFmtId="187" fontId="98" fillId="0" borderId="0" xfId="224" applyNumberFormat="1" applyFont="1"/>
    <xf numFmtId="0" fontId="14" fillId="5" borderId="0" xfId="4" applyFont="1" applyFill="1"/>
    <xf numFmtId="0" fontId="78" fillId="5" borderId="0" xfId="217" applyFont="1" applyFill="1" applyAlignment="1">
      <alignment horizontal="center" vertical="center"/>
    </xf>
    <xf numFmtId="180" fontId="14" fillId="5" borderId="0" xfId="4" applyNumberFormat="1" applyFont="1" applyFill="1"/>
    <xf numFmtId="182" fontId="14" fillId="5" borderId="0" xfId="4" applyNumberFormat="1" applyFont="1" applyFill="1"/>
    <xf numFmtId="180" fontId="14" fillId="5" borderId="0" xfId="4" applyNumberFormat="1" applyFont="1" applyFill="1" applyAlignment="1">
      <alignment horizontal="center" vertical="center"/>
    </xf>
    <xf numFmtId="182" fontId="78" fillId="5" borderId="0" xfId="217" applyNumberFormat="1" applyFont="1" applyFill="1" applyAlignment="1">
      <alignment horizontal="center" vertical="center"/>
    </xf>
    <xf numFmtId="182" fontId="14" fillId="5" borderId="0" xfId="4" applyNumberFormat="1" applyFont="1" applyFill="1" applyAlignment="1">
      <alignment horizontal="center" vertical="center"/>
    </xf>
    <xf numFmtId="174" fontId="14" fillId="5" borderId="0" xfId="4" applyNumberFormat="1" applyFont="1" applyFill="1" applyAlignment="1">
      <alignment horizontal="center" vertical="center"/>
    </xf>
    <xf numFmtId="181" fontId="74" fillId="5" borderId="0" xfId="4" applyNumberFormat="1" applyFont="1" applyFill="1"/>
    <xf numFmtId="181" fontId="74" fillId="5" borderId="20" xfId="4" applyNumberFormat="1" applyFont="1" applyFill="1" applyBorder="1"/>
    <xf numFmtId="187" fontId="14" fillId="5" borderId="0" xfId="4" applyNumberFormat="1" applyFont="1" applyFill="1" applyAlignment="1">
      <alignment horizontal="left" vertical="center"/>
    </xf>
    <xf numFmtId="187" fontId="78" fillId="5" borderId="0" xfId="217" applyNumberFormat="1" applyFont="1" applyFill="1" applyAlignment="1">
      <alignment horizontal="left"/>
    </xf>
    <xf numFmtId="187" fontId="78" fillId="5" borderId="0" xfId="217" applyNumberFormat="1" applyFont="1" applyFill="1" applyAlignment="1">
      <alignment horizontal="center" vertical="center"/>
    </xf>
    <xf numFmtId="0" fontId="98" fillId="5" borderId="14" xfId="224" applyFont="1" applyFill="1" applyBorder="1"/>
    <xf numFmtId="0" fontId="14" fillId="5" borderId="2" xfId="4" applyFont="1" applyFill="1" applyBorder="1" applyAlignment="1">
      <alignment horizontal="center" vertical="center"/>
    </xf>
    <xf numFmtId="0" fontId="14" fillId="5" borderId="2" xfId="4" applyFont="1" applyFill="1" applyBorder="1"/>
    <xf numFmtId="2" fontId="106" fillId="0" borderId="0" xfId="0" applyNumberFormat="1" applyFont="1" applyAlignment="1">
      <alignment vertical="center"/>
    </xf>
    <xf numFmtId="168" fontId="107" fillId="0" borderId="0" xfId="0" applyNumberFormat="1" applyFont="1" applyAlignment="1">
      <alignment horizontal="left" vertical="center"/>
    </xf>
    <xf numFmtId="165" fontId="1" fillId="3" borderId="15" xfId="0" applyNumberFormat="1" applyFont="1" applyFill="1" applyBorder="1" applyAlignment="1">
      <alignment horizontal="center" vertical="center"/>
    </xf>
    <xf numFmtId="165" fontId="1" fillId="5" borderId="15" xfId="0" applyNumberFormat="1" applyFont="1" applyFill="1" applyBorder="1" applyAlignment="1">
      <alignment horizontal="center" vertical="center"/>
    </xf>
    <xf numFmtId="14" fontId="11" fillId="5" borderId="15" xfId="0" applyNumberFormat="1" applyFont="1" applyFill="1" applyBorder="1" applyAlignment="1" applyProtection="1">
      <alignment horizontal="center" vertical="center" wrapText="1"/>
      <protection locked="0"/>
    </xf>
    <xf numFmtId="174" fontId="11" fillId="5" borderId="15" xfId="0" applyNumberFormat="1" applyFont="1" applyFill="1" applyBorder="1" applyAlignment="1" applyProtection="1">
      <alignment horizontal="center" vertical="center" wrapText="1"/>
      <protection locked="0"/>
    </xf>
    <xf numFmtId="168" fontId="74" fillId="0" borderId="0" xfId="0" applyNumberFormat="1" applyFont="1" applyAlignment="1">
      <alignment horizontal="left" vertical="center"/>
    </xf>
    <xf numFmtId="0" fontId="108" fillId="5" borderId="0" xfId="224" applyFont="1" applyFill="1"/>
    <xf numFmtId="0" fontId="74" fillId="0" borderId="0" xfId="0" applyFont="1" applyAlignment="1">
      <alignment horizontal="right" vertical="center"/>
    </xf>
    <xf numFmtId="177" fontId="21" fillId="7" borderId="15" xfId="0" applyNumberFormat="1" applyFont="1" applyFill="1" applyBorder="1" applyAlignment="1" applyProtection="1">
      <alignment horizontal="center" vertical="center"/>
      <protection locked="0"/>
    </xf>
    <xf numFmtId="6" fontId="14" fillId="6" borderId="7" xfId="0" applyNumberFormat="1" applyFont="1" applyFill="1" applyBorder="1" applyAlignment="1">
      <alignment horizontal="left" vertical="center"/>
    </xf>
    <xf numFmtId="10" fontId="11" fillId="5" borderId="15" xfId="0" applyNumberFormat="1" applyFont="1" applyFill="1" applyBorder="1" applyAlignment="1" applyProtection="1">
      <alignment vertical="center"/>
      <protection locked="0"/>
    </xf>
    <xf numFmtId="10" fontId="11" fillId="5" borderId="15" xfId="0" applyNumberFormat="1" applyFont="1" applyFill="1" applyBorder="1" applyAlignment="1" applyProtection="1">
      <alignment horizontal="center" vertical="center"/>
      <protection locked="0"/>
    </xf>
    <xf numFmtId="165" fontId="11" fillId="5" borderId="15" xfId="204" applyFont="1" applyFill="1" applyBorder="1" applyAlignment="1" applyProtection="1">
      <alignment horizontal="center" vertical="center"/>
      <protection locked="0"/>
    </xf>
    <xf numFmtId="165" fontId="11" fillId="5" borderId="5" xfId="204" applyFont="1" applyFill="1" applyBorder="1" applyAlignment="1" applyProtection="1">
      <alignment horizontal="center" vertical="center"/>
      <protection locked="0"/>
    </xf>
    <xf numFmtId="182" fontId="21" fillId="7" borderId="15" xfId="4" applyNumberFormat="1" applyFont="1" applyFill="1" applyBorder="1" applyAlignment="1">
      <alignment horizontal="center" vertical="center"/>
    </xf>
    <xf numFmtId="9" fontId="21" fillId="7" borderId="15" xfId="218" applyFont="1" applyFill="1" applyBorder="1" applyAlignment="1">
      <alignment horizontal="center" vertical="center"/>
    </xf>
    <xf numFmtId="187" fontId="21" fillId="7" borderId="15" xfId="4" applyNumberFormat="1" applyFont="1" applyFill="1" applyBorder="1" applyAlignment="1">
      <alignment horizontal="center" vertical="center"/>
    </xf>
  </cellXfs>
  <cellStyles count="228">
    <cellStyle name="20% - Énfasis1 2" xfId="21" xr:uid="{00000000-0005-0000-0000-000000000000}"/>
    <cellStyle name="20% - Énfasis1 2 2" xfId="169" xr:uid="{00000000-0005-0000-0000-000001000000}"/>
    <cellStyle name="20% - Énfasis1 2 3" xfId="80" xr:uid="{00000000-0005-0000-0000-000002000000}"/>
    <cellStyle name="20% - Énfasis1 2_ESCENARIOS DE VENTA - INDIA" xfId="115" xr:uid="{00000000-0005-0000-0000-000003000000}"/>
    <cellStyle name="20% - Énfasis2 2" xfId="22" xr:uid="{00000000-0005-0000-0000-000004000000}"/>
    <cellStyle name="20% - Énfasis2 2 2" xfId="170" xr:uid="{00000000-0005-0000-0000-000005000000}"/>
    <cellStyle name="20% - Énfasis2 2 3" xfId="81" xr:uid="{00000000-0005-0000-0000-000006000000}"/>
    <cellStyle name="20% - Énfasis2 2_ESCENARIOS DE VENTA - INDIA" xfId="116" xr:uid="{00000000-0005-0000-0000-000007000000}"/>
    <cellStyle name="20% - Énfasis3 2" xfId="23" xr:uid="{00000000-0005-0000-0000-000008000000}"/>
    <cellStyle name="20% - Énfasis3 2 2" xfId="171" xr:uid="{00000000-0005-0000-0000-000009000000}"/>
    <cellStyle name="20% - Énfasis3 2 3" xfId="82" xr:uid="{00000000-0005-0000-0000-00000A000000}"/>
    <cellStyle name="20% - Énfasis3 2_ESCENARIOS DE VENTA - INDIA" xfId="117" xr:uid="{00000000-0005-0000-0000-00000B000000}"/>
    <cellStyle name="20% - Énfasis4 2" xfId="24" xr:uid="{00000000-0005-0000-0000-00000C000000}"/>
    <cellStyle name="20% - Énfasis4 2 2" xfId="172" xr:uid="{00000000-0005-0000-0000-00000D000000}"/>
    <cellStyle name="20% - Énfasis4 2 3" xfId="83" xr:uid="{00000000-0005-0000-0000-00000E000000}"/>
    <cellStyle name="20% - Énfasis4 2_ESCENARIOS DE VENTA - INDIA" xfId="118" xr:uid="{00000000-0005-0000-0000-00000F000000}"/>
    <cellStyle name="20% - Énfasis5" xfId="19" builtinId="46" customBuiltin="1"/>
    <cellStyle name="20% - Énfasis5 2" xfId="162" xr:uid="{00000000-0005-0000-0000-000011000000}"/>
    <cellStyle name="20% - Énfasis5 3" xfId="67" xr:uid="{00000000-0005-0000-0000-000012000000}"/>
    <cellStyle name="20% - Énfasis6 2" xfId="25" xr:uid="{00000000-0005-0000-0000-000013000000}"/>
    <cellStyle name="20% - Énfasis6 2 2" xfId="173" xr:uid="{00000000-0005-0000-0000-000014000000}"/>
    <cellStyle name="20% - Énfasis6 2 3" xfId="84" xr:uid="{00000000-0005-0000-0000-000015000000}"/>
    <cellStyle name="20% - Énfasis6 2_ESCENARIOS DE VENTA - INDIA" xfId="119" xr:uid="{00000000-0005-0000-0000-000016000000}"/>
    <cellStyle name="40% - Énfasis1 2" xfId="26" xr:uid="{00000000-0005-0000-0000-000017000000}"/>
    <cellStyle name="40% - Énfasis1 2 2" xfId="174" xr:uid="{00000000-0005-0000-0000-000018000000}"/>
    <cellStyle name="40% - Énfasis1 2 3" xfId="85" xr:uid="{00000000-0005-0000-0000-000019000000}"/>
    <cellStyle name="40% - Énfasis1 2_ESCENARIOS DE VENTA - INDIA" xfId="120" xr:uid="{00000000-0005-0000-0000-00001A000000}"/>
    <cellStyle name="40% - Énfasis2" xfId="17" builtinId="35" customBuiltin="1"/>
    <cellStyle name="40% - Énfasis2 2" xfId="160" xr:uid="{00000000-0005-0000-0000-00001C000000}"/>
    <cellStyle name="40% - Énfasis2 3" xfId="65" xr:uid="{00000000-0005-0000-0000-00001D000000}"/>
    <cellStyle name="40% - Énfasis3 2" xfId="27" xr:uid="{00000000-0005-0000-0000-00001E000000}"/>
    <cellStyle name="40% - Énfasis3 2 2" xfId="175" xr:uid="{00000000-0005-0000-0000-00001F000000}"/>
    <cellStyle name="40% - Énfasis3 2 3" xfId="86" xr:uid="{00000000-0005-0000-0000-000020000000}"/>
    <cellStyle name="40% - Énfasis3 2_ESCENARIOS DE VENTA - INDIA" xfId="121" xr:uid="{00000000-0005-0000-0000-000021000000}"/>
    <cellStyle name="40% - Énfasis4 2" xfId="28" xr:uid="{00000000-0005-0000-0000-000022000000}"/>
    <cellStyle name="40% - Énfasis4 2 2" xfId="176" xr:uid="{00000000-0005-0000-0000-000023000000}"/>
    <cellStyle name="40% - Énfasis4 2 3" xfId="87" xr:uid="{00000000-0005-0000-0000-000024000000}"/>
    <cellStyle name="40% - Énfasis4 2_ESCENARIOS DE VENTA - INDIA" xfId="122" xr:uid="{00000000-0005-0000-0000-000025000000}"/>
    <cellStyle name="40% - Énfasis5 2" xfId="29" xr:uid="{00000000-0005-0000-0000-000026000000}"/>
    <cellStyle name="40% - Énfasis5 2 2" xfId="177" xr:uid="{00000000-0005-0000-0000-000027000000}"/>
    <cellStyle name="40% - Énfasis5 2 3" xfId="88" xr:uid="{00000000-0005-0000-0000-000028000000}"/>
    <cellStyle name="40% - Énfasis5 2_ESCENARIOS DE VENTA - INDIA" xfId="123" xr:uid="{00000000-0005-0000-0000-000029000000}"/>
    <cellStyle name="40% - Énfasis6 2" xfId="30" xr:uid="{00000000-0005-0000-0000-00002A000000}"/>
    <cellStyle name="40% - Énfasis6 2 2" xfId="178" xr:uid="{00000000-0005-0000-0000-00002B000000}"/>
    <cellStyle name="40% - Énfasis6 2 3" xfId="89" xr:uid="{00000000-0005-0000-0000-00002C000000}"/>
    <cellStyle name="40% - Énfasis6 2_ESCENARIOS DE VENTA - INDIA" xfId="124" xr:uid="{00000000-0005-0000-0000-00002D000000}"/>
    <cellStyle name="60% - Énfasis1 2" xfId="31" xr:uid="{00000000-0005-0000-0000-00002E000000}"/>
    <cellStyle name="60% - Énfasis1 2 2" xfId="179" xr:uid="{00000000-0005-0000-0000-00002F000000}"/>
    <cellStyle name="60% - Énfasis1 2 3" xfId="90" xr:uid="{00000000-0005-0000-0000-000030000000}"/>
    <cellStyle name="60% - Énfasis1 2_ESCENARIOS DE VENTA - INDIA" xfId="125" xr:uid="{00000000-0005-0000-0000-000031000000}"/>
    <cellStyle name="60% - Énfasis2 2" xfId="32" xr:uid="{00000000-0005-0000-0000-000032000000}"/>
    <cellStyle name="60% - Énfasis2 2 2" xfId="180" xr:uid="{00000000-0005-0000-0000-000033000000}"/>
    <cellStyle name="60% - Énfasis2 2 3" xfId="91" xr:uid="{00000000-0005-0000-0000-000034000000}"/>
    <cellStyle name="60% - Énfasis2 2_ESCENARIOS DE VENTA - INDIA" xfId="126" xr:uid="{00000000-0005-0000-0000-000035000000}"/>
    <cellStyle name="60% - Énfasis3 2" xfId="33" xr:uid="{00000000-0005-0000-0000-000036000000}"/>
    <cellStyle name="60% - Énfasis3 2 2" xfId="181" xr:uid="{00000000-0005-0000-0000-000037000000}"/>
    <cellStyle name="60% - Énfasis3 2 3" xfId="92" xr:uid="{00000000-0005-0000-0000-000038000000}"/>
    <cellStyle name="60% - Énfasis3 2_ESCENARIOS DE VENTA - INDIA" xfId="127" xr:uid="{00000000-0005-0000-0000-000039000000}"/>
    <cellStyle name="60% - Énfasis4 2" xfId="34" xr:uid="{00000000-0005-0000-0000-00003A000000}"/>
    <cellStyle name="60% - Énfasis4 2 2" xfId="182" xr:uid="{00000000-0005-0000-0000-00003B000000}"/>
    <cellStyle name="60% - Énfasis4 2 3" xfId="93" xr:uid="{00000000-0005-0000-0000-00003C000000}"/>
    <cellStyle name="60% - Énfasis4 2_ESCENARIOS DE VENTA - INDIA" xfId="128" xr:uid="{00000000-0005-0000-0000-00003D000000}"/>
    <cellStyle name="60% - Énfasis5 2" xfId="35" xr:uid="{00000000-0005-0000-0000-00003E000000}"/>
    <cellStyle name="60% - Énfasis5 2 2" xfId="183" xr:uid="{00000000-0005-0000-0000-00003F000000}"/>
    <cellStyle name="60% - Énfasis5 2 3" xfId="94" xr:uid="{00000000-0005-0000-0000-000040000000}"/>
    <cellStyle name="60% - Énfasis5 2_ESCENARIOS DE VENTA - INDIA" xfId="129" xr:uid="{00000000-0005-0000-0000-000041000000}"/>
    <cellStyle name="60% - Énfasis6 2" xfId="36" xr:uid="{00000000-0005-0000-0000-000042000000}"/>
    <cellStyle name="60% - Énfasis6 2 2" xfId="184" xr:uid="{00000000-0005-0000-0000-000043000000}"/>
    <cellStyle name="60% - Énfasis6 2 3" xfId="95" xr:uid="{00000000-0005-0000-0000-000044000000}"/>
    <cellStyle name="60% - Énfasis6 2_ESCENARIOS DE VENTA - INDIA" xfId="130" xr:uid="{00000000-0005-0000-0000-000045000000}"/>
    <cellStyle name="Buena 2" xfId="37" xr:uid="{00000000-0005-0000-0000-000046000000}"/>
    <cellStyle name="Buena 2 2" xfId="185" xr:uid="{00000000-0005-0000-0000-000047000000}"/>
    <cellStyle name="Buena 2 3" xfId="96" xr:uid="{00000000-0005-0000-0000-000048000000}"/>
    <cellStyle name="Buena 2_ESCENARIOS DE VENTA - INDIA" xfId="131" xr:uid="{00000000-0005-0000-0000-000049000000}"/>
    <cellStyle name="Buena 3" xfId="155" xr:uid="{00000000-0005-0000-0000-00004A000000}"/>
    <cellStyle name="Buena 4" xfId="60" xr:uid="{00000000-0005-0000-0000-00004B000000}"/>
    <cellStyle name="Buena 5" xfId="77" xr:uid="{00000000-0005-0000-0000-00004C000000}"/>
    <cellStyle name="Cálculo 2" xfId="38" xr:uid="{00000000-0005-0000-0000-00004D000000}"/>
    <cellStyle name="Cálculo 2 2" xfId="186" xr:uid="{00000000-0005-0000-0000-00004E000000}"/>
    <cellStyle name="Cálculo 2 3" xfId="97" xr:uid="{00000000-0005-0000-0000-00004F000000}"/>
    <cellStyle name="Cálculo 2_ESCENARIOS DE VENTA - INDIA" xfId="132" xr:uid="{00000000-0005-0000-0000-000050000000}"/>
    <cellStyle name="Celda de comprobación" xfId="14" builtinId="23" customBuiltin="1"/>
    <cellStyle name="Celda de comprobación 2" xfId="157" xr:uid="{00000000-0005-0000-0000-000052000000}"/>
    <cellStyle name="Celda de comprobación 3" xfId="62" xr:uid="{00000000-0005-0000-0000-000053000000}"/>
    <cellStyle name="Celda vinculada 2" xfId="39" xr:uid="{00000000-0005-0000-0000-000054000000}"/>
    <cellStyle name="Celda vinculada 2 2" xfId="187" xr:uid="{00000000-0005-0000-0000-000055000000}"/>
    <cellStyle name="Celda vinculada 2 3" xfId="98" xr:uid="{00000000-0005-0000-0000-000056000000}"/>
    <cellStyle name="Celda vinculada 2_ESCENARIOS DE VENTA - INDIA" xfId="133" xr:uid="{00000000-0005-0000-0000-000057000000}"/>
    <cellStyle name="Encabezado 4 2" xfId="40" xr:uid="{00000000-0005-0000-0000-000058000000}"/>
    <cellStyle name="Encabezado 4 2 2" xfId="188" xr:uid="{00000000-0005-0000-0000-000059000000}"/>
    <cellStyle name="Encabezado 4 2 3" xfId="99" xr:uid="{00000000-0005-0000-0000-00005A000000}"/>
    <cellStyle name="Encabezado 4 2_ESCENARIOS DE VENTA - INDIA" xfId="134" xr:uid="{00000000-0005-0000-0000-00005B000000}"/>
    <cellStyle name="Énfasis1" xfId="216" builtinId="29"/>
    <cellStyle name="Énfasis1 2" xfId="41" xr:uid="{00000000-0005-0000-0000-00005C000000}"/>
    <cellStyle name="Énfasis1 2 2" xfId="189" xr:uid="{00000000-0005-0000-0000-00005D000000}"/>
    <cellStyle name="Énfasis1 2 3" xfId="100" xr:uid="{00000000-0005-0000-0000-00005E000000}"/>
    <cellStyle name="Énfasis1 2_ESCENARIOS DE VENTA - INDIA" xfId="135" xr:uid="{00000000-0005-0000-0000-00005F000000}"/>
    <cellStyle name="Énfasis2 2" xfId="42" xr:uid="{00000000-0005-0000-0000-000060000000}"/>
    <cellStyle name="Énfasis2 2 2" xfId="190" xr:uid="{00000000-0005-0000-0000-000061000000}"/>
    <cellStyle name="Énfasis2 2 3" xfId="101" xr:uid="{00000000-0005-0000-0000-000062000000}"/>
    <cellStyle name="Énfasis2 2_ESCENARIOS DE VENTA - INDIA" xfId="136" xr:uid="{00000000-0005-0000-0000-000063000000}"/>
    <cellStyle name="Énfasis3" xfId="220" builtinId="37"/>
    <cellStyle name="Énfasis3 2" xfId="43" xr:uid="{00000000-0005-0000-0000-000064000000}"/>
    <cellStyle name="Énfasis3 2 2" xfId="191" xr:uid="{00000000-0005-0000-0000-000065000000}"/>
    <cellStyle name="Énfasis3 2 3" xfId="102" xr:uid="{00000000-0005-0000-0000-000066000000}"/>
    <cellStyle name="Énfasis3 2_ESCENARIOS DE VENTA - INDIA" xfId="137" xr:uid="{00000000-0005-0000-0000-000067000000}"/>
    <cellStyle name="Énfasis4 2" xfId="44" xr:uid="{00000000-0005-0000-0000-000068000000}"/>
    <cellStyle name="Énfasis4 2 2" xfId="192" xr:uid="{00000000-0005-0000-0000-000069000000}"/>
    <cellStyle name="Énfasis4 2 3" xfId="103" xr:uid="{00000000-0005-0000-0000-00006A000000}"/>
    <cellStyle name="Énfasis4 2_ESCENARIOS DE VENTA - INDIA" xfId="138" xr:uid="{00000000-0005-0000-0000-00006B000000}"/>
    <cellStyle name="Énfasis5" xfId="18" builtinId="45" customBuiltin="1"/>
    <cellStyle name="Énfasis5 2" xfId="161" xr:uid="{00000000-0005-0000-0000-00006D000000}"/>
    <cellStyle name="Énfasis5 3" xfId="66" xr:uid="{00000000-0005-0000-0000-00006E000000}"/>
    <cellStyle name="Énfasis6 2" xfId="45" xr:uid="{00000000-0005-0000-0000-00006F000000}"/>
    <cellStyle name="Énfasis6 2 2" xfId="193" xr:uid="{00000000-0005-0000-0000-000070000000}"/>
    <cellStyle name="Énfasis6 2 3" xfId="104" xr:uid="{00000000-0005-0000-0000-000071000000}"/>
    <cellStyle name="Énfasis6 2_ESCENARIOS DE VENTA - INDIA" xfId="139" xr:uid="{00000000-0005-0000-0000-000072000000}"/>
    <cellStyle name="Entrada 2" xfId="46" xr:uid="{00000000-0005-0000-0000-000073000000}"/>
    <cellStyle name="Entrada 2 2" xfId="194" xr:uid="{00000000-0005-0000-0000-000074000000}"/>
    <cellStyle name="Entrada 2 3" xfId="105" xr:uid="{00000000-0005-0000-0000-000075000000}"/>
    <cellStyle name="Entrada 2_ESCENARIOS DE VENTA - INDIA" xfId="140" xr:uid="{00000000-0005-0000-0000-000076000000}"/>
    <cellStyle name="Euro" xfId="1" xr:uid="{00000000-0005-0000-0000-000077000000}"/>
    <cellStyle name="Euro 2" xfId="164" xr:uid="{00000000-0005-0000-0000-000078000000}"/>
    <cellStyle name="Euro 3" xfId="69" xr:uid="{00000000-0005-0000-0000-000079000000}"/>
    <cellStyle name="Euro_ESCENARIOS DE VENTA - INDIA" xfId="141" xr:uid="{00000000-0005-0000-0000-00007A000000}"/>
    <cellStyle name="Hipervínculo" xfId="223" builtinId="8"/>
    <cellStyle name="Incorrecto 2" xfId="47" xr:uid="{00000000-0005-0000-0000-00007B000000}"/>
    <cellStyle name="Incorrecto 2 2" xfId="195" xr:uid="{00000000-0005-0000-0000-00007C000000}"/>
    <cellStyle name="Incorrecto 2 3" xfId="106" xr:uid="{00000000-0005-0000-0000-00007D000000}"/>
    <cellStyle name="Incorrecto 2_ESCENARIOS DE VENTA - INDIA" xfId="142" xr:uid="{00000000-0005-0000-0000-00007E000000}"/>
    <cellStyle name="Incorrecto 3" xfId="156" xr:uid="{00000000-0005-0000-0000-00007F000000}"/>
    <cellStyle name="Incorrecto 4" xfId="61" xr:uid="{00000000-0005-0000-0000-000080000000}"/>
    <cellStyle name="Incorrecto 5" xfId="71" xr:uid="{00000000-0005-0000-0000-000081000000}"/>
    <cellStyle name="Millares" xfId="221" builtinId="3"/>
    <cellStyle name="Millares [0] 2" xfId="70" xr:uid="{00000000-0005-0000-0000-000083000000}"/>
    <cellStyle name="Millares 2" xfId="2" xr:uid="{00000000-0005-0000-0000-000084000000}"/>
    <cellStyle name="Millares 3" xfId="3" xr:uid="{00000000-0005-0000-0000-000085000000}"/>
    <cellStyle name="Millares 3 2" xfId="72" xr:uid="{00000000-0005-0000-0000-000086000000}"/>
    <cellStyle name="Millares 3 3" xfId="205" xr:uid="{7333C62D-4CEE-4BD6-8677-58D96857DC0A}"/>
    <cellStyle name="Millares 3 4" xfId="208" xr:uid="{20F1361B-79D8-4EE2-8ABC-69B88BFFDF1E}"/>
    <cellStyle name="Millares 3 5" xfId="210" xr:uid="{175D0696-5C16-411B-A399-C2962FA4CDB9}"/>
    <cellStyle name="Millares 3 6" xfId="214" xr:uid="{2FA82E54-D7D1-43E2-97D5-EDD1DF78BDD6}"/>
    <cellStyle name="Millares 4" xfId="226" xr:uid="{D9E9339B-5A97-4033-BC20-2AE4B1E609AB}"/>
    <cellStyle name="Moneda" xfId="204" builtinId="4"/>
    <cellStyle name="Moneda 2" xfId="59" xr:uid="{00000000-0005-0000-0000-000088000000}"/>
    <cellStyle name="Moneda 3" xfId="225" xr:uid="{EFBF4A5D-CC52-433C-B735-8E4B422C3DFE}"/>
    <cellStyle name="Neutral" xfId="219" builtinId="28"/>
    <cellStyle name="Neutral 2" xfId="48" xr:uid="{00000000-0005-0000-0000-000089000000}"/>
    <cellStyle name="Neutral 2 2" xfId="196" xr:uid="{00000000-0005-0000-0000-00008A000000}"/>
    <cellStyle name="Neutral 2 3" xfId="107" xr:uid="{00000000-0005-0000-0000-00008B000000}"/>
    <cellStyle name="Neutral 2_ESCENARIOS DE VENTA - INDIA" xfId="143" xr:uid="{00000000-0005-0000-0000-00008C000000}"/>
    <cellStyle name="Normal" xfId="0" builtinId="0"/>
    <cellStyle name="Normal 10" xfId="224" xr:uid="{6FEC546D-4E03-4CAA-A171-DEF706900BFF}"/>
    <cellStyle name="Normal 2" xfId="4" xr:uid="{00000000-0005-0000-0000-00008E000000}"/>
    <cellStyle name="Normal 2 2" xfId="165" xr:uid="{00000000-0005-0000-0000-00008F000000}"/>
    <cellStyle name="Normal 2 3" xfId="73" xr:uid="{00000000-0005-0000-0000-000090000000}"/>
    <cellStyle name="Normal 3" xfId="5" xr:uid="{00000000-0005-0000-0000-000091000000}"/>
    <cellStyle name="Normal 3 2" xfId="166" xr:uid="{00000000-0005-0000-0000-000092000000}"/>
    <cellStyle name="Normal 3 3" xfId="74" xr:uid="{00000000-0005-0000-0000-000093000000}"/>
    <cellStyle name="Normal 3 4" xfId="206" xr:uid="{EE6BD1E8-7D7A-44D8-B98D-6C2EEDE21BDC}"/>
    <cellStyle name="Normal 3 5" xfId="209" xr:uid="{8E1F3E9D-08E6-4218-B6CE-8B0F5640D71D}"/>
    <cellStyle name="Normal 3 6" xfId="211" xr:uid="{3A15A5FD-702A-44C7-B8FD-8E1D66FBACA0}"/>
    <cellStyle name="Normal 3 7" xfId="215" xr:uid="{510BE905-3D3B-4F4F-8783-FC30A694677A}"/>
    <cellStyle name="Normal 3_ESCENARIOS DE VENTA - INDIA" xfId="144" xr:uid="{00000000-0005-0000-0000-000094000000}"/>
    <cellStyle name="Normal 4" xfId="20" xr:uid="{00000000-0005-0000-0000-000095000000}"/>
    <cellStyle name="Normal 4 2" xfId="168" xr:uid="{00000000-0005-0000-0000-000096000000}"/>
    <cellStyle name="Normal 4 3" xfId="79" xr:uid="{00000000-0005-0000-0000-000097000000}"/>
    <cellStyle name="Normal 4 4" xfId="207" xr:uid="{755AC03D-B81C-4E1E-AED8-C14F347978A0}"/>
    <cellStyle name="Normal 4_ESCENARIOS DE VENTA - INDIA" xfId="145" xr:uid="{00000000-0005-0000-0000-000098000000}"/>
    <cellStyle name="Normal 5" xfId="56" xr:uid="{00000000-0005-0000-0000-000099000000}"/>
    <cellStyle name="Normal 5 2" xfId="163" xr:uid="{00000000-0005-0000-0000-00009A000000}"/>
    <cellStyle name="Normal 5 3" xfId="68" xr:uid="{00000000-0005-0000-0000-00009B000000}"/>
    <cellStyle name="Normal 6" xfId="154" xr:uid="{00000000-0005-0000-0000-00009C000000}"/>
    <cellStyle name="Normal 7" xfId="57" xr:uid="{00000000-0005-0000-0000-00009D000000}"/>
    <cellStyle name="Normal 8" xfId="213" xr:uid="{2F7C6DD6-64D2-41C5-BF51-9E1342474976}"/>
    <cellStyle name="Normal 8 2" xfId="217" xr:uid="{0A507944-D4DA-47F4-B28B-D1F014D793DF}"/>
    <cellStyle name="Normal 9" xfId="222" xr:uid="{8B999DB3-1364-40AD-BD78-1BBC0C16CB34}"/>
    <cellStyle name="Normal_Totales Maquinas" xfId="212" xr:uid="{3085ECFB-CC3B-4A71-B9BC-26C8DED6B4F7}"/>
    <cellStyle name="Notas 2" xfId="49" xr:uid="{00000000-0005-0000-0000-00009F000000}"/>
    <cellStyle name="Notas 2 2" xfId="197" xr:uid="{00000000-0005-0000-0000-0000A0000000}"/>
    <cellStyle name="Notas 2 3" xfId="108" xr:uid="{00000000-0005-0000-0000-0000A1000000}"/>
    <cellStyle name="Notas 2_ESCENARIOS DE VENTA - INDIA" xfId="146" xr:uid="{00000000-0005-0000-0000-0000A2000000}"/>
    <cellStyle name="Porcentaje" xfId="6" builtinId="5"/>
    <cellStyle name="Porcentaje 2" xfId="75" xr:uid="{00000000-0005-0000-0000-0000A4000000}"/>
    <cellStyle name="Porcentaje 3" xfId="58" xr:uid="{00000000-0005-0000-0000-0000A5000000}"/>
    <cellStyle name="Porcentaje 4" xfId="218" xr:uid="{302B9E59-663E-46C8-B5BD-66AF306FA0E2}"/>
    <cellStyle name="Porcentaje 5" xfId="227" xr:uid="{4ED435B4-8E6D-44C4-A378-FF0FDAA4E779}"/>
    <cellStyle name="Porcentual 2" xfId="7" xr:uid="{00000000-0005-0000-0000-0000A6000000}"/>
    <cellStyle name="Porcentual 2 2" xfId="76" xr:uid="{00000000-0005-0000-0000-0000A7000000}"/>
    <cellStyle name="Porcentual 3" xfId="8" xr:uid="{00000000-0005-0000-0000-0000A8000000}"/>
    <cellStyle name="Porcentual 4" xfId="9" xr:uid="{00000000-0005-0000-0000-0000A9000000}"/>
    <cellStyle name="Salida 2" xfId="50" xr:uid="{00000000-0005-0000-0000-0000AA000000}"/>
    <cellStyle name="Salida 2 2" xfId="198" xr:uid="{00000000-0005-0000-0000-0000AB000000}"/>
    <cellStyle name="Salida 2 3" xfId="109" xr:uid="{00000000-0005-0000-0000-0000AC000000}"/>
    <cellStyle name="Salida 2_ESCENARIOS DE VENTA - INDIA" xfId="147" xr:uid="{00000000-0005-0000-0000-0000AD000000}"/>
    <cellStyle name="Standard 2" xfId="10" xr:uid="{00000000-0005-0000-0000-0000AE000000}"/>
    <cellStyle name="Standard 2 2" xfId="167" xr:uid="{00000000-0005-0000-0000-0000AF000000}"/>
    <cellStyle name="Standard 2 3" xfId="78" xr:uid="{00000000-0005-0000-0000-0000B0000000}"/>
    <cellStyle name="Standard 2_ESCENARIOS DE VENTA - INDIA" xfId="148" xr:uid="{00000000-0005-0000-0000-0000B1000000}"/>
    <cellStyle name="Standard_A5_CL_S6' 2" xfId="11" xr:uid="{00000000-0005-0000-0000-0000B2000000}"/>
    <cellStyle name="Texto de advertencia" xfId="15" builtinId="11" customBuiltin="1"/>
    <cellStyle name="Texto de advertencia 2" xfId="158" xr:uid="{00000000-0005-0000-0000-0000B4000000}"/>
    <cellStyle name="Texto de advertencia 3" xfId="63" xr:uid="{00000000-0005-0000-0000-0000B5000000}"/>
    <cellStyle name="Texto explicativo" xfId="16" builtinId="53" customBuiltin="1"/>
    <cellStyle name="Texto explicativo 2" xfId="159" xr:uid="{00000000-0005-0000-0000-0000B7000000}"/>
    <cellStyle name="Texto explicativo 3" xfId="64" xr:uid="{00000000-0005-0000-0000-0000B8000000}"/>
    <cellStyle name="Título 1 2" xfId="52" xr:uid="{00000000-0005-0000-0000-0000B9000000}"/>
    <cellStyle name="Título 1 2 2" xfId="200" xr:uid="{00000000-0005-0000-0000-0000BA000000}"/>
    <cellStyle name="Título 1 2 3" xfId="111" xr:uid="{00000000-0005-0000-0000-0000BB000000}"/>
    <cellStyle name="Título 1 2_ESCENARIOS DE VENTA - INDIA" xfId="149" xr:uid="{00000000-0005-0000-0000-0000BC000000}"/>
    <cellStyle name="Título 2 2" xfId="53" xr:uid="{00000000-0005-0000-0000-0000BD000000}"/>
    <cellStyle name="Título 2 2 2" xfId="201" xr:uid="{00000000-0005-0000-0000-0000BE000000}"/>
    <cellStyle name="Título 2 2 3" xfId="112" xr:uid="{00000000-0005-0000-0000-0000BF000000}"/>
    <cellStyle name="Título 2 2_ESCENARIOS DE VENTA - INDIA" xfId="150" xr:uid="{00000000-0005-0000-0000-0000C0000000}"/>
    <cellStyle name="Título 3 2" xfId="54" xr:uid="{00000000-0005-0000-0000-0000C1000000}"/>
    <cellStyle name="Título 3 2 2" xfId="202" xr:uid="{00000000-0005-0000-0000-0000C2000000}"/>
    <cellStyle name="Título 3 2 3" xfId="113" xr:uid="{00000000-0005-0000-0000-0000C3000000}"/>
    <cellStyle name="Título 3 2_ESCENARIOS DE VENTA - INDIA" xfId="151" xr:uid="{00000000-0005-0000-0000-0000C4000000}"/>
    <cellStyle name="Título 4" xfId="51" xr:uid="{00000000-0005-0000-0000-0000C5000000}"/>
    <cellStyle name="Título 4 2" xfId="199" xr:uid="{00000000-0005-0000-0000-0000C6000000}"/>
    <cellStyle name="Título 4 3" xfId="110" xr:uid="{00000000-0005-0000-0000-0000C7000000}"/>
    <cellStyle name="Título 4_ESCENARIOS DE VENTA - INDIA" xfId="152" xr:uid="{00000000-0005-0000-0000-0000C8000000}"/>
    <cellStyle name="Total 2" xfId="55" xr:uid="{00000000-0005-0000-0000-0000C9000000}"/>
    <cellStyle name="Total 2 2" xfId="203" xr:uid="{00000000-0005-0000-0000-0000CA000000}"/>
    <cellStyle name="Total 2 3" xfId="114" xr:uid="{00000000-0005-0000-0000-0000CB000000}"/>
    <cellStyle name="Total 2_ESCENARIOS DE VENTA - INDIA" xfId="153" xr:uid="{00000000-0005-0000-0000-0000CC000000}"/>
    <cellStyle name="Währung [0]_Air Distr" xfId="12" xr:uid="{00000000-0005-0000-0000-0000CD000000}"/>
    <cellStyle name="Währung_A5_CL_S6' 2" xfId="13" xr:uid="{00000000-0005-0000-0000-0000CE000000}"/>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0070C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ont>
        <b val="0"/>
        <i val="0"/>
        <strike val="0"/>
        <condense val="0"/>
        <extend val="0"/>
        <outline val="0"/>
        <shadow val="0"/>
        <u val="none"/>
        <vertAlign val="baseline"/>
        <sz val="11"/>
        <color theme="1"/>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3D3935"/>
        <name val="HelveticaNeueLT Std Cn"/>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double">
          <color rgb="FF3F3F3F"/>
        </top>
      </border>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9" defaultPivotStyle="PivotStyleLight16">
    <tableStyle name="Invisible" pivot="0" table="0" count="0" xr9:uid="{D5199BDF-E4DE-4048-9E68-DF84F8D15B46}"/>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152400</xdr:rowOff>
    </xdr:from>
    <xdr:to>
      <xdr:col>3</xdr:col>
      <xdr:colOff>671842</xdr:colOff>
      <xdr:row>0</xdr:row>
      <xdr:rowOff>790575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0100" y="314325"/>
          <a:ext cx="1310017"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209550"/>
          <a:ext cx="1310017"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0</xdr:row>
      <xdr:rowOff>85725</xdr:rowOff>
    </xdr:from>
    <xdr:to>
      <xdr:col>2</xdr:col>
      <xdr:colOff>600075</xdr:colOff>
      <xdr:row>0</xdr:row>
      <xdr:rowOff>628617</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3675" y="85725"/>
          <a:ext cx="1117600" cy="542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1</xdr:row>
      <xdr:rowOff>28576</xdr:rowOff>
    </xdr:from>
    <xdr:to>
      <xdr:col>2</xdr:col>
      <xdr:colOff>428625</xdr:colOff>
      <xdr:row>1</xdr:row>
      <xdr:rowOff>619126</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28576"/>
          <a:ext cx="1114425" cy="590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47625</xdr:rowOff>
    </xdr:from>
    <xdr:to>
      <xdr:col>2</xdr:col>
      <xdr:colOff>914400</xdr:colOff>
      <xdr:row>0</xdr:row>
      <xdr:rowOff>600074</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5" y="47625"/>
          <a:ext cx="1114425" cy="5524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66</xdr:col>
      <xdr:colOff>238125</xdr:colOff>
      <xdr:row>30</xdr:row>
      <xdr:rowOff>0</xdr:rowOff>
    </xdr:from>
    <xdr:to>
      <xdr:col>69</xdr:col>
      <xdr:colOff>9525</xdr:colOff>
      <xdr:row>31</xdr:row>
      <xdr:rowOff>0</xdr:rowOff>
    </xdr:to>
    <xdr:sp macro="" textlink="">
      <xdr:nvSpPr>
        <xdr:cNvPr id="1287657" name="3 Flecha curvada hacia la derecha">
          <a:extLst>
            <a:ext uri="{FF2B5EF4-FFF2-40B4-BE49-F238E27FC236}">
              <a16:creationId xmlns:a16="http://schemas.microsoft.com/office/drawing/2014/main" id="{00000000-0008-0000-0500-0000E9A51300}"/>
            </a:ext>
          </a:extLst>
        </xdr:cNvPr>
        <xdr:cNvSpPr>
          <a:spLocks noChangeArrowheads="1"/>
        </xdr:cNvSpPr>
      </xdr:nvSpPr>
      <xdr:spPr bwMode="auto">
        <a:xfrm>
          <a:off x="38576250" y="7134225"/>
          <a:ext cx="952500" cy="2619375"/>
        </a:xfrm>
        <a:prstGeom prst="curvedRightArrow">
          <a:avLst>
            <a:gd name="adj1" fmla="val -2147483645"/>
            <a:gd name="adj2" fmla="val -2147483645"/>
            <a:gd name="adj3" fmla="val -2147483648"/>
          </a:avLst>
        </a:prstGeom>
        <a:solidFill>
          <a:srgbClr val="000000"/>
        </a:solidFill>
        <a:ln w="9525" algn="ctr">
          <a:solidFill>
            <a:srgbClr val="000000"/>
          </a:solidFill>
          <a:round/>
          <a:headEnd/>
          <a:tailEnd/>
        </a:ln>
      </xdr:spPr>
    </xdr:sp>
    <xdr:clientData/>
  </xdr:twoCellAnchor>
  <xdr:twoCellAnchor editAs="oneCell">
    <xdr:from>
      <xdr:col>1</xdr:col>
      <xdr:colOff>19050</xdr:colOff>
      <xdr:row>1</xdr:row>
      <xdr:rowOff>57151</xdr:rowOff>
    </xdr:from>
    <xdr:to>
      <xdr:col>2</xdr:col>
      <xdr:colOff>533400</xdr:colOff>
      <xdr:row>1</xdr:row>
      <xdr:rowOff>609600</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57151"/>
          <a:ext cx="1114425" cy="552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209550"/>
          <a:ext cx="1310017" cy="638175"/>
        </a:xfrm>
        <a:prstGeom prst="rect">
          <a:avLst/>
        </a:prstGeom>
      </xdr:spPr>
    </xdr:pic>
    <xdr:clientData/>
  </xdr:twoCellAnchor>
  <xdr:oneCellAnchor>
    <xdr:from>
      <xdr:col>1</xdr:col>
      <xdr:colOff>28575</xdr:colOff>
      <xdr:row>88</xdr:row>
      <xdr:rowOff>28575</xdr:rowOff>
    </xdr:from>
    <xdr:ext cx="1310017" cy="638175"/>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209550"/>
          <a:ext cx="1310017" cy="638175"/>
        </a:xfrm>
        <a:prstGeom prst="rect">
          <a:avLst/>
        </a:prstGeom>
      </xdr:spPr>
    </xdr:pic>
    <xdr:clientData/>
  </xdr:oneCellAnchor>
  <xdr:oneCellAnchor>
    <xdr:from>
      <xdr:col>1</xdr:col>
      <xdr:colOff>28575</xdr:colOff>
      <xdr:row>176</xdr:row>
      <xdr:rowOff>28575</xdr:rowOff>
    </xdr:from>
    <xdr:ext cx="1310017" cy="638175"/>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7650" y="16573500"/>
          <a:ext cx="1310017" cy="63817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1</xdr:col>
      <xdr:colOff>28575</xdr:colOff>
      <xdr:row>1</xdr:row>
      <xdr:rowOff>28575</xdr:rowOff>
    </xdr:from>
    <xdr:to>
      <xdr:col>1</xdr:col>
      <xdr:colOff>1338592</xdr:colOff>
      <xdr:row>1</xdr:row>
      <xdr:rowOff>666750</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0575" y="209550"/>
          <a:ext cx="1310017" cy="638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16</xdr:col>
      <xdr:colOff>194897</xdr:colOff>
      <xdr:row>58</xdr:row>
      <xdr:rowOff>51551</xdr:rowOff>
    </xdr:from>
    <xdr:ext cx="1291003" cy="1193539"/>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3993447" y="9532101"/>
          <a:ext cx="1291003" cy="1193539"/>
        </a:xfrm>
        <a:prstGeom prst="rect">
          <a:avLst/>
        </a:prstGeom>
      </xdr:spPr>
    </xdr:pic>
    <xdr:clientData/>
  </xdr:oneCellAnchor>
  <xdr:twoCellAnchor editAs="oneCell">
    <xdr:from>
      <xdr:col>1</xdr:col>
      <xdr:colOff>44939</xdr:colOff>
      <xdr:row>1</xdr:row>
      <xdr:rowOff>31750</xdr:rowOff>
    </xdr:from>
    <xdr:to>
      <xdr:col>2</xdr:col>
      <xdr:colOff>838200</xdr:colOff>
      <xdr:row>2</xdr:row>
      <xdr:rowOff>127944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5439" y="196850"/>
          <a:ext cx="983761" cy="4962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61233</xdr:colOff>
      <xdr:row>1</xdr:row>
      <xdr:rowOff>27214</xdr:rowOff>
    </xdr:from>
    <xdr:to>
      <xdr:col>14</xdr:col>
      <xdr:colOff>93331</xdr:colOff>
      <xdr:row>4</xdr:row>
      <xdr:rowOff>93857</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81626" y="190500"/>
          <a:ext cx="1645136" cy="80142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104776</xdr:colOff>
      <xdr:row>0</xdr:row>
      <xdr:rowOff>1</xdr:rowOff>
    </xdr:from>
    <xdr:to>
      <xdr:col>1</xdr:col>
      <xdr:colOff>730454</xdr:colOff>
      <xdr:row>0</xdr:row>
      <xdr:rowOff>304800</xdr:rowOff>
    </xdr:to>
    <xdr:pic>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6" y="1"/>
          <a:ext cx="625678" cy="3047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cfae.sharepoint.com/sites/GestorDocumentalOEM/Interna/4.%20Management_BU_OEM/Gesti&#243;n_budget/Datos%20controller/2023/202306%20Calculo%20Precio%20Hora%20Maquinas%20FAE%202023.xlsm" TargetMode="External"/><Relationship Id="rId1" Type="http://schemas.openxmlformats.org/officeDocument/2006/relationships/externalLinkPath" Target="https://acfae.sharepoint.com/sites/GestorDocumentalOEM/Interna/4.%20Management_BU_OEM/Gesti&#243;n_budget/Datos%20controller/2023/202306%20Calculo%20Precio%20Hora%20Maquinas%20FAE%202023.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cfae.sharepoint.com/sites/PROYECTOSOEMCTELECTROMECNICA/Documentos%20compartidos/0_RFQ/IF-334%20-%202024_076_opci&#243;n%20C.xlsx" TargetMode="External"/><Relationship Id="rId1" Type="http://schemas.openxmlformats.org/officeDocument/2006/relationships/externalLinkPath" Target="https://acfae.sharepoint.com/sites/PROYECTOSOEMCTELECTROMECNICA/Documentos%20compartidos/0_RFQ/IF-334%20-%202024_076_opci&#243;n%20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álculo costes máquina"/>
      <sheetName val="datos maquina"/>
      <sheetName val="SeccionesFAE"/>
      <sheetName val="Instalaciones Especiales"/>
      <sheetName val="Totales Maquinas"/>
      <sheetName val="Listado Maquinas"/>
      <sheetName val="INSTALACIONES"/>
      <sheetName val="TODAS LAS FICHAS"/>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u-vuGR2BbEyjfn812qQvbiC5U5W-QDZEqUPxGger20Q54SeKAgD2R79Q_A9dOEaH" itemId="01CVWB7JBTH5QIGSFF5NEI67TAQXOIC3W5">
      <xxl21:absoluteUrl r:id="rId2"/>
    </xxl21:alternateUrls>
    <sheetNames>
      <sheetName val="0. Change Control"/>
      <sheetName val="Help"/>
      <sheetName val="1.1. Bill of materials"/>
      <sheetName val="1.2. Working plan"/>
      <sheetName val="1.3. Machine Cost Sheet"/>
      <sheetName val="1.4. Investments &amp; Development"/>
      <sheetName val="2. Cost Summary"/>
      <sheetName val="3. Price decision matrix"/>
      <sheetName val="4. Quote OEM"/>
      <sheetName val="MOD+MOI+Overheads"/>
      <sheetName val="LISTAS DATOS"/>
      <sheetName val="NO ACTIVO - Coste máquina"/>
    </sheet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386B4D-217A-4CC6-8E05-4E16D6AE5ECC}" name="Acronimos" displayName="Acronimos" ref="K2:M100" totalsRowShown="0" headerRowDxfId="27" headerRowBorderDxfId="26" tableBorderDxfId="25">
  <sortState xmlns:xlrd2="http://schemas.microsoft.com/office/spreadsheetml/2017/richdata2" ref="K3:M99">
    <sortCondition ref="K1:K98"/>
  </sortState>
  <tableColumns count="3">
    <tableColumn id="1" xr3:uid="{8814FA09-EE3F-4202-BB25-BE340E11F4E6}" name="ACRONIMO" dataDxfId="24" dataCellStyle="Normal 9"/>
    <tableColumn id="2" xr3:uid="{107C57F4-D548-463B-8955-0FE7215A6D0D}" name="MEANING" dataDxfId="23" dataCellStyle="Normal 9"/>
    <tableColumn id="3" xr3:uid="{4DD463FC-9F09-4507-B587-16293393EC72}" name="español" dataDxfId="22" dataCellStyle="Normal 9"/>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52C55-1B5C-434C-88A8-47BF35030710}">
  <sheetPr codeName="Hoja3">
    <tabColor theme="0" tint="-4.9989318521683403E-2"/>
    <pageSetUpPr fitToPage="1"/>
  </sheetPr>
  <dimension ref="B1:P134"/>
  <sheetViews>
    <sheetView zoomScale="120" zoomScaleNormal="120" workbookViewId="0">
      <selection activeCell="B135" sqref="B135"/>
    </sheetView>
  </sheetViews>
  <sheetFormatPr baseColWidth="10" defaultColWidth="11.42578125" defaultRowHeight="12.75" x14ac:dyDescent="0.2"/>
  <cols>
    <col min="1" max="1" width="3.28515625" style="227" customWidth="1"/>
    <col min="2" max="2" width="7.5703125" style="227" customWidth="1"/>
    <col min="3" max="3" width="2.5703125" style="227" bestFit="1" customWidth="1"/>
    <col min="4" max="16384" width="11.42578125" style="227"/>
  </cols>
  <sheetData>
    <row r="1" spans="2:16" ht="66" customHeight="1" x14ac:dyDescent="0.2">
      <c r="E1" s="462" t="s">
        <v>0</v>
      </c>
      <c r="F1" s="462"/>
      <c r="G1" s="462"/>
      <c r="H1" s="462"/>
      <c r="I1" s="462"/>
      <c r="J1" s="462"/>
      <c r="K1" s="462"/>
      <c r="L1" s="462"/>
      <c r="M1" s="462"/>
      <c r="N1" s="462"/>
      <c r="O1" s="462"/>
      <c r="P1" s="462"/>
    </row>
    <row r="2" spans="2:16" ht="15.75" x14ac:dyDescent="0.25">
      <c r="B2" s="614" t="s">
        <v>1</v>
      </c>
      <c r="C2" s="614"/>
      <c r="D2" s="614"/>
      <c r="E2" s="614"/>
      <c r="F2" s="614"/>
      <c r="G2" s="614"/>
      <c r="H2" s="614"/>
      <c r="I2" s="614"/>
      <c r="J2" s="614"/>
      <c r="K2" s="614"/>
      <c r="L2" s="615" t="s">
        <v>2</v>
      </c>
      <c r="M2" s="616"/>
      <c r="N2" s="616"/>
      <c r="O2" s="616"/>
      <c r="P2" s="617"/>
    </row>
    <row r="3" spans="2:16" x14ac:dyDescent="0.2">
      <c r="B3" s="594"/>
      <c r="C3" s="595"/>
      <c r="D3" s="604" t="s">
        <v>3</v>
      </c>
      <c r="E3" s="595"/>
      <c r="F3" s="595"/>
      <c r="G3" s="595"/>
      <c r="H3" s="595"/>
      <c r="I3" s="595"/>
      <c r="J3" s="595"/>
      <c r="K3" s="595"/>
      <c r="L3" s="595"/>
      <c r="M3" s="595"/>
      <c r="N3" s="595"/>
      <c r="O3" s="595"/>
      <c r="P3" s="596"/>
    </row>
    <row r="4" spans="2:16" x14ac:dyDescent="0.2">
      <c r="B4" s="597"/>
      <c r="C4" s="598" t="s">
        <v>4</v>
      </c>
      <c r="D4" s="598" t="s">
        <v>5</v>
      </c>
      <c r="E4" s="595"/>
      <c r="F4" s="595"/>
      <c r="G4" s="595"/>
      <c r="H4" s="595"/>
      <c r="I4" s="595"/>
      <c r="J4" s="595"/>
      <c r="K4" s="595"/>
      <c r="L4" s="595"/>
      <c r="M4" s="595"/>
      <c r="N4" s="595"/>
      <c r="O4" s="595"/>
      <c r="P4" s="596"/>
    </row>
    <row r="5" spans="2:16" x14ac:dyDescent="0.2">
      <c r="B5" s="597"/>
      <c r="C5" s="598" t="s">
        <v>6</v>
      </c>
      <c r="D5" s="598" t="s">
        <v>7</v>
      </c>
      <c r="E5" s="595"/>
      <c r="F5" s="595"/>
      <c r="G5" s="595"/>
      <c r="H5" s="595"/>
      <c r="I5" s="595"/>
      <c r="J5" s="595"/>
      <c r="K5" s="595"/>
      <c r="L5" s="595"/>
      <c r="M5" s="595"/>
      <c r="N5" s="595"/>
      <c r="O5" s="595"/>
      <c r="P5" s="596"/>
    </row>
    <row r="6" spans="2:16" x14ac:dyDescent="0.2">
      <c r="B6" s="597"/>
      <c r="C6" s="598"/>
      <c r="D6" s="604" t="s">
        <v>8</v>
      </c>
      <c r="E6" s="595"/>
      <c r="F6" s="595"/>
      <c r="G6" s="595"/>
      <c r="H6" s="595"/>
      <c r="I6" s="595"/>
      <c r="J6" s="595"/>
      <c r="K6" s="595"/>
      <c r="L6" s="595"/>
      <c r="M6" s="595"/>
      <c r="N6" s="595"/>
      <c r="O6" s="595"/>
      <c r="P6" s="596"/>
    </row>
    <row r="7" spans="2:16" x14ac:dyDescent="0.2">
      <c r="B7" s="597"/>
      <c r="C7" s="598" t="s">
        <v>9</v>
      </c>
      <c r="D7" s="598" t="s">
        <v>10</v>
      </c>
      <c r="E7" s="595"/>
      <c r="F7" s="595"/>
      <c r="G7" s="595"/>
      <c r="H7" s="595"/>
      <c r="I7" s="595"/>
      <c r="J7" s="595"/>
      <c r="K7" s="595"/>
      <c r="L7" s="595"/>
      <c r="M7" s="595"/>
      <c r="N7" s="595"/>
      <c r="O7" s="595"/>
      <c r="P7" s="596"/>
    </row>
    <row r="8" spans="2:16" x14ac:dyDescent="0.2">
      <c r="B8" s="597"/>
      <c r="C8" s="595"/>
      <c r="D8" s="598" t="s">
        <v>11</v>
      </c>
      <c r="E8" s="595"/>
      <c r="F8" s="595"/>
      <c r="G8" s="595"/>
      <c r="H8" s="595"/>
      <c r="I8" s="595"/>
      <c r="J8" s="595"/>
      <c r="K8" s="595"/>
      <c r="L8" s="595"/>
      <c r="M8" s="595"/>
      <c r="N8" s="595"/>
      <c r="O8" s="595"/>
      <c r="P8" s="596"/>
    </row>
    <row r="9" spans="2:16" x14ac:dyDescent="0.2">
      <c r="B9" s="597"/>
      <c r="C9" s="595"/>
      <c r="D9" s="598" t="s">
        <v>12</v>
      </c>
      <c r="E9" s="595"/>
      <c r="F9" s="595"/>
      <c r="G9" s="595"/>
      <c r="H9" s="595"/>
      <c r="I9" s="595"/>
      <c r="J9" s="595"/>
      <c r="K9" s="595"/>
      <c r="L9" s="595"/>
      <c r="M9" s="595"/>
      <c r="N9" s="595"/>
      <c r="O9" s="595"/>
      <c r="P9" s="596"/>
    </row>
    <row r="10" spans="2:16" x14ac:dyDescent="0.2">
      <c r="B10" s="597"/>
      <c r="C10" s="595"/>
      <c r="D10" s="598" t="s">
        <v>13</v>
      </c>
      <c r="E10" s="595"/>
      <c r="F10" s="595"/>
      <c r="G10" s="595"/>
      <c r="H10" s="595"/>
      <c r="I10" s="595"/>
      <c r="J10" s="595"/>
      <c r="K10" s="595"/>
      <c r="L10" s="595"/>
      <c r="M10" s="595"/>
      <c r="N10" s="595"/>
      <c r="O10" s="595"/>
      <c r="P10" s="596"/>
    </row>
    <row r="11" spans="2:16" x14ac:dyDescent="0.2">
      <c r="B11" s="597"/>
      <c r="C11" s="595"/>
      <c r="D11" s="604" t="s">
        <v>14</v>
      </c>
      <c r="E11" s="595"/>
      <c r="F11" s="595"/>
      <c r="G11" s="595"/>
      <c r="H11" s="595"/>
      <c r="I11" s="595"/>
      <c r="J11" s="595"/>
      <c r="K11" s="595"/>
      <c r="L11" s="595"/>
      <c r="M11" s="595"/>
      <c r="N11" s="595"/>
      <c r="O11" s="595"/>
      <c r="P11" s="596"/>
    </row>
    <row r="12" spans="2:16" x14ac:dyDescent="0.2">
      <c r="B12" s="597"/>
      <c r="C12" s="598" t="s">
        <v>15</v>
      </c>
      <c r="D12" s="598" t="s">
        <v>16</v>
      </c>
      <c r="E12" s="595"/>
      <c r="F12" s="595"/>
      <c r="G12" s="595"/>
      <c r="H12" s="595"/>
      <c r="I12" s="595"/>
      <c r="J12" s="595"/>
      <c r="K12" s="595"/>
      <c r="L12" s="595"/>
      <c r="M12" s="595"/>
      <c r="N12" s="595"/>
      <c r="O12" s="595"/>
      <c r="P12" s="596"/>
    </row>
    <row r="13" spans="2:16" x14ac:dyDescent="0.2">
      <c r="B13" s="597"/>
      <c r="C13" s="595"/>
      <c r="D13" s="598" t="s">
        <v>17</v>
      </c>
      <c r="E13" s="595"/>
      <c r="F13" s="595"/>
      <c r="G13" s="595"/>
      <c r="H13" s="595"/>
      <c r="I13" s="595"/>
      <c r="J13" s="595"/>
      <c r="K13" s="595"/>
      <c r="L13" s="595"/>
      <c r="M13" s="595"/>
      <c r="N13" s="595"/>
      <c r="O13" s="595"/>
      <c r="P13" s="596"/>
    </row>
    <row r="14" spans="2:16" x14ac:dyDescent="0.2">
      <c r="B14" s="597"/>
      <c r="C14" s="595"/>
      <c r="D14" s="598" t="s">
        <v>18</v>
      </c>
      <c r="E14" s="595"/>
      <c r="F14" s="595"/>
      <c r="G14" s="595"/>
      <c r="H14" s="595"/>
      <c r="I14" s="595"/>
      <c r="J14" s="595"/>
      <c r="K14" s="595"/>
      <c r="L14" s="595"/>
      <c r="M14" s="595"/>
      <c r="N14" s="595"/>
      <c r="O14" s="595"/>
      <c r="P14" s="596"/>
    </row>
    <row r="15" spans="2:16" x14ac:dyDescent="0.2">
      <c r="B15" s="597"/>
      <c r="C15" s="595"/>
      <c r="D15" s="598" t="s">
        <v>19</v>
      </c>
      <c r="E15" s="595"/>
      <c r="F15" s="595"/>
      <c r="G15" s="595"/>
      <c r="H15" s="595"/>
      <c r="I15" s="595"/>
      <c r="J15" s="595"/>
      <c r="K15" s="595"/>
      <c r="L15" s="595"/>
      <c r="M15" s="595"/>
      <c r="N15" s="595"/>
      <c r="O15" s="595"/>
      <c r="P15" s="596"/>
    </row>
    <row r="16" spans="2:16" x14ac:dyDescent="0.2">
      <c r="B16" s="597"/>
      <c r="C16" s="595"/>
      <c r="D16" s="598" t="s">
        <v>20</v>
      </c>
      <c r="E16" s="595"/>
      <c r="F16" s="595"/>
      <c r="G16" s="595"/>
      <c r="H16" s="595"/>
      <c r="I16" s="595"/>
      <c r="J16" s="595"/>
      <c r="K16" s="595"/>
      <c r="L16" s="595"/>
      <c r="M16" s="595"/>
      <c r="N16" s="595"/>
      <c r="O16" s="595"/>
      <c r="P16" s="596"/>
    </row>
    <row r="17" spans="2:16" x14ac:dyDescent="0.2">
      <c r="B17" s="597"/>
      <c r="C17" s="595"/>
      <c r="D17" s="604" t="s">
        <v>21</v>
      </c>
      <c r="E17" s="595"/>
      <c r="F17" s="595"/>
      <c r="G17" s="595"/>
      <c r="H17" s="595"/>
      <c r="I17" s="595"/>
      <c r="J17" s="595"/>
      <c r="K17" s="595"/>
      <c r="L17" s="595"/>
      <c r="M17" s="595"/>
      <c r="N17" s="595"/>
      <c r="O17" s="595"/>
      <c r="P17" s="596"/>
    </row>
    <row r="18" spans="2:16" x14ac:dyDescent="0.2">
      <c r="B18" s="597"/>
      <c r="C18" s="598" t="s">
        <v>22</v>
      </c>
      <c r="D18" s="598" t="s">
        <v>23</v>
      </c>
      <c r="E18" s="595"/>
      <c r="F18" s="595"/>
      <c r="G18" s="595"/>
      <c r="H18" s="595"/>
      <c r="I18" s="595"/>
      <c r="J18" s="595"/>
      <c r="K18" s="595"/>
      <c r="L18" s="595"/>
      <c r="M18" s="595"/>
      <c r="N18" s="595"/>
      <c r="O18" s="595"/>
      <c r="P18" s="596"/>
    </row>
    <row r="19" spans="2:16" x14ac:dyDescent="0.2">
      <c r="B19" s="597"/>
      <c r="C19" s="598"/>
      <c r="D19" s="598" t="s">
        <v>24</v>
      </c>
      <c r="E19" s="595"/>
      <c r="F19" s="595"/>
      <c r="G19" s="595"/>
      <c r="H19" s="595"/>
      <c r="I19" s="595"/>
      <c r="J19" s="595"/>
      <c r="K19" s="595"/>
      <c r="L19" s="595"/>
      <c r="M19" s="595"/>
      <c r="N19" s="595"/>
      <c r="O19" s="595"/>
      <c r="P19" s="596"/>
    </row>
    <row r="20" spans="2:16" x14ac:dyDescent="0.2">
      <c r="B20" s="597"/>
      <c r="C20" s="595"/>
      <c r="D20" s="604" t="s">
        <v>25</v>
      </c>
      <c r="E20" s="595"/>
      <c r="F20" s="595"/>
      <c r="G20" s="595"/>
      <c r="H20" s="595"/>
      <c r="I20" s="595"/>
      <c r="J20" s="595"/>
      <c r="K20" s="595"/>
      <c r="L20" s="595"/>
      <c r="M20" s="595"/>
      <c r="N20" s="595"/>
      <c r="O20" s="595"/>
      <c r="P20" s="596"/>
    </row>
    <row r="21" spans="2:16" x14ac:dyDescent="0.2">
      <c r="B21" s="597"/>
      <c r="C21" s="598" t="s">
        <v>26</v>
      </c>
      <c r="D21" s="598" t="s">
        <v>27</v>
      </c>
      <c r="E21" s="595"/>
      <c r="F21" s="595"/>
      <c r="G21" s="595"/>
      <c r="H21" s="595"/>
      <c r="I21" s="595"/>
      <c r="J21" s="595"/>
      <c r="K21" s="595"/>
      <c r="L21" s="595"/>
      <c r="M21" s="595"/>
      <c r="N21" s="595"/>
      <c r="O21" s="595"/>
      <c r="P21" s="596"/>
    </row>
    <row r="22" spans="2:16" x14ac:dyDescent="0.2">
      <c r="B22" s="597"/>
      <c r="C22" s="595"/>
      <c r="D22" s="598" t="s">
        <v>28</v>
      </c>
      <c r="E22" s="595"/>
      <c r="F22" s="595"/>
      <c r="G22" s="595"/>
      <c r="H22" s="595"/>
      <c r="I22" s="595"/>
      <c r="J22" s="595"/>
      <c r="K22" s="595"/>
      <c r="L22" s="595"/>
      <c r="M22" s="595"/>
      <c r="N22" s="595"/>
      <c r="O22" s="595"/>
      <c r="P22" s="596"/>
    </row>
    <row r="23" spans="2:16" x14ac:dyDescent="0.2">
      <c r="B23" s="597"/>
      <c r="C23" s="595"/>
      <c r="D23" s="598" t="s">
        <v>29</v>
      </c>
      <c r="E23" s="595"/>
      <c r="F23" s="595"/>
      <c r="G23" s="595"/>
      <c r="H23" s="595"/>
      <c r="I23" s="595"/>
      <c r="J23" s="595"/>
      <c r="K23" s="595"/>
      <c r="L23" s="595"/>
      <c r="M23" s="595"/>
      <c r="N23" s="595"/>
      <c r="O23" s="595"/>
      <c r="P23" s="596"/>
    </row>
    <row r="24" spans="2:16" x14ac:dyDescent="0.2">
      <c r="B24" s="597"/>
      <c r="C24" s="595"/>
      <c r="D24" s="604" t="s">
        <v>30</v>
      </c>
      <c r="E24" s="595"/>
      <c r="F24" s="595"/>
      <c r="G24" s="595"/>
      <c r="H24" s="595"/>
      <c r="I24" s="595"/>
      <c r="J24" s="595"/>
      <c r="K24" s="595"/>
      <c r="L24" s="595"/>
      <c r="M24" s="595"/>
      <c r="N24" s="595"/>
      <c r="O24" s="595"/>
      <c r="P24" s="596"/>
    </row>
    <row r="25" spans="2:16" x14ac:dyDescent="0.2">
      <c r="B25" s="597"/>
      <c r="C25" s="598" t="s">
        <v>31</v>
      </c>
      <c r="D25" s="598" t="s">
        <v>32</v>
      </c>
      <c r="E25" s="595"/>
      <c r="F25" s="595"/>
      <c r="G25" s="595"/>
      <c r="H25" s="595"/>
      <c r="I25" s="595"/>
      <c r="J25" s="595"/>
      <c r="K25" s="595"/>
      <c r="L25" s="595"/>
      <c r="M25" s="595"/>
      <c r="N25" s="595"/>
      <c r="O25" s="595"/>
      <c r="P25" s="596"/>
    </row>
    <row r="26" spans="2:16" x14ac:dyDescent="0.2">
      <c r="B26" s="597"/>
      <c r="C26" s="598"/>
      <c r="D26" s="598" t="s">
        <v>33</v>
      </c>
      <c r="E26" s="595"/>
      <c r="F26" s="595"/>
      <c r="G26" s="595"/>
      <c r="H26" s="595"/>
      <c r="I26" s="595"/>
      <c r="J26" s="595"/>
      <c r="K26" s="595"/>
      <c r="L26" s="595"/>
      <c r="M26" s="595"/>
      <c r="N26" s="595"/>
      <c r="O26" s="595"/>
      <c r="P26" s="596"/>
    </row>
    <row r="27" spans="2:16" x14ac:dyDescent="0.2">
      <c r="B27" s="597"/>
      <c r="C27" s="595"/>
      <c r="D27" s="604" t="s">
        <v>34</v>
      </c>
      <c r="E27" s="595"/>
      <c r="F27" s="595"/>
      <c r="G27" s="595"/>
      <c r="H27" s="595"/>
      <c r="I27" s="595"/>
      <c r="J27" s="595"/>
      <c r="K27" s="595"/>
      <c r="L27" s="595"/>
      <c r="M27" s="595"/>
      <c r="N27" s="595"/>
      <c r="O27" s="595"/>
      <c r="P27" s="596"/>
    </row>
    <row r="28" spans="2:16" x14ac:dyDescent="0.2">
      <c r="B28" s="597"/>
      <c r="C28" s="598" t="s">
        <v>35</v>
      </c>
      <c r="D28" s="598" t="s">
        <v>36</v>
      </c>
      <c r="E28" s="595"/>
      <c r="F28" s="595"/>
      <c r="G28" s="595"/>
      <c r="H28" s="595"/>
      <c r="I28" s="595"/>
      <c r="J28" s="595"/>
      <c r="K28" s="595"/>
      <c r="L28" s="595"/>
      <c r="M28" s="595"/>
      <c r="N28" s="595"/>
      <c r="O28" s="595"/>
      <c r="P28" s="596"/>
    </row>
    <row r="29" spans="2:16" x14ac:dyDescent="0.2">
      <c r="B29" s="597"/>
      <c r="C29" s="598"/>
      <c r="D29" s="598" t="s">
        <v>37</v>
      </c>
      <c r="E29" s="595"/>
      <c r="F29" s="595"/>
      <c r="G29" s="595"/>
      <c r="H29" s="595"/>
      <c r="I29" s="595"/>
      <c r="J29" s="595"/>
      <c r="K29" s="595"/>
      <c r="L29" s="595"/>
      <c r="M29" s="595"/>
      <c r="N29" s="595"/>
      <c r="O29" s="595"/>
      <c r="P29" s="596"/>
    </row>
    <row r="30" spans="2:16" x14ac:dyDescent="0.2">
      <c r="B30" s="597"/>
      <c r="C30" s="595"/>
      <c r="D30" s="604" t="s">
        <v>38</v>
      </c>
      <c r="E30" s="595"/>
      <c r="F30" s="595"/>
      <c r="G30" s="595"/>
      <c r="H30" s="595"/>
      <c r="I30" s="595"/>
      <c r="J30" s="595"/>
      <c r="K30" s="595"/>
      <c r="L30" s="595"/>
      <c r="M30" s="595"/>
      <c r="N30" s="595"/>
      <c r="O30" s="595"/>
      <c r="P30" s="596"/>
    </row>
    <row r="31" spans="2:16" x14ac:dyDescent="0.2">
      <c r="B31" s="597"/>
      <c r="C31" s="598" t="s">
        <v>39</v>
      </c>
      <c r="D31" s="598" t="s">
        <v>40</v>
      </c>
      <c r="E31" s="595"/>
      <c r="F31" s="595"/>
      <c r="G31" s="595"/>
      <c r="H31" s="595"/>
      <c r="I31" s="595"/>
      <c r="J31" s="595"/>
      <c r="K31" s="595"/>
      <c r="L31" s="595"/>
      <c r="M31" s="595"/>
      <c r="N31" s="595"/>
      <c r="O31" s="595"/>
      <c r="P31" s="596"/>
    </row>
    <row r="32" spans="2:16" x14ac:dyDescent="0.2">
      <c r="B32" s="599"/>
      <c r="C32" s="600"/>
      <c r="D32" s="600"/>
      <c r="E32" s="600"/>
      <c r="F32" s="600"/>
      <c r="G32" s="600"/>
      <c r="H32" s="600"/>
      <c r="I32" s="600"/>
      <c r="J32" s="600"/>
      <c r="K32" s="600"/>
      <c r="L32" s="600"/>
      <c r="M32" s="600"/>
      <c r="N32" s="600"/>
      <c r="O32" s="600"/>
      <c r="P32" s="601"/>
    </row>
    <row r="34" spans="2:16" x14ac:dyDescent="0.2">
      <c r="B34" s="612" t="s">
        <v>41</v>
      </c>
      <c r="C34" s="613"/>
      <c r="D34" s="614"/>
      <c r="E34" s="612" t="s">
        <v>42</v>
      </c>
      <c r="F34" s="613"/>
      <c r="G34" s="613"/>
      <c r="H34" s="613"/>
      <c r="I34" s="613"/>
      <c r="J34" s="614"/>
      <c r="K34" s="612" t="s">
        <v>43</v>
      </c>
      <c r="L34" s="613"/>
      <c r="M34" s="613"/>
      <c r="N34" s="613"/>
      <c r="O34" s="613"/>
      <c r="P34" s="614"/>
    </row>
    <row r="35" spans="2:16" ht="15" x14ac:dyDescent="0.2">
      <c r="B35" s="618" t="s">
        <v>44</v>
      </c>
      <c r="C35" s="619"/>
      <c r="D35" s="620"/>
      <c r="E35" s="621" t="s">
        <v>45</v>
      </c>
      <c r="F35" s="622"/>
      <c r="G35" s="622"/>
      <c r="H35" s="622"/>
      <c r="I35" s="622"/>
      <c r="J35" s="620"/>
      <c r="K35" s="621" t="s">
        <v>46</v>
      </c>
      <c r="L35" s="622"/>
      <c r="M35" s="622"/>
      <c r="N35" s="622"/>
      <c r="O35" s="622"/>
      <c r="P35" s="620"/>
    </row>
    <row r="36" spans="2:16" ht="15" x14ac:dyDescent="0.2">
      <c r="B36" s="623" t="s">
        <v>47</v>
      </c>
      <c r="C36" s="624"/>
      <c r="D36" s="625"/>
      <c r="E36" s="626" t="s">
        <v>48</v>
      </c>
      <c r="F36" s="627"/>
      <c r="G36" s="627"/>
      <c r="H36" s="627"/>
      <c r="I36" s="627"/>
      <c r="J36" s="625"/>
      <c r="K36" s="626" t="s">
        <v>49</v>
      </c>
      <c r="L36" s="627"/>
      <c r="M36" s="627"/>
      <c r="N36" s="627"/>
      <c r="O36" s="627"/>
      <c r="P36" s="625"/>
    </row>
    <row r="37" spans="2:16" ht="15" x14ac:dyDescent="0.2">
      <c r="B37" s="623" t="s">
        <v>50</v>
      </c>
      <c r="C37" s="624"/>
      <c r="D37" s="625"/>
      <c r="E37" s="626" t="s">
        <v>51</v>
      </c>
      <c r="F37" s="627"/>
      <c r="G37" s="627"/>
      <c r="H37" s="627"/>
      <c r="I37" s="627"/>
      <c r="J37" s="625"/>
      <c r="K37" s="626" t="s">
        <v>52</v>
      </c>
      <c r="L37" s="627"/>
      <c r="M37" s="627"/>
      <c r="N37" s="627"/>
      <c r="O37" s="627"/>
      <c r="P37" s="625"/>
    </row>
    <row r="38" spans="2:16" ht="15" x14ac:dyDescent="0.2">
      <c r="B38" s="623" t="s">
        <v>53</v>
      </c>
      <c r="C38" s="624"/>
      <c r="D38" s="625"/>
      <c r="E38" s="626" t="s">
        <v>54</v>
      </c>
      <c r="F38" s="627"/>
      <c r="G38" s="627"/>
      <c r="H38" s="627"/>
      <c r="I38" s="627"/>
      <c r="J38" s="625"/>
      <c r="K38" s="626"/>
      <c r="L38" s="627"/>
      <c r="M38" s="627"/>
      <c r="N38" s="627"/>
      <c r="O38" s="627"/>
      <c r="P38" s="625"/>
    </row>
    <row r="39" spans="2:16" ht="15" x14ac:dyDescent="0.2">
      <c r="B39" s="623" t="s">
        <v>55</v>
      </c>
      <c r="C39" s="624"/>
      <c r="D39" s="625"/>
      <c r="E39" s="626" t="s">
        <v>56</v>
      </c>
      <c r="F39" s="627"/>
      <c r="G39" s="627"/>
      <c r="H39" s="627"/>
      <c r="I39" s="627"/>
      <c r="J39" s="625"/>
      <c r="K39" s="626"/>
      <c r="L39" s="627"/>
      <c r="M39" s="627"/>
      <c r="N39" s="627"/>
      <c r="O39" s="627"/>
      <c r="P39" s="625"/>
    </row>
    <row r="40" spans="2:16" ht="15" x14ac:dyDescent="0.2">
      <c r="B40" s="623" t="s">
        <v>57</v>
      </c>
      <c r="C40" s="624"/>
      <c r="D40" s="625"/>
      <c r="E40" s="626" t="s">
        <v>58</v>
      </c>
      <c r="F40" s="627"/>
      <c r="G40" s="627"/>
      <c r="H40" s="627"/>
      <c r="I40" s="627"/>
      <c r="J40" s="625"/>
      <c r="K40" s="626"/>
      <c r="L40" s="627"/>
      <c r="M40" s="627"/>
      <c r="N40" s="627"/>
      <c r="O40" s="627"/>
      <c r="P40" s="625"/>
    </row>
    <row r="41" spans="2:16" ht="15" x14ac:dyDescent="0.2">
      <c r="B41" s="623" t="s">
        <v>59</v>
      </c>
      <c r="C41" s="624"/>
      <c r="D41" s="625"/>
      <c r="E41" s="626" t="s">
        <v>60</v>
      </c>
      <c r="F41" s="627"/>
      <c r="G41" s="627"/>
      <c r="H41" s="627"/>
      <c r="I41" s="627"/>
      <c r="J41" s="625"/>
      <c r="K41" s="626" t="s">
        <v>61</v>
      </c>
      <c r="L41" s="627"/>
      <c r="M41" s="627"/>
      <c r="N41" s="627"/>
      <c r="O41" s="627"/>
      <c r="P41" s="625"/>
    </row>
    <row r="42" spans="2:16" ht="15" x14ac:dyDescent="0.2">
      <c r="B42" s="623" t="s">
        <v>62</v>
      </c>
      <c r="C42" s="624"/>
      <c r="D42" s="625"/>
      <c r="E42" s="626" t="s">
        <v>63</v>
      </c>
      <c r="F42" s="627"/>
      <c r="G42" s="627"/>
      <c r="H42" s="627"/>
      <c r="I42" s="627"/>
      <c r="J42" s="625"/>
      <c r="K42" s="626"/>
      <c r="L42" s="627"/>
      <c r="M42" s="627"/>
      <c r="N42" s="627"/>
      <c r="O42" s="627"/>
      <c r="P42" s="625"/>
    </row>
    <row r="43" spans="2:16" ht="15" x14ac:dyDescent="0.2">
      <c r="B43" s="623" t="s">
        <v>64</v>
      </c>
      <c r="C43" s="624"/>
      <c r="D43" s="625"/>
      <c r="E43" s="626" t="s">
        <v>65</v>
      </c>
      <c r="F43" s="627"/>
      <c r="G43" s="627"/>
      <c r="H43" s="627"/>
      <c r="I43" s="627"/>
      <c r="J43" s="625"/>
      <c r="K43" s="626"/>
      <c r="L43" s="627"/>
      <c r="M43" s="627"/>
      <c r="N43" s="627"/>
      <c r="O43" s="627"/>
      <c r="P43" s="625"/>
    </row>
    <row r="44" spans="2:16" ht="15" x14ac:dyDescent="0.2">
      <c r="B44" s="623" t="s">
        <v>66</v>
      </c>
      <c r="C44" s="624"/>
      <c r="D44" s="625"/>
      <c r="E44" s="626" t="s">
        <v>67</v>
      </c>
      <c r="F44" s="627"/>
      <c r="G44" s="627"/>
      <c r="H44" s="627"/>
      <c r="I44" s="627"/>
      <c r="J44" s="625"/>
      <c r="K44" s="626"/>
      <c r="L44" s="627"/>
      <c r="M44" s="627"/>
      <c r="N44" s="627"/>
      <c r="O44" s="627"/>
      <c r="P44" s="625"/>
    </row>
    <row r="45" spans="2:16" ht="15" x14ac:dyDescent="0.2">
      <c r="B45" s="623" t="s">
        <v>68</v>
      </c>
      <c r="C45" s="624"/>
      <c r="D45" s="625"/>
      <c r="E45" s="626" t="s">
        <v>69</v>
      </c>
      <c r="F45" s="627"/>
      <c r="G45" s="627"/>
      <c r="H45" s="627"/>
      <c r="I45" s="627"/>
      <c r="J45" s="625"/>
      <c r="K45" s="626"/>
      <c r="L45" s="627"/>
      <c r="M45" s="627"/>
      <c r="N45" s="627"/>
      <c r="O45" s="627"/>
      <c r="P45" s="625"/>
    </row>
    <row r="46" spans="2:16" ht="15" x14ac:dyDescent="0.2">
      <c r="B46" s="623" t="s">
        <v>70</v>
      </c>
      <c r="C46" s="624"/>
      <c r="D46" s="625"/>
      <c r="E46" s="626" t="s">
        <v>71</v>
      </c>
      <c r="F46" s="627"/>
      <c r="G46" s="627"/>
      <c r="H46" s="627"/>
      <c r="I46" s="627"/>
      <c r="J46" s="625"/>
      <c r="K46" s="626" t="s">
        <v>72</v>
      </c>
      <c r="L46" s="627"/>
      <c r="M46" s="627"/>
      <c r="N46" s="627"/>
      <c r="O46" s="627"/>
      <c r="P46" s="625"/>
    </row>
    <row r="47" spans="2:16" ht="15" x14ac:dyDescent="0.2">
      <c r="B47" s="623" t="s">
        <v>70</v>
      </c>
      <c r="C47" s="624"/>
      <c r="D47" s="625"/>
      <c r="E47" s="626" t="s">
        <v>73</v>
      </c>
      <c r="F47" s="627"/>
      <c r="G47" s="627"/>
      <c r="H47" s="627"/>
      <c r="I47" s="627"/>
      <c r="J47" s="625"/>
      <c r="K47" s="626"/>
      <c r="L47" s="627"/>
      <c r="M47" s="627"/>
      <c r="N47" s="627"/>
      <c r="O47" s="627"/>
      <c r="P47" s="625"/>
    </row>
    <row r="48" spans="2:16" ht="15" x14ac:dyDescent="0.2">
      <c r="B48" s="623" t="s">
        <v>74</v>
      </c>
      <c r="C48" s="624"/>
      <c r="D48" s="625"/>
      <c r="E48" s="626" t="s">
        <v>75</v>
      </c>
      <c r="F48" s="627"/>
      <c r="G48" s="627"/>
      <c r="H48" s="627"/>
      <c r="I48" s="627"/>
      <c r="J48" s="625"/>
      <c r="K48" s="626" t="s">
        <v>76</v>
      </c>
      <c r="L48" s="627"/>
      <c r="M48" s="627"/>
      <c r="N48" s="627"/>
      <c r="O48" s="627"/>
      <c r="P48" s="625"/>
    </row>
    <row r="49" spans="2:16" ht="15" x14ac:dyDescent="0.2">
      <c r="B49" s="623" t="s">
        <v>77</v>
      </c>
      <c r="C49" s="624"/>
      <c r="D49" s="625"/>
      <c r="E49" s="626" t="s">
        <v>78</v>
      </c>
      <c r="F49" s="627"/>
      <c r="G49" s="627"/>
      <c r="H49" s="627"/>
      <c r="I49" s="627"/>
      <c r="J49" s="625"/>
      <c r="K49" s="626"/>
      <c r="L49" s="627"/>
      <c r="M49" s="627"/>
      <c r="N49" s="627"/>
      <c r="O49" s="627"/>
      <c r="P49" s="625"/>
    </row>
    <row r="50" spans="2:16" ht="15" x14ac:dyDescent="0.2">
      <c r="B50" s="623" t="s">
        <v>79</v>
      </c>
      <c r="C50" s="624"/>
      <c r="D50" s="625"/>
      <c r="E50" s="626" t="s">
        <v>80</v>
      </c>
      <c r="F50" s="627"/>
      <c r="G50" s="627"/>
      <c r="H50" s="627"/>
      <c r="I50" s="627"/>
      <c r="J50" s="625"/>
      <c r="K50" s="626"/>
      <c r="L50" s="627"/>
      <c r="M50" s="627"/>
      <c r="N50" s="627"/>
      <c r="O50" s="627"/>
      <c r="P50" s="625"/>
    </row>
    <row r="51" spans="2:16" ht="15" x14ac:dyDescent="0.2">
      <c r="B51" s="623" t="s">
        <v>81</v>
      </c>
      <c r="C51" s="624"/>
      <c r="D51" s="625"/>
      <c r="E51" s="626" t="s">
        <v>82</v>
      </c>
      <c r="F51" s="627"/>
      <c r="G51" s="627"/>
      <c r="H51" s="627"/>
      <c r="I51" s="627"/>
      <c r="J51" s="625"/>
      <c r="K51" s="626" t="s">
        <v>83</v>
      </c>
      <c r="L51" s="627"/>
      <c r="M51" s="627"/>
      <c r="N51" s="627"/>
      <c r="O51" s="627"/>
      <c r="P51" s="625"/>
    </row>
    <row r="52" spans="2:16" ht="15" x14ac:dyDescent="0.2">
      <c r="B52" s="623" t="s">
        <v>84</v>
      </c>
      <c r="C52" s="624"/>
      <c r="D52" s="625"/>
      <c r="E52" s="626" t="s">
        <v>85</v>
      </c>
      <c r="F52" s="627"/>
      <c r="G52" s="627"/>
      <c r="H52" s="627"/>
      <c r="I52" s="627"/>
      <c r="J52" s="625"/>
      <c r="K52" s="626"/>
      <c r="L52" s="627"/>
      <c r="M52" s="627"/>
      <c r="N52" s="627"/>
      <c r="O52" s="627"/>
      <c r="P52" s="625"/>
    </row>
    <row r="53" spans="2:16" ht="15" x14ac:dyDescent="0.2">
      <c r="B53" s="623" t="s">
        <v>86</v>
      </c>
      <c r="C53" s="624"/>
      <c r="D53" s="625"/>
      <c r="E53" s="626" t="s">
        <v>87</v>
      </c>
      <c r="F53" s="627"/>
      <c r="G53" s="627"/>
      <c r="H53" s="627"/>
      <c r="I53" s="627"/>
      <c r="J53" s="625"/>
      <c r="K53" s="626"/>
      <c r="L53" s="627"/>
      <c r="M53" s="627"/>
      <c r="N53" s="627"/>
      <c r="O53" s="627"/>
      <c r="P53" s="625"/>
    </row>
    <row r="54" spans="2:16" ht="15" x14ac:dyDescent="0.2">
      <c r="B54" s="623" t="s">
        <v>88</v>
      </c>
      <c r="C54" s="624"/>
      <c r="D54" s="625"/>
      <c r="E54" s="626" t="s">
        <v>89</v>
      </c>
      <c r="F54" s="627"/>
      <c r="G54" s="627"/>
      <c r="H54" s="627"/>
      <c r="I54" s="627"/>
      <c r="J54" s="625"/>
      <c r="K54" s="626"/>
      <c r="L54" s="627"/>
      <c r="M54" s="627"/>
      <c r="N54" s="627"/>
      <c r="O54" s="627"/>
      <c r="P54" s="625"/>
    </row>
    <row r="55" spans="2:16" ht="15" x14ac:dyDescent="0.2">
      <c r="B55" s="623" t="s">
        <v>90</v>
      </c>
      <c r="C55" s="624"/>
      <c r="D55" s="625"/>
      <c r="E55" s="626" t="s">
        <v>91</v>
      </c>
      <c r="F55" s="627"/>
      <c r="G55" s="627"/>
      <c r="H55" s="627"/>
      <c r="I55" s="627"/>
      <c r="J55" s="625"/>
      <c r="K55" s="626"/>
      <c r="L55" s="627"/>
      <c r="M55" s="627"/>
      <c r="N55" s="627"/>
      <c r="O55" s="627"/>
      <c r="P55" s="625"/>
    </row>
    <row r="56" spans="2:16" ht="15" x14ac:dyDescent="0.2">
      <c r="B56" s="623" t="s">
        <v>92</v>
      </c>
      <c r="C56" s="624"/>
      <c r="D56" s="625"/>
      <c r="E56" s="626" t="s">
        <v>93</v>
      </c>
      <c r="F56" s="627"/>
      <c r="G56" s="627"/>
      <c r="H56" s="627"/>
      <c r="I56" s="627"/>
      <c r="J56" s="625"/>
      <c r="K56" s="626"/>
      <c r="L56" s="627"/>
      <c r="M56" s="627"/>
      <c r="N56" s="627"/>
      <c r="O56" s="627"/>
      <c r="P56" s="625"/>
    </row>
    <row r="57" spans="2:16" ht="15" x14ac:dyDescent="0.2">
      <c r="B57" s="623" t="s">
        <v>94</v>
      </c>
      <c r="C57" s="624"/>
      <c r="D57" s="625"/>
      <c r="E57" s="626" t="s">
        <v>95</v>
      </c>
      <c r="F57" s="627"/>
      <c r="G57" s="627"/>
      <c r="H57" s="627"/>
      <c r="I57" s="627"/>
      <c r="J57" s="625"/>
      <c r="K57" s="626" t="s">
        <v>96</v>
      </c>
      <c r="L57" s="627"/>
      <c r="M57" s="627"/>
      <c r="N57" s="627"/>
      <c r="O57" s="627"/>
      <c r="P57" s="625"/>
    </row>
    <row r="58" spans="2:16" ht="15" x14ac:dyDescent="0.2">
      <c r="B58" s="623" t="s">
        <v>97</v>
      </c>
      <c r="C58" s="624"/>
      <c r="D58" s="625"/>
      <c r="E58" s="626" t="s">
        <v>98</v>
      </c>
      <c r="F58" s="627"/>
      <c r="G58" s="627"/>
      <c r="H58" s="627"/>
      <c r="I58" s="627"/>
      <c r="J58" s="625"/>
      <c r="K58" s="626"/>
      <c r="L58" s="627"/>
      <c r="M58" s="627"/>
      <c r="N58" s="627"/>
      <c r="O58" s="627"/>
      <c r="P58" s="625"/>
    </row>
    <row r="59" spans="2:16" ht="15" x14ac:dyDescent="0.2">
      <c r="B59" s="623" t="s">
        <v>99</v>
      </c>
      <c r="C59" s="624"/>
      <c r="D59" s="625"/>
      <c r="E59" s="626" t="s">
        <v>100</v>
      </c>
      <c r="F59" s="627"/>
      <c r="G59" s="627"/>
      <c r="H59" s="627"/>
      <c r="I59" s="627"/>
      <c r="J59" s="625"/>
      <c r="K59" s="626" t="s">
        <v>101</v>
      </c>
      <c r="L59" s="627"/>
      <c r="M59" s="627"/>
      <c r="N59" s="627"/>
      <c r="O59" s="627"/>
      <c r="P59" s="625"/>
    </row>
    <row r="60" spans="2:16" ht="15" x14ac:dyDescent="0.2">
      <c r="B60" s="623" t="s">
        <v>102</v>
      </c>
      <c r="C60" s="624"/>
      <c r="D60" s="625"/>
      <c r="E60" s="626" t="s">
        <v>103</v>
      </c>
      <c r="F60" s="627"/>
      <c r="G60" s="627"/>
      <c r="H60" s="627"/>
      <c r="I60" s="627"/>
      <c r="J60" s="625"/>
      <c r="K60" s="626"/>
      <c r="L60" s="627"/>
      <c r="M60" s="627"/>
      <c r="N60" s="627"/>
      <c r="O60" s="627"/>
      <c r="P60" s="625"/>
    </row>
    <row r="61" spans="2:16" ht="15" x14ac:dyDescent="0.2">
      <c r="B61" s="623" t="s">
        <v>104</v>
      </c>
      <c r="C61" s="624"/>
      <c r="D61" s="625"/>
      <c r="E61" s="626" t="s">
        <v>105</v>
      </c>
      <c r="F61" s="627"/>
      <c r="G61" s="627"/>
      <c r="H61" s="627"/>
      <c r="I61" s="627"/>
      <c r="J61" s="625"/>
      <c r="K61" s="626"/>
      <c r="L61" s="627"/>
      <c r="M61" s="627"/>
      <c r="N61" s="627"/>
      <c r="O61" s="627"/>
      <c r="P61" s="625"/>
    </row>
    <row r="62" spans="2:16" ht="15" x14ac:dyDescent="0.2">
      <c r="B62" s="623" t="s">
        <v>106</v>
      </c>
      <c r="C62" s="624"/>
      <c r="D62" s="625"/>
      <c r="E62" s="626" t="s">
        <v>107</v>
      </c>
      <c r="F62" s="627"/>
      <c r="G62" s="627"/>
      <c r="H62" s="627"/>
      <c r="I62" s="627"/>
      <c r="J62" s="625"/>
      <c r="K62" s="626" t="s">
        <v>108</v>
      </c>
      <c r="L62" s="627"/>
      <c r="M62" s="627"/>
      <c r="N62" s="627"/>
      <c r="O62" s="627"/>
      <c r="P62" s="625"/>
    </row>
    <row r="63" spans="2:16" ht="15" x14ac:dyDescent="0.2">
      <c r="B63" s="623" t="s">
        <v>109</v>
      </c>
      <c r="C63" s="624"/>
      <c r="D63" s="625"/>
      <c r="E63" s="626" t="s">
        <v>110</v>
      </c>
      <c r="F63" s="627"/>
      <c r="G63" s="627"/>
      <c r="H63" s="627"/>
      <c r="I63" s="627"/>
      <c r="J63" s="625"/>
      <c r="K63" s="626" t="s">
        <v>111</v>
      </c>
      <c r="L63" s="627"/>
      <c r="M63" s="627"/>
      <c r="N63" s="627"/>
      <c r="O63" s="627"/>
      <c r="P63" s="625"/>
    </row>
    <row r="64" spans="2:16" ht="15" x14ac:dyDescent="0.2">
      <c r="B64" s="623" t="s">
        <v>112</v>
      </c>
      <c r="C64" s="624"/>
      <c r="D64" s="625"/>
      <c r="E64" s="626" t="s">
        <v>113</v>
      </c>
      <c r="F64" s="627"/>
      <c r="G64" s="627"/>
      <c r="H64" s="627"/>
      <c r="I64" s="627"/>
      <c r="J64" s="625"/>
      <c r="K64" s="626" t="s">
        <v>114</v>
      </c>
      <c r="L64" s="627"/>
      <c r="M64" s="627"/>
      <c r="N64" s="627"/>
      <c r="O64" s="627"/>
      <c r="P64" s="625"/>
    </row>
    <row r="65" spans="2:16" ht="15" x14ac:dyDescent="0.2">
      <c r="B65" s="623" t="s">
        <v>115</v>
      </c>
      <c r="C65" s="624"/>
      <c r="D65" s="625"/>
      <c r="E65" s="626" t="s">
        <v>116</v>
      </c>
      <c r="F65" s="627"/>
      <c r="G65" s="627"/>
      <c r="H65" s="627"/>
      <c r="I65" s="627"/>
      <c r="J65" s="625"/>
      <c r="K65" s="626" t="s">
        <v>117</v>
      </c>
      <c r="L65" s="627"/>
      <c r="M65" s="627"/>
      <c r="N65" s="627"/>
      <c r="O65" s="627"/>
      <c r="P65" s="625"/>
    </row>
    <row r="66" spans="2:16" ht="15" x14ac:dyDescent="0.2">
      <c r="B66" s="623" t="s">
        <v>118</v>
      </c>
      <c r="C66" s="624"/>
      <c r="D66" s="625"/>
      <c r="E66" s="626" t="s">
        <v>119</v>
      </c>
      <c r="F66" s="627"/>
      <c r="G66" s="627"/>
      <c r="H66" s="627"/>
      <c r="I66" s="627"/>
      <c r="J66" s="625"/>
      <c r="K66" s="626"/>
      <c r="L66" s="627"/>
      <c r="M66" s="627"/>
      <c r="N66" s="627"/>
      <c r="O66" s="627"/>
      <c r="P66" s="625"/>
    </row>
    <row r="67" spans="2:16" ht="15" x14ac:dyDescent="0.2">
      <c r="B67" s="623" t="s">
        <v>120</v>
      </c>
      <c r="C67" s="624"/>
      <c r="D67" s="625"/>
      <c r="E67" s="626" t="s">
        <v>121</v>
      </c>
      <c r="F67" s="627"/>
      <c r="G67" s="627"/>
      <c r="H67" s="627"/>
      <c r="I67" s="627"/>
      <c r="J67" s="625"/>
      <c r="K67" s="626"/>
      <c r="L67" s="627"/>
      <c r="M67" s="627"/>
      <c r="N67" s="627"/>
      <c r="O67" s="627"/>
      <c r="P67" s="625"/>
    </row>
    <row r="68" spans="2:16" ht="15" x14ac:dyDescent="0.2">
      <c r="B68" s="623" t="s">
        <v>122</v>
      </c>
      <c r="C68" s="624"/>
      <c r="D68" s="625"/>
      <c r="E68" s="626" t="s">
        <v>123</v>
      </c>
      <c r="F68" s="627"/>
      <c r="G68" s="627"/>
      <c r="H68" s="627"/>
      <c r="I68" s="627"/>
      <c r="J68" s="625"/>
      <c r="K68" s="626"/>
      <c r="L68" s="627"/>
      <c r="M68" s="627"/>
      <c r="N68" s="627"/>
      <c r="O68" s="627"/>
      <c r="P68" s="625"/>
    </row>
    <row r="69" spans="2:16" ht="15" x14ac:dyDescent="0.2">
      <c r="B69" s="623" t="s">
        <v>124</v>
      </c>
      <c r="C69" s="624"/>
      <c r="D69" s="625"/>
      <c r="E69" s="626" t="s">
        <v>125</v>
      </c>
      <c r="F69" s="627"/>
      <c r="G69" s="627"/>
      <c r="H69" s="627"/>
      <c r="I69" s="627"/>
      <c r="J69" s="625"/>
      <c r="K69" s="626" t="s">
        <v>125</v>
      </c>
      <c r="L69" s="627"/>
      <c r="M69" s="627"/>
      <c r="N69" s="627"/>
      <c r="O69" s="627"/>
      <c r="P69" s="625"/>
    </row>
    <row r="70" spans="2:16" ht="15" x14ac:dyDescent="0.2">
      <c r="B70" s="623" t="s">
        <v>126</v>
      </c>
      <c r="C70" s="624"/>
      <c r="D70" s="625"/>
      <c r="E70" s="626" t="s">
        <v>127</v>
      </c>
      <c r="F70" s="627"/>
      <c r="G70" s="627"/>
      <c r="H70" s="627"/>
      <c r="I70" s="627"/>
      <c r="J70" s="625"/>
      <c r="K70" s="626"/>
      <c r="L70" s="627"/>
      <c r="M70" s="627"/>
      <c r="N70" s="627"/>
      <c r="O70" s="627"/>
      <c r="P70" s="625"/>
    </row>
    <row r="71" spans="2:16" ht="15" x14ac:dyDescent="0.2">
      <c r="B71" s="623" t="s">
        <v>128</v>
      </c>
      <c r="C71" s="624"/>
      <c r="D71" s="625"/>
      <c r="E71" s="626" t="s">
        <v>129</v>
      </c>
      <c r="F71" s="627"/>
      <c r="G71" s="627"/>
      <c r="H71" s="627"/>
      <c r="I71" s="627"/>
      <c r="J71" s="625"/>
      <c r="K71" s="626"/>
      <c r="L71" s="627"/>
      <c r="M71" s="627"/>
      <c r="N71" s="627"/>
      <c r="O71" s="627"/>
      <c r="P71" s="625"/>
    </row>
    <row r="72" spans="2:16" ht="15" x14ac:dyDescent="0.2">
      <c r="B72" s="623" t="s">
        <v>130</v>
      </c>
      <c r="C72" s="624"/>
      <c r="D72" s="625"/>
      <c r="E72" s="626" t="s">
        <v>131</v>
      </c>
      <c r="F72" s="627"/>
      <c r="G72" s="627"/>
      <c r="H72" s="627"/>
      <c r="I72" s="627"/>
      <c r="J72" s="625"/>
      <c r="K72" s="626"/>
      <c r="L72" s="627"/>
      <c r="M72" s="627"/>
      <c r="N72" s="627"/>
      <c r="O72" s="627"/>
      <c r="P72" s="625"/>
    </row>
    <row r="73" spans="2:16" ht="15" x14ac:dyDescent="0.2">
      <c r="B73" s="623" t="s">
        <v>132</v>
      </c>
      <c r="C73" s="624"/>
      <c r="D73" s="625"/>
      <c r="E73" s="626" t="s">
        <v>133</v>
      </c>
      <c r="F73" s="627"/>
      <c r="G73" s="627"/>
      <c r="H73" s="627"/>
      <c r="I73" s="627"/>
      <c r="J73" s="625"/>
      <c r="K73" s="626"/>
      <c r="L73" s="627"/>
      <c r="M73" s="627"/>
      <c r="N73" s="627"/>
      <c r="O73" s="627"/>
      <c r="P73" s="625"/>
    </row>
    <row r="74" spans="2:16" ht="15" x14ac:dyDescent="0.2">
      <c r="B74" s="623" t="s">
        <v>134</v>
      </c>
      <c r="C74" s="624"/>
      <c r="D74" s="625"/>
      <c r="E74" s="626" t="s">
        <v>135</v>
      </c>
      <c r="F74" s="627"/>
      <c r="G74" s="627"/>
      <c r="H74" s="627"/>
      <c r="I74" s="627"/>
      <c r="J74" s="625"/>
      <c r="K74" s="626"/>
      <c r="L74" s="627"/>
      <c r="M74" s="627"/>
      <c r="N74" s="627"/>
      <c r="O74" s="627"/>
      <c r="P74" s="625"/>
    </row>
    <row r="75" spans="2:16" ht="15" x14ac:dyDescent="0.2">
      <c r="B75" s="623" t="s">
        <v>136</v>
      </c>
      <c r="C75" s="624"/>
      <c r="D75" s="625"/>
      <c r="E75" s="626" t="s">
        <v>137</v>
      </c>
      <c r="F75" s="627"/>
      <c r="G75" s="627"/>
      <c r="H75" s="627"/>
      <c r="I75" s="627"/>
      <c r="J75" s="625"/>
      <c r="K75" s="626"/>
      <c r="L75" s="627"/>
      <c r="M75" s="627"/>
      <c r="N75" s="627"/>
      <c r="O75" s="627"/>
      <c r="P75" s="625"/>
    </row>
    <row r="76" spans="2:16" ht="15" x14ac:dyDescent="0.2">
      <c r="B76" s="623" t="s">
        <v>138</v>
      </c>
      <c r="C76" s="624"/>
      <c r="D76" s="625"/>
      <c r="E76" s="626" t="s">
        <v>139</v>
      </c>
      <c r="F76" s="627"/>
      <c r="G76" s="627"/>
      <c r="H76" s="627"/>
      <c r="I76" s="627"/>
      <c r="J76" s="625"/>
      <c r="K76" s="626" t="s">
        <v>140</v>
      </c>
      <c r="L76" s="627"/>
      <c r="M76" s="627"/>
      <c r="N76" s="627"/>
      <c r="O76" s="627"/>
      <c r="P76" s="625"/>
    </row>
    <row r="77" spans="2:16" ht="15" x14ac:dyDescent="0.2">
      <c r="B77" s="623" t="s">
        <v>141</v>
      </c>
      <c r="C77" s="624"/>
      <c r="D77" s="625"/>
      <c r="E77" s="626" t="s">
        <v>142</v>
      </c>
      <c r="F77" s="627"/>
      <c r="G77" s="627"/>
      <c r="H77" s="627"/>
      <c r="I77" s="627"/>
      <c r="J77" s="625"/>
      <c r="K77" s="626" t="s">
        <v>143</v>
      </c>
      <c r="L77" s="627"/>
      <c r="M77" s="627"/>
      <c r="N77" s="627"/>
      <c r="O77" s="627"/>
      <c r="P77" s="625"/>
    </row>
    <row r="78" spans="2:16" ht="15" x14ac:dyDescent="0.2">
      <c r="B78" s="623" t="s">
        <v>144</v>
      </c>
      <c r="C78" s="624"/>
      <c r="D78" s="625"/>
      <c r="E78" s="626" t="s">
        <v>145</v>
      </c>
      <c r="F78" s="627"/>
      <c r="G78" s="627"/>
      <c r="H78" s="627"/>
      <c r="I78" s="627"/>
      <c r="J78" s="625"/>
      <c r="K78" s="626" t="s">
        <v>146</v>
      </c>
      <c r="L78" s="627"/>
      <c r="M78" s="627"/>
      <c r="N78" s="627"/>
      <c r="O78" s="627"/>
      <c r="P78" s="625"/>
    </row>
    <row r="79" spans="2:16" ht="15" x14ac:dyDescent="0.2">
      <c r="B79" s="623" t="s">
        <v>147</v>
      </c>
      <c r="C79" s="624"/>
      <c r="D79" s="625"/>
      <c r="E79" s="626" t="s">
        <v>148</v>
      </c>
      <c r="F79" s="627"/>
      <c r="G79" s="627"/>
      <c r="H79" s="627"/>
      <c r="I79" s="627"/>
      <c r="J79" s="625"/>
      <c r="K79" s="626" t="s">
        <v>149</v>
      </c>
      <c r="L79" s="627"/>
      <c r="M79" s="627"/>
      <c r="N79" s="627"/>
      <c r="O79" s="627"/>
      <c r="P79" s="625"/>
    </row>
    <row r="80" spans="2:16" ht="15" x14ac:dyDescent="0.2">
      <c r="B80" s="623" t="s">
        <v>150</v>
      </c>
      <c r="C80" s="624"/>
      <c r="D80" s="625"/>
      <c r="E80" s="626" t="s">
        <v>151</v>
      </c>
      <c r="F80" s="627"/>
      <c r="G80" s="627"/>
      <c r="H80" s="627"/>
      <c r="I80" s="627"/>
      <c r="J80" s="625"/>
      <c r="K80" s="626" t="s">
        <v>152</v>
      </c>
      <c r="L80" s="627"/>
      <c r="M80" s="627"/>
      <c r="N80" s="627"/>
      <c r="O80" s="627"/>
      <c r="P80" s="625"/>
    </row>
    <row r="81" spans="2:16" ht="15" x14ac:dyDescent="0.2">
      <c r="B81" s="623" t="s">
        <v>153</v>
      </c>
      <c r="C81" s="624"/>
      <c r="D81" s="625"/>
      <c r="E81" s="626"/>
      <c r="F81" s="627"/>
      <c r="G81" s="627"/>
      <c r="H81" s="627"/>
      <c r="I81" s="627"/>
      <c r="J81" s="625"/>
      <c r="K81" s="626" t="s">
        <v>154</v>
      </c>
      <c r="L81" s="627"/>
      <c r="M81" s="627"/>
      <c r="N81" s="627"/>
      <c r="O81" s="627"/>
      <c r="P81" s="625"/>
    </row>
    <row r="82" spans="2:16" ht="15" x14ac:dyDescent="0.2">
      <c r="B82" s="623" t="s">
        <v>155</v>
      </c>
      <c r="C82" s="624"/>
      <c r="D82" s="625"/>
      <c r="E82" s="626" t="s">
        <v>156</v>
      </c>
      <c r="F82" s="627"/>
      <c r="G82" s="627"/>
      <c r="H82" s="627"/>
      <c r="I82" s="627"/>
      <c r="J82" s="625"/>
      <c r="K82" s="626"/>
      <c r="L82" s="627"/>
      <c r="M82" s="627"/>
      <c r="N82" s="627"/>
      <c r="O82" s="627"/>
      <c r="P82" s="625"/>
    </row>
    <row r="83" spans="2:16" ht="15" x14ac:dyDescent="0.2">
      <c r="B83" s="623" t="s">
        <v>157</v>
      </c>
      <c r="C83" s="624"/>
      <c r="D83" s="625"/>
      <c r="E83" s="626" t="s">
        <v>158</v>
      </c>
      <c r="F83" s="627"/>
      <c r="G83" s="627"/>
      <c r="H83" s="627"/>
      <c r="I83" s="627"/>
      <c r="J83" s="625"/>
      <c r="K83" s="626" t="s">
        <v>159</v>
      </c>
      <c r="L83" s="627"/>
      <c r="M83" s="627"/>
      <c r="N83" s="627"/>
      <c r="O83" s="627"/>
      <c r="P83" s="625"/>
    </row>
    <row r="84" spans="2:16" ht="15" x14ac:dyDescent="0.2">
      <c r="B84" s="623" t="s">
        <v>160</v>
      </c>
      <c r="C84" s="624"/>
      <c r="D84" s="625"/>
      <c r="E84" s="626"/>
      <c r="F84" s="627"/>
      <c r="G84" s="627"/>
      <c r="H84" s="627"/>
      <c r="I84" s="627"/>
      <c r="J84" s="625"/>
      <c r="K84" s="626" t="s">
        <v>161</v>
      </c>
      <c r="L84" s="627"/>
      <c r="M84" s="627"/>
      <c r="N84" s="627"/>
      <c r="O84" s="627"/>
      <c r="P84" s="625"/>
    </row>
    <row r="85" spans="2:16" ht="15" x14ac:dyDescent="0.2">
      <c r="B85" s="623" t="s">
        <v>162</v>
      </c>
      <c r="C85" s="624"/>
      <c r="D85" s="625"/>
      <c r="E85" s="626" t="s">
        <v>163</v>
      </c>
      <c r="F85" s="627"/>
      <c r="G85" s="627"/>
      <c r="H85" s="627"/>
      <c r="I85" s="627"/>
      <c r="J85" s="625"/>
      <c r="K85" s="626"/>
      <c r="L85" s="627"/>
      <c r="M85" s="627"/>
      <c r="N85" s="627"/>
      <c r="O85" s="627"/>
      <c r="P85" s="625"/>
    </row>
    <row r="86" spans="2:16" ht="15" x14ac:dyDescent="0.2">
      <c r="B86" s="623" t="s">
        <v>164</v>
      </c>
      <c r="C86" s="624"/>
      <c r="D86" s="625"/>
      <c r="E86" s="626" t="s">
        <v>165</v>
      </c>
      <c r="F86" s="627"/>
      <c r="G86" s="627"/>
      <c r="H86" s="627"/>
      <c r="I86" s="627"/>
      <c r="J86" s="625"/>
      <c r="K86" s="626"/>
      <c r="L86" s="627"/>
      <c r="M86" s="627"/>
      <c r="N86" s="627"/>
      <c r="O86" s="627"/>
      <c r="P86" s="625"/>
    </row>
    <row r="87" spans="2:16" ht="15" x14ac:dyDescent="0.2">
      <c r="B87" s="623" t="s">
        <v>166</v>
      </c>
      <c r="C87" s="624"/>
      <c r="D87" s="625"/>
      <c r="E87" s="626" t="s">
        <v>167</v>
      </c>
      <c r="F87" s="627"/>
      <c r="G87" s="627"/>
      <c r="H87" s="627"/>
      <c r="I87" s="627"/>
      <c r="J87" s="625"/>
      <c r="K87" s="626"/>
      <c r="L87" s="627"/>
      <c r="M87" s="627"/>
      <c r="N87" s="627"/>
      <c r="O87" s="627"/>
      <c r="P87" s="625"/>
    </row>
    <row r="88" spans="2:16" ht="15" x14ac:dyDescent="0.2">
      <c r="B88" s="623" t="s">
        <v>168</v>
      </c>
      <c r="C88" s="624"/>
      <c r="D88" s="625"/>
      <c r="E88" s="626" t="s">
        <v>169</v>
      </c>
      <c r="F88" s="627"/>
      <c r="G88" s="627"/>
      <c r="H88" s="627"/>
      <c r="I88" s="627"/>
      <c r="J88" s="625"/>
      <c r="K88" s="626"/>
      <c r="L88" s="627"/>
      <c r="M88" s="627"/>
      <c r="N88" s="627"/>
      <c r="O88" s="627"/>
      <c r="P88" s="625"/>
    </row>
    <row r="89" spans="2:16" ht="15" x14ac:dyDescent="0.2">
      <c r="B89" s="623" t="s">
        <v>170</v>
      </c>
      <c r="C89" s="624"/>
      <c r="D89" s="625"/>
      <c r="E89" s="626" t="s">
        <v>171</v>
      </c>
      <c r="F89" s="627"/>
      <c r="G89" s="627"/>
      <c r="H89" s="627"/>
      <c r="I89" s="627"/>
      <c r="J89" s="625"/>
      <c r="K89" s="626"/>
      <c r="L89" s="627"/>
      <c r="M89" s="627"/>
      <c r="N89" s="627"/>
      <c r="O89" s="627"/>
      <c r="P89" s="625"/>
    </row>
    <row r="90" spans="2:16" ht="15" x14ac:dyDescent="0.2">
      <c r="B90" s="623" t="s">
        <v>172</v>
      </c>
      <c r="C90" s="624"/>
      <c r="D90" s="625"/>
      <c r="E90" s="626" t="s">
        <v>173</v>
      </c>
      <c r="F90" s="627"/>
      <c r="G90" s="627"/>
      <c r="H90" s="627"/>
      <c r="I90" s="627"/>
      <c r="J90" s="625"/>
      <c r="K90" s="626" t="s">
        <v>174</v>
      </c>
      <c r="L90" s="627"/>
      <c r="M90" s="627"/>
      <c r="N90" s="627"/>
      <c r="O90" s="627"/>
      <c r="P90" s="625"/>
    </row>
    <row r="91" spans="2:16" ht="15" x14ac:dyDescent="0.2">
      <c r="B91" s="623" t="s">
        <v>175</v>
      </c>
      <c r="C91" s="624"/>
      <c r="D91" s="625"/>
      <c r="E91" s="626" t="s">
        <v>176</v>
      </c>
      <c r="F91" s="627"/>
      <c r="G91" s="627"/>
      <c r="H91" s="627"/>
      <c r="I91" s="627"/>
      <c r="J91" s="625"/>
      <c r="K91" s="626" t="s">
        <v>177</v>
      </c>
      <c r="L91" s="627"/>
      <c r="M91" s="627"/>
      <c r="N91" s="627"/>
      <c r="O91" s="627"/>
      <c r="P91" s="625"/>
    </row>
    <row r="92" spans="2:16" ht="15" x14ac:dyDescent="0.2">
      <c r="B92" s="623" t="s">
        <v>178</v>
      </c>
      <c r="C92" s="624"/>
      <c r="D92" s="625"/>
      <c r="E92" s="626" t="s">
        <v>179</v>
      </c>
      <c r="F92" s="627"/>
      <c r="G92" s="627"/>
      <c r="H92" s="627"/>
      <c r="I92" s="627"/>
      <c r="J92" s="625"/>
      <c r="K92" s="626"/>
      <c r="L92" s="627"/>
      <c r="M92" s="627"/>
      <c r="N92" s="627"/>
      <c r="O92" s="627"/>
      <c r="P92" s="625"/>
    </row>
    <row r="93" spans="2:16" ht="15" x14ac:dyDescent="0.2">
      <c r="B93" s="623" t="s">
        <v>180</v>
      </c>
      <c r="C93" s="624"/>
      <c r="D93" s="625"/>
      <c r="E93" s="626" t="s">
        <v>181</v>
      </c>
      <c r="F93" s="627"/>
      <c r="G93" s="627"/>
      <c r="H93" s="627"/>
      <c r="I93" s="627"/>
      <c r="J93" s="625"/>
      <c r="K93" s="626" t="s">
        <v>182</v>
      </c>
      <c r="L93" s="627"/>
      <c r="M93" s="627"/>
      <c r="N93" s="627"/>
      <c r="O93" s="627"/>
      <c r="P93" s="625"/>
    </row>
    <row r="94" spans="2:16" ht="15" x14ac:dyDescent="0.2">
      <c r="B94" s="623" t="s">
        <v>183</v>
      </c>
      <c r="C94" s="624"/>
      <c r="D94" s="625"/>
      <c r="E94" s="626" t="s">
        <v>184</v>
      </c>
      <c r="F94" s="627"/>
      <c r="G94" s="627"/>
      <c r="H94" s="627"/>
      <c r="I94" s="627"/>
      <c r="J94" s="625"/>
      <c r="K94" s="626" t="s">
        <v>185</v>
      </c>
      <c r="L94" s="627"/>
      <c r="M94" s="627"/>
      <c r="N94" s="627"/>
      <c r="O94" s="627"/>
      <c r="P94" s="625"/>
    </row>
    <row r="95" spans="2:16" ht="15" x14ac:dyDescent="0.2">
      <c r="B95" s="623" t="s">
        <v>186</v>
      </c>
      <c r="C95" s="624"/>
      <c r="D95" s="625"/>
      <c r="E95" s="626" t="s">
        <v>187</v>
      </c>
      <c r="F95" s="627"/>
      <c r="G95" s="627"/>
      <c r="H95" s="627"/>
      <c r="I95" s="627"/>
      <c r="J95" s="625"/>
      <c r="K95" s="626" t="s">
        <v>188</v>
      </c>
      <c r="L95" s="627"/>
      <c r="M95" s="627"/>
      <c r="N95" s="627"/>
      <c r="O95" s="627"/>
      <c r="P95" s="625"/>
    </row>
    <row r="96" spans="2:16" ht="15" x14ac:dyDescent="0.2">
      <c r="B96" s="623" t="s">
        <v>189</v>
      </c>
      <c r="C96" s="624"/>
      <c r="D96" s="625"/>
      <c r="E96" s="626" t="s">
        <v>190</v>
      </c>
      <c r="F96" s="627"/>
      <c r="G96" s="627"/>
      <c r="H96" s="627"/>
      <c r="I96" s="627"/>
      <c r="J96" s="625"/>
      <c r="K96" s="626" t="s">
        <v>191</v>
      </c>
      <c r="L96" s="627"/>
      <c r="M96" s="627"/>
      <c r="N96" s="627"/>
      <c r="O96" s="627"/>
      <c r="P96" s="625"/>
    </row>
    <row r="97" spans="2:16" ht="15" x14ac:dyDescent="0.2">
      <c r="B97" s="623" t="s">
        <v>192</v>
      </c>
      <c r="C97" s="624"/>
      <c r="D97" s="625"/>
      <c r="E97" s="626" t="s">
        <v>193</v>
      </c>
      <c r="F97" s="627"/>
      <c r="G97" s="627"/>
      <c r="H97" s="627"/>
      <c r="I97" s="627"/>
      <c r="J97" s="625"/>
      <c r="K97" s="626" t="s">
        <v>194</v>
      </c>
      <c r="L97" s="627"/>
      <c r="M97" s="627"/>
      <c r="N97" s="627"/>
      <c r="O97" s="627"/>
      <c r="P97" s="625"/>
    </row>
    <row r="98" spans="2:16" ht="15" x14ac:dyDescent="0.2">
      <c r="B98" s="623" t="s">
        <v>195</v>
      </c>
      <c r="C98" s="624"/>
      <c r="D98" s="625"/>
      <c r="E98" s="626" t="s">
        <v>196</v>
      </c>
      <c r="F98" s="627"/>
      <c r="G98" s="627"/>
      <c r="H98" s="627"/>
      <c r="I98" s="627"/>
      <c r="J98" s="625"/>
      <c r="K98" s="626" t="s">
        <v>197</v>
      </c>
      <c r="L98" s="627"/>
      <c r="M98" s="627"/>
      <c r="N98" s="627"/>
      <c r="O98" s="627"/>
      <c r="P98" s="625"/>
    </row>
    <row r="99" spans="2:16" ht="15" x14ac:dyDescent="0.2">
      <c r="B99" s="623" t="s">
        <v>198</v>
      </c>
      <c r="C99" s="624"/>
      <c r="D99" s="625"/>
      <c r="E99" s="626" t="s">
        <v>199</v>
      </c>
      <c r="F99" s="627"/>
      <c r="G99" s="627"/>
      <c r="H99" s="627"/>
      <c r="I99" s="627"/>
      <c r="J99" s="625"/>
      <c r="K99" s="626" t="s">
        <v>200</v>
      </c>
      <c r="L99" s="627"/>
      <c r="M99" s="627"/>
      <c r="N99" s="627"/>
      <c r="O99" s="627"/>
      <c r="P99" s="625"/>
    </row>
    <row r="100" spans="2:16" ht="15" x14ac:dyDescent="0.2">
      <c r="B100" s="623" t="s">
        <v>201</v>
      </c>
      <c r="C100" s="624"/>
      <c r="D100" s="625"/>
      <c r="E100" s="626" t="s">
        <v>202</v>
      </c>
      <c r="F100" s="627"/>
      <c r="G100" s="627"/>
      <c r="H100" s="627"/>
      <c r="I100" s="627"/>
      <c r="J100" s="625"/>
      <c r="K100" s="626" t="s">
        <v>203</v>
      </c>
      <c r="L100" s="627"/>
      <c r="M100" s="627"/>
      <c r="N100" s="627"/>
      <c r="O100" s="627"/>
      <c r="P100" s="625"/>
    </row>
    <row r="101" spans="2:16" ht="15" x14ac:dyDescent="0.2">
      <c r="B101" s="623" t="s">
        <v>204</v>
      </c>
      <c r="C101" s="624"/>
      <c r="D101" s="625"/>
      <c r="E101" s="626" t="s">
        <v>205</v>
      </c>
      <c r="F101" s="627"/>
      <c r="G101" s="627"/>
      <c r="H101" s="627"/>
      <c r="I101" s="627"/>
      <c r="J101" s="625"/>
      <c r="K101" s="626" t="s">
        <v>206</v>
      </c>
      <c r="L101" s="627"/>
      <c r="M101" s="627"/>
      <c r="N101" s="627"/>
      <c r="O101" s="627"/>
      <c r="P101" s="625"/>
    </row>
    <row r="102" spans="2:16" ht="15" x14ac:dyDescent="0.2">
      <c r="B102" s="623" t="s">
        <v>207</v>
      </c>
      <c r="C102" s="624"/>
      <c r="D102" s="625"/>
      <c r="E102" s="626" t="s">
        <v>208</v>
      </c>
      <c r="F102" s="627"/>
      <c r="G102" s="627"/>
      <c r="H102" s="627"/>
      <c r="I102" s="627"/>
      <c r="J102" s="625"/>
      <c r="K102" s="626" t="s">
        <v>209</v>
      </c>
      <c r="L102" s="627"/>
      <c r="M102" s="627"/>
      <c r="N102" s="627"/>
      <c r="O102" s="627"/>
      <c r="P102" s="625"/>
    </row>
    <row r="103" spans="2:16" ht="15" x14ac:dyDescent="0.2">
      <c r="B103" s="623" t="s">
        <v>210</v>
      </c>
      <c r="C103" s="624"/>
      <c r="D103" s="625"/>
      <c r="E103" s="626" t="s">
        <v>211</v>
      </c>
      <c r="F103" s="627"/>
      <c r="G103" s="627"/>
      <c r="H103" s="627"/>
      <c r="I103" s="627"/>
      <c r="J103" s="625"/>
      <c r="K103" s="626" t="s">
        <v>212</v>
      </c>
      <c r="L103" s="627"/>
      <c r="M103" s="627"/>
      <c r="N103" s="627"/>
      <c r="O103" s="627"/>
      <c r="P103" s="625"/>
    </row>
    <row r="104" spans="2:16" ht="15" x14ac:dyDescent="0.2">
      <c r="B104" s="623" t="s">
        <v>213</v>
      </c>
      <c r="C104" s="624"/>
      <c r="D104" s="625"/>
      <c r="E104" s="626" t="s">
        <v>214</v>
      </c>
      <c r="F104" s="627"/>
      <c r="G104" s="627"/>
      <c r="H104" s="627"/>
      <c r="I104" s="627"/>
      <c r="J104" s="625"/>
      <c r="K104" s="626"/>
      <c r="L104" s="627"/>
      <c r="M104" s="627"/>
      <c r="N104" s="627"/>
      <c r="O104" s="627"/>
      <c r="P104" s="625"/>
    </row>
    <row r="105" spans="2:16" ht="15" x14ac:dyDescent="0.2">
      <c r="B105" s="623" t="s">
        <v>215</v>
      </c>
      <c r="C105" s="624"/>
      <c r="D105" s="625"/>
      <c r="E105" s="626" t="s">
        <v>216</v>
      </c>
      <c r="F105" s="627"/>
      <c r="G105" s="627"/>
      <c r="H105" s="627"/>
      <c r="I105" s="627"/>
      <c r="J105" s="625"/>
      <c r="K105" s="626" t="s">
        <v>217</v>
      </c>
      <c r="L105" s="627"/>
      <c r="M105" s="627"/>
      <c r="N105" s="627"/>
      <c r="O105" s="627"/>
      <c r="P105" s="625"/>
    </row>
    <row r="106" spans="2:16" ht="15" x14ac:dyDescent="0.2">
      <c r="B106" s="623" t="s">
        <v>218</v>
      </c>
      <c r="C106" s="624"/>
      <c r="D106" s="625"/>
      <c r="E106" s="626" t="s">
        <v>219</v>
      </c>
      <c r="F106" s="627"/>
      <c r="G106" s="627"/>
      <c r="H106" s="627"/>
      <c r="I106" s="627"/>
      <c r="J106" s="625"/>
      <c r="K106" s="626" t="s">
        <v>220</v>
      </c>
      <c r="L106" s="627"/>
      <c r="M106" s="627"/>
      <c r="N106" s="627"/>
      <c r="O106" s="627"/>
      <c r="P106" s="625"/>
    </row>
    <row r="107" spans="2:16" ht="15" x14ac:dyDescent="0.2">
      <c r="B107" s="623" t="s">
        <v>221</v>
      </c>
      <c r="C107" s="624"/>
      <c r="D107" s="625"/>
      <c r="E107" s="626" t="s">
        <v>222</v>
      </c>
      <c r="F107" s="627"/>
      <c r="G107" s="627"/>
      <c r="H107" s="627"/>
      <c r="I107" s="627"/>
      <c r="J107" s="625"/>
      <c r="K107" s="626" t="s">
        <v>223</v>
      </c>
      <c r="L107" s="627"/>
      <c r="M107" s="627"/>
      <c r="N107" s="627"/>
      <c r="O107" s="627"/>
      <c r="P107" s="625"/>
    </row>
    <row r="108" spans="2:16" ht="15" x14ac:dyDescent="0.2">
      <c r="B108" s="623" t="s">
        <v>224</v>
      </c>
      <c r="C108" s="624"/>
      <c r="D108" s="625"/>
      <c r="E108" s="626" t="s">
        <v>225</v>
      </c>
      <c r="F108" s="627"/>
      <c r="G108" s="627"/>
      <c r="H108" s="627"/>
      <c r="I108" s="627"/>
      <c r="J108" s="625"/>
      <c r="K108" s="626" t="s">
        <v>226</v>
      </c>
      <c r="L108" s="627"/>
      <c r="M108" s="627"/>
      <c r="N108" s="627"/>
      <c r="O108" s="627"/>
      <c r="P108" s="625"/>
    </row>
    <row r="109" spans="2:16" ht="15" x14ac:dyDescent="0.2">
      <c r="B109" s="623" t="s">
        <v>227</v>
      </c>
      <c r="C109" s="624"/>
      <c r="D109" s="625"/>
      <c r="E109" s="626" t="s">
        <v>228</v>
      </c>
      <c r="F109" s="627"/>
      <c r="G109" s="627"/>
      <c r="H109" s="627"/>
      <c r="I109" s="627"/>
      <c r="J109" s="625"/>
      <c r="K109" s="626" t="s">
        <v>229</v>
      </c>
      <c r="L109" s="627"/>
      <c r="M109" s="627"/>
      <c r="N109" s="627"/>
      <c r="O109" s="627"/>
      <c r="P109" s="625"/>
    </row>
    <row r="110" spans="2:16" ht="15" x14ac:dyDescent="0.2">
      <c r="B110" s="623" t="s">
        <v>230</v>
      </c>
      <c r="C110" s="624"/>
      <c r="D110" s="625"/>
      <c r="E110" s="626" t="s">
        <v>231</v>
      </c>
      <c r="F110" s="627"/>
      <c r="G110" s="627"/>
      <c r="H110" s="627"/>
      <c r="I110" s="627"/>
      <c r="J110" s="625"/>
      <c r="K110" s="626"/>
      <c r="L110" s="627"/>
      <c r="M110" s="627"/>
      <c r="N110" s="627"/>
      <c r="O110" s="627"/>
      <c r="P110" s="625"/>
    </row>
    <row r="111" spans="2:16" ht="15" x14ac:dyDescent="0.2">
      <c r="B111" s="623" t="s">
        <v>232</v>
      </c>
      <c r="C111" s="624"/>
      <c r="D111" s="625"/>
      <c r="E111" s="626" t="s">
        <v>233</v>
      </c>
      <c r="F111" s="627"/>
      <c r="G111" s="627"/>
      <c r="H111" s="627"/>
      <c r="I111" s="627"/>
      <c r="J111" s="625"/>
      <c r="K111" s="626" t="s">
        <v>234</v>
      </c>
      <c r="L111" s="627"/>
      <c r="M111" s="627"/>
      <c r="N111" s="627"/>
      <c r="O111" s="627"/>
      <c r="P111" s="625"/>
    </row>
    <row r="112" spans="2:16" ht="15" x14ac:dyDescent="0.2">
      <c r="B112" s="623" t="s">
        <v>235</v>
      </c>
      <c r="C112" s="624"/>
      <c r="D112" s="625"/>
      <c r="E112" s="626" t="s">
        <v>236</v>
      </c>
      <c r="F112" s="627"/>
      <c r="G112" s="627"/>
      <c r="H112" s="627"/>
      <c r="I112" s="627"/>
      <c r="J112" s="625"/>
      <c r="K112" s="626"/>
      <c r="L112" s="627"/>
      <c r="M112" s="627"/>
      <c r="N112" s="627"/>
      <c r="O112" s="627"/>
      <c r="P112" s="625"/>
    </row>
    <row r="113" spans="2:16" ht="15" x14ac:dyDescent="0.2">
      <c r="B113" s="623" t="s">
        <v>237</v>
      </c>
      <c r="C113" s="624"/>
      <c r="D113" s="625"/>
      <c r="E113" s="626" t="s">
        <v>238</v>
      </c>
      <c r="F113" s="627"/>
      <c r="G113" s="627"/>
      <c r="H113" s="627"/>
      <c r="I113" s="627"/>
      <c r="J113" s="625"/>
      <c r="K113" s="626" t="s">
        <v>239</v>
      </c>
      <c r="L113" s="627"/>
      <c r="M113" s="627"/>
      <c r="N113" s="627"/>
      <c r="O113" s="627"/>
      <c r="P113" s="625"/>
    </row>
    <row r="114" spans="2:16" ht="15" x14ac:dyDescent="0.2">
      <c r="B114" s="623" t="s">
        <v>240</v>
      </c>
      <c r="C114" s="624"/>
      <c r="D114" s="625"/>
      <c r="E114" s="626" t="s">
        <v>241</v>
      </c>
      <c r="F114" s="627"/>
      <c r="G114" s="627"/>
      <c r="H114" s="627"/>
      <c r="I114" s="627"/>
      <c r="J114" s="625"/>
      <c r="K114" s="626" t="s">
        <v>242</v>
      </c>
      <c r="L114" s="627"/>
      <c r="M114" s="627"/>
      <c r="N114" s="627"/>
      <c r="O114" s="627"/>
      <c r="P114" s="625"/>
    </row>
    <row r="115" spans="2:16" ht="15" x14ac:dyDescent="0.2">
      <c r="B115" s="623" t="s">
        <v>243</v>
      </c>
      <c r="C115" s="624"/>
      <c r="D115" s="625"/>
      <c r="E115" s="626" t="s">
        <v>244</v>
      </c>
      <c r="F115" s="627"/>
      <c r="G115" s="627"/>
      <c r="H115" s="627"/>
      <c r="I115" s="627"/>
      <c r="J115" s="625"/>
      <c r="K115" s="626" t="s">
        <v>245</v>
      </c>
      <c r="L115" s="627"/>
      <c r="M115" s="627"/>
      <c r="N115" s="627"/>
      <c r="O115" s="627"/>
      <c r="P115" s="625"/>
    </row>
    <row r="116" spans="2:16" ht="15" x14ac:dyDescent="0.2">
      <c r="B116" s="623" t="s">
        <v>246</v>
      </c>
      <c r="C116" s="624"/>
      <c r="D116" s="625"/>
      <c r="E116" s="626" t="s">
        <v>247</v>
      </c>
      <c r="F116" s="627"/>
      <c r="G116" s="627"/>
      <c r="H116" s="627"/>
      <c r="I116" s="627"/>
      <c r="J116" s="625"/>
      <c r="K116" s="626" t="s">
        <v>248</v>
      </c>
      <c r="L116" s="627"/>
      <c r="M116" s="627"/>
      <c r="N116" s="627"/>
      <c r="O116" s="627"/>
      <c r="P116" s="625"/>
    </row>
    <row r="117" spans="2:16" ht="15" x14ac:dyDescent="0.2">
      <c r="B117" s="623" t="s">
        <v>246</v>
      </c>
      <c r="C117" s="624"/>
      <c r="D117" s="625"/>
      <c r="E117" s="626" t="s">
        <v>249</v>
      </c>
      <c r="F117" s="627"/>
      <c r="G117" s="627"/>
      <c r="H117" s="627"/>
      <c r="I117" s="627"/>
      <c r="J117" s="625"/>
      <c r="K117" s="626" t="s">
        <v>250</v>
      </c>
      <c r="L117" s="627"/>
      <c r="M117" s="627"/>
      <c r="N117" s="627"/>
      <c r="O117" s="627"/>
      <c r="P117" s="625"/>
    </row>
    <row r="118" spans="2:16" ht="15" x14ac:dyDescent="0.2">
      <c r="B118" s="623" t="s">
        <v>251</v>
      </c>
      <c r="C118" s="624"/>
      <c r="D118" s="625"/>
      <c r="E118" s="626" t="s">
        <v>252</v>
      </c>
      <c r="F118" s="627"/>
      <c r="G118" s="627"/>
      <c r="H118" s="627"/>
      <c r="I118" s="627"/>
      <c r="J118" s="625"/>
      <c r="K118" s="626" t="s">
        <v>253</v>
      </c>
      <c r="L118" s="627"/>
      <c r="M118" s="627"/>
      <c r="N118" s="627"/>
      <c r="O118" s="627"/>
      <c r="P118" s="625"/>
    </row>
    <row r="119" spans="2:16" ht="15" x14ac:dyDescent="0.2">
      <c r="B119" s="623" t="s">
        <v>254</v>
      </c>
      <c r="C119" s="624"/>
      <c r="D119" s="625"/>
      <c r="E119" s="626" t="s">
        <v>255</v>
      </c>
      <c r="F119" s="627"/>
      <c r="G119" s="627"/>
      <c r="H119" s="627"/>
      <c r="I119" s="627"/>
      <c r="J119" s="625"/>
      <c r="K119" s="626"/>
      <c r="L119" s="627"/>
      <c r="M119" s="627"/>
      <c r="N119" s="627"/>
      <c r="O119" s="627"/>
      <c r="P119" s="625"/>
    </row>
    <row r="120" spans="2:16" ht="15" x14ac:dyDescent="0.2">
      <c r="B120" s="623" t="s">
        <v>256</v>
      </c>
      <c r="C120" s="624"/>
      <c r="D120" s="625"/>
      <c r="E120" s="626" t="s">
        <v>257</v>
      </c>
      <c r="F120" s="627"/>
      <c r="G120" s="627"/>
      <c r="H120" s="627"/>
      <c r="I120" s="627"/>
      <c r="J120" s="625"/>
      <c r="K120" s="626"/>
      <c r="L120" s="627"/>
      <c r="M120" s="627"/>
      <c r="N120" s="627"/>
      <c r="O120" s="627"/>
      <c r="P120" s="625"/>
    </row>
    <row r="121" spans="2:16" ht="15" x14ac:dyDescent="0.2">
      <c r="B121" s="623" t="s">
        <v>258</v>
      </c>
      <c r="C121" s="624"/>
      <c r="D121" s="625"/>
      <c r="E121" s="626" t="s">
        <v>259</v>
      </c>
      <c r="F121" s="627"/>
      <c r="G121" s="627"/>
      <c r="H121" s="627"/>
      <c r="I121" s="627"/>
      <c r="J121" s="625"/>
      <c r="K121" s="626"/>
      <c r="L121" s="627"/>
      <c r="M121" s="627"/>
      <c r="N121" s="627"/>
      <c r="O121" s="627"/>
      <c r="P121" s="625"/>
    </row>
    <row r="122" spans="2:16" ht="15" x14ac:dyDescent="0.2">
      <c r="B122" s="623" t="s">
        <v>260</v>
      </c>
      <c r="C122" s="624"/>
      <c r="D122" s="625"/>
      <c r="E122" s="626" t="s">
        <v>261</v>
      </c>
      <c r="F122" s="627"/>
      <c r="G122" s="627"/>
      <c r="H122" s="627"/>
      <c r="I122" s="627"/>
      <c r="J122" s="625"/>
      <c r="K122" s="626" t="s">
        <v>262</v>
      </c>
      <c r="L122" s="627"/>
      <c r="M122" s="627"/>
      <c r="N122" s="627"/>
      <c r="O122" s="627"/>
      <c r="P122" s="625"/>
    </row>
    <row r="123" spans="2:16" ht="15" x14ac:dyDescent="0.2">
      <c r="B123" s="623" t="s">
        <v>263</v>
      </c>
      <c r="C123" s="624"/>
      <c r="D123" s="625"/>
      <c r="E123" s="626" t="s">
        <v>264</v>
      </c>
      <c r="F123" s="627"/>
      <c r="G123" s="627"/>
      <c r="H123" s="627"/>
      <c r="I123" s="627"/>
      <c r="J123" s="625"/>
      <c r="K123" s="626" t="s">
        <v>265</v>
      </c>
      <c r="L123" s="627"/>
      <c r="M123" s="627"/>
      <c r="N123" s="627"/>
      <c r="O123" s="627"/>
      <c r="P123" s="625"/>
    </row>
    <row r="124" spans="2:16" ht="15" x14ac:dyDescent="0.2">
      <c r="B124" s="623" t="s">
        <v>266</v>
      </c>
      <c r="C124" s="624"/>
      <c r="D124" s="625"/>
      <c r="E124" s="626" t="s">
        <v>267</v>
      </c>
      <c r="F124" s="627"/>
      <c r="G124" s="627"/>
      <c r="H124" s="627"/>
      <c r="I124" s="627"/>
      <c r="J124" s="625"/>
      <c r="K124" s="626"/>
      <c r="L124" s="627"/>
      <c r="M124" s="627"/>
      <c r="N124" s="627"/>
      <c r="O124" s="627"/>
      <c r="P124" s="625"/>
    </row>
    <row r="125" spans="2:16" ht="15" x14ac:dyDescent="0.2">
      <c r="B125" s="623" t="s">
        <v>268</v>
      </c>
      <c r="C125" s="624"/>
      <c r="D125" s="625"/>
      <c r="E125" s="626" t="s">
        <v>269</v>
      </c>
      <c r="F125" s="627"/>
      <c r="G125" s="627"/>
      <c r="H125" s="627"/>
      <c r="I125" s="627"/>
      <c r="J125" s="625"/>
      <c r="K125" s="626" t="s">
        <v>270</v>
      </c>
      <c r="L125" s="627"/>
      <c r="M125" s="627"/>
      <c r="N125" s="627"/>
      <c r="O125" s="627"/>
      <c r="P125" s="625"/>
    </row>
    <row r="126" spans="2:16" ht="15" x14ac:dyDescent="0.2">
      <c r="B126" s="623" t="s">
        <v>271</v>
      </c>
      <c r="C126" s="624"/>
      <c r="D126" s="625"/>
      <c r="E126" s="626" t="s">
        <v>272</v>
      </c>
      <c r="F126" s="627"/>
      <c r="G126" s="627"/>
      <c r="H126" s="627"/>
      <c r="I126" s="627"/>
      <c r="J126" s="625"/>
      <c r="K126" s="626"/>
      <c r="L126" s="627"/>
      <c r="M126" s="627"/>
      <c r="N126" s="627"/>
      <c r="O126" s="627"/>
      <c r="P126" s="625"/>
    </row>
    <row r="127" spans="2:16" ht="15" x14ac:dyDescent="0.2">
      <c r="B127" s="623" t="s">
        <v>273</v>
      </c>
      <c r="C127" s="624"/>
      <c r="D127" s="625"/>
      <c r="E127" s="626" t="s">
        <v>274</v>
      </c>
      <c r="F127" s="627"/>
      <c r="G127" s="627"/>
      <c r="H127" s="627"/>
      <c r="I127" s="627"/>
      <c r="J127" s="625"/>
      <c r="K127" s="626" t="s">
        <v>275</v>
      </c>
      <c r="L127" s="627"/>
      <c r="M127" s="627"/>
      <c r="N127" s="627"/>
      <c r="O127" s="627"/>
      <c r="P127" s="625"/>
    </row>
    <row r="128" spans="2:16" ht="15" x14ac:dyDescent="0.2">
      <c r="B128" s="623" t="s">
        <v>276</v>
      </c>
      <c r="C128" s="624"/>
      <c r="D128" s="625"/>
      <c r="E128" s="626" t="s">
        <v>277</v>
      </c>
      <c r="F128" s="627"/>
      <c r="G128" s="627"/>
      <c r="H128" s="627"/>
      <c r="I128" s="627"/>
      <c r="J128" s="625"/>
      <c r="K128" s="626"/>
      <c r="L128" s="627"/>
      <c r="M128" s="627"/>
      <c r="N128" s="627"/>
      <c r="O128" s="627"/>
      <c r="P128" s="625"/>
    </row>
    <row r="129" spans="2:16" ht="15" x14ac:dyDescent="0.2">
      <c r="B129" s="623" t="s">
        <v>278</v>
      </c>
      <c r="C129" s="624"/>
      <c r="D129" s="625"/>
      <c r="E129" s="626" t="s">
        <v>279</v>
      </c>
      <c r="F129" s="627"/>
      <c r="G129" s="627"/>
      <c r="H129" s="627"/>
      <c r="I129" s="627"/>
      <c r="J129" s="625"/>
      <c r="K129" s="626"/>
      <c r="L129" s="627"/>
      <c r="M129" s="627"/>
      <c r="N129" s="627"/>
      <c r="O129" s="627"/>
      <c r="P129" s="625"/>
    </row>
    <row r="130" spans="2:16" ht="15" x14ac:dyDescent="0.2">
      <c r="B130" s="623" t="s">
        <v>280</v>
      </c>
      <c r="C130" s="624"/>
      <c r="D130" s="625"/>
      <c r="E130" s="626" t="s">
        <v>281</v>
      </c>
      <c r="F130" s="627"/>
      <c r="G130" s="627"/>
      <c r="H130" s="627"/>
      <c r="I130" s="627"/>
      <c r="J130" s="625"/>
      <c r="K130" s="626" t="s">
        <v>282</v>
      </c>
      <c r="L130" s="627"/>
      <c r="M130" s="627"/>
      <c r="N130" s="627"/>
      <c r="O130" s="627"/>
      <c r="P130" s="625"/>
    </row>
    <row r="131" spans="2:16" ht="15" x14ac:dyDescent="0.2">
      <c r="B131" s="623" t="s">
        <v>283</v>
      </c>
      <c r="C131" s="624"/>
      <c r="D131" s="625"/>
      <c r="E131" s="626" t="s">
        <v>284</v>
      </c>
      <c r="F131" s="627"/>
      <c r="G131" s="627"/>
      <c r="H131" s="627"/>
      <c r="I131" s="627"/>
      <c r="J131" s="625"/>
      <c r="K131" s="626" t="s">
        <v>285</v>
      </c>
      <c r="L131" s="627"/>
      <c r="M131" s="627"/>
      <c r="N131" s="627"/>
      <c r="O131" s="627"/>
      <c r="P131" s="625"/>
    </row>
    <row r="132" spans="2:16" ht="15" x14ac:dyDescent="0.2">
      <c r="B132" s="628" t="s">
        <v>286</v>
      </c>
      <c r="C132" s="629"/>
      <c r="D132" s="630"/>
      <c r="E132" s="631" t="s">
        <v>287</v>
      </c>
      <c r="F132" s="632"/>
      <c r="G132" s="632"/>
      <c r="H132" s="632"/>
      <c r="I132" s="632"/>
      <c r="J132" s="630"/>
      <c r="K132" s="631"/>
      <c r="L132" s="632"/>
      <c r="M132" s="632"/>
      <c r="N132" s="632"/>
      <c r="O132" s="632"/>
      <c r="P132" s="630"/>
    </row>
    <row r="134" spans="2:16" x14ac:dyDescent="0.2">
      <c r="B134" s="194" t="s">
        <v>288</v>
      </c>
    </row>
  </sheetData>
  <pageMargins left="0.70866141732283472" right="0.70866141732283472" top="0.74803149606299213" bottom="0.74803149606299213" header="0.31496062992125984" footer="0.31496062992125984"/>
  <pageSetup paperSize="9" scale="56" fitToHeight="0" orientation="portrait" r:id="rId1"/>
  <headerFooter>
    <oddFooter>Página &amp;P de &amp;F</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001FC-5E9D-49AD-A2D0-A30606BFD95A}">
  <sheetPr codeName="Hoja4">
    <tabColor theme="3" tint="0.79998168889431442"/>
    <pageSetUpPr fitToPage="1"/>
  </sheetPr>
  <dimension ref="B2:O39"/>
  <sheetViews>
    <sheetView showGridLines="0" showZeros="0" tabSelected="1" showRuler="0" showOutlineSymbols="0" zoomScale="120" zoomScaleNormal="120" zoomScaleSheetLayoutView="100" workbookViewId="0">
      <selection activeCell="L16" sqref="L16"/>
    </sheetView>
  </sheetViews>
  <sheetFormatPr baseColWidth="10" defaultColWidth="11.42578125" defaultRowHeight="14.25" x14ac:dyDescent="0.2"/>
  <cols>
    <col min="1" max="1" width="3.28515625" style="1" customWidth="1"/>
    <col min="2" max="4" width="20.7109375" style="1" customWidth="1"/>
    <col min="5" max="5" width="20.7109375" style="3" customWidth="1"/>
    <col min="6" max="6" width="20.7109375" style="2" customWidth="1"/>
    <col min="7" max="7" width="20.7109375" style="3" customWidth="1"/>
    <col min="8" max="8" width="9.7109375" style="2" customWidth="1"/>
    <col min="9" max="9" width="9.7109375" style="3" customWidth="1"/>
    <col min="10" max="10" width="0.7109375" style="3" customWidth="1"/>
    <col min="11" max="11" width="9.7109375" style="2" customWidth="1"/>
    <col min="12" max="12" width="14.42578125" style="3" bestFit="1" customWidth="1"/>
    <col min="13" max="13" width="9.7109375" style="2" customWidth="1"/>
    <col min="14" max="14" width="11.7109375" style="3" bestFit="1" customWidth="1"/>
    <col min="15" max="15" width="19.7109375" style="1" customWidth="1"/>
    <col min="16" max="16" width="12.85546875" style="1" customWidth="1"/>
    <col min="17" max="17" width="15.7109375" style="1" bestFit="1" customWidth="1"/>
    <col min="18" max="18" width="11.42578125" style="1"/>
    <col min="19" max="19" width="58.28515625" style="1" bestFit="1" customWidth="1"/>
    <col min="20" max="20" width="13.85546875" style="1" bestFit="1" customWidth="1"/>
    <col min="21" max="21" width="10.5703125" style="1" customWidth="1"/>
    <col min="22" max="16384" width="11.42578125" style="1"/>
  </cols>
  <sheetData>
    <row r="2" spans="2:9" ht="54" customHeight="1" x14ac:dyDescent="0.2">
      <c r="B2" s="239"/>
      <c r="C2" s="240" t="s">
        <v>289</v>
      </c>
      <c r="D2" s="238"/>
      <c r="E2" s="241"/>
      <c r="F2" s="242"/>
      <c r="G2" s="241"/>
    </row>
    <row r="3" spans="2:9" x14ac:dyDescent="0.2">
      <c r="B3" s="243" t="s">
        <v>290</v>
      </c>
      <c r="C3" s="244"/>
      <c r="D3" s="243"/>
      <c r="E3" s="244"/>
      <c r="F3" s="243" t="s">
        <v>291</v>
      </c>
      <c r="G3" s="244"/>
    </row>
    <row r="4" spans="2:9" x14ac:dyDescent="0.2">
      <c r="B4" s="383" t="s">
        <v>292</v>
      </c>
      <c r="C4" s="392">
        <f>+AVERAGE('[2]3. Price decision matrix'!E42:N42)</f>
        <v>12512.5</v>
      </c>
      <c r="D4" s="383" t="s">
        <v>293</v>
      </c>
      <c r="E4" s="388"/>
      <c r="F4" s="383" t="s">
        <v>294</v>
      </c>
      <c r="G4" s="390"/>
    </row>
    <row r="5" spans="2:9" x14ac:dyDescent="0.2">
      <c r="B5" s="383" t="s">
        <v>295</v>
      </c>
      <c r="C5" s="384"/>
      <c r="D5" s="383" t="s">
        <v>296</v>
      </c>
      <c r="E5" s="389"/>
      <c r="F5" s="383" t="s">
        <v>297</v>
      </c>
      <c r="G5" s="391"/>
    </row>
    <row r="6" spans="2:9" x14ac:dyDescent="0.2">
      <c r="B6" s="383" t="s">
        <v>298</v>
      </c>
      <c r="C6" s="385"/>
      <c r="D6" s="383" t="s">
        <v>299</v>
      </c>
      <c r="E6" s="388"/>
      <c r="F6" s="383" t="s">
        <v>300</v>
      </c>
      <c r="G6" s="388"/>
    </row>
    <row r="7" spans="2:9" x14ac:dyDescent="0.2">
      <c r="B7" s="383" t="s">
        <v>301</v>
      </c>
      <c r="C7" s="386"/>
      <c r="D7" s="383" t="s">
        <v>302</v>
      </c>
      <c r="E7" s="388"/>
      <c r="F7" s="383" t="s">
        <v>303</v>
      </c>
      <c r="G7" s="386" t="s">
        <v>304</v>
      </c>
    </row>
    <row r="8" spans="2:9" x14ac:dyDescent="0.2">
      <c r="B8" s="383" t="s">
        <v>305</v>
      </c>
      <c r="C8" s="387"/>
      <c r="D8" s="383" t="s">
        <v>306</v>
      </c>
      <c r="E8" s="388" t="str">
        <f>_xlfn.CONCAT(E4,"_",E6)</f>
        <v>_</v>
      </c>
      <c r="F8" s="383" t="s">
        <v>307</v>
      </c>
      <c r="G8" s="398">
        <f ca="1">+TODAY()</f>
        <v>46091</v>
      </c>
    </row>
    <row r="9" spans="2:9" x14ac:dyDescent="0.2">
      <c r="E9" s="1"/>
    </row>
    <row r="10" spans="2:9" x14ac:dyDescent="0.2">
      <c r="E10" s="1"/>
    </row>
    <row r="11" spans="2:9" x14ac:dyDescent="0.2">
      <c r="B11" s="139" t="s">
        <v>308</v>
      </c>
      <c r="C11" s="139" t="s">
        <v>309</v>
      </c>
      <c r="D11" s="139" t="s">
        <v>310</v>
      </c>
      <c r="E11" s="246" t="s">
        <v>311</v>
      </c>
      <c r="F11" s="246"/>
      <c r="G11" s="139" t="s">
        <v>312</v>
      </c>
    </row>
    <row r="12" spans="2:9" ht="14.25" customHeight="1" x14ac:dyDescent="0.2">
      <c r="B12" s="245"/>
      <c r="C12" s="729"/>
      <c r="D12" s="140"/>
      <c r="E12" s="671"/>
      <c r="F12" s="593"/>
      <c r="G12" s="730"/>
      <c r="H12" s="731"/>
      <c r="I12" s="725"/>
    </row>
    <row r="13" spans="2:9" ht="14.25" customHeight="1" x14ac:dyDescent="0.2">
      <c r="B13" s="245"/>
      <c r="C13" s="729"/>
      <c r="D13" s="140"/>
      <c r="E13" s="671"/>
      <c r="F13" s="593"/>
      <c r="G13" s="730"/>
      <c r="H13" s="726"/>
    </row>
    <row r="14" spans="2:9" ht="14.25" customHeight="1" x14ac:dyDescent="0.2">
      <c r="B14" s="245"/>
      <c r="C14" s="729"/>
      <c r="D14" s="140"/>
      <c r="E14" s="671"/>
      <c r="F14" s="593"/>
      <c r="G14" s="730"/>
      <c r="H14" s="726"/>
    </row>
    <row r="15" spans="2:9" ht="14.25" customHeight="1" x14ac:dyDescent="0.2">
      <c r="B15" s="245"/>
      <c r="C15" s="729"/>
      <c r="D15" s="140"/>
      <c r="E15" s="671"/>
      <c r="F15" s="593"/>
      <c r="G15" s="730"/>
      <c r="H15" s="726"/>
    </row>
    <row r="16" spans="2:9" ht="14.25" customHeight="1" x14ac:dyDescent="0.2">
      <c r="B16" s="245"/>
      <c r="C16" s="729"/>
      <c r="D16" s="140"/>
      <c r="E16" s="671"/>
      <c r="F16" s="593"/>
      <c r="G16" s="730"/>
      <c r="H16" s="726"/>
    </row>
    <row r="17" spans="2:15" ht="14.25" customHeight="1" x14ac:dyDescent="0.2">
      <c r="B17" s="245"/>
      <c r="C17" s="729"/>
      <c r="D17" s="140"/>
      <c r="E17" s="671"/>
      <c r="F17" s="593"/>
      <c r="G17" s="730"/>
      <c r="H17" s="726"/>
      <c r="I17" s="1"/>
      <c r="J17" s="1"/>
      <c r="K17" s="1"/>
      <c r="L17" s="1"/>
      <c r="M17" s="1"/>
      <c r="N17" s="1"/>
    </row>
    <row r="18" spans="2:15" ht="14.25" customHeight="1" x14ac:dyDescent="0.2">
      <c r="B18" s="245"/>
      <c r="C18" s="729"/>
      <c r="D18" s="140"/>
      <c r="E18" s="671"/>
      <c r="F18" s="593"/>
      <c r="G18" s="730"/>
      <c r="H18" s="726"/>
      <c r="I18" s="1"/>
      <c r="J18" s="1"/>
      <c r="K18" s="1"/>
      <c r="L18" s="1"/>
      <c r="M18" s="1"/>
      <c r="N18" s="1"/>
    </row>
    <row r="19" spans="2:15" ht="14.25" customHeight="1" x14ac:dyDescent="0.2">
      <c r="B19" s="245"/>
      <c r="C19" s="729"/>
      <c r="D19" s="140"/>
      <c r="E19" s="671"/>
      <c r="F19" s="593"/>
      <c r="G19" s="730"/>
      <c r="H19" s="726"/>
      <c r="I19" s="1"/>
      <c r="J19" s="1"/>
      <c r="K19" s="1"/>
      <c r="L19" s="1"/>
      <c r="M19" s="1"/>
      <c r="N19" s="1"/>
    </row>
    <row r="20" spans="2:15" ht="14.25" customHeight="1" x14ac:dyDescent="0.2">
      <c r="B20" s="245"/>
      <c r="C20" s="729"/>
      <c r="D20" s="140"/>
      <c r="E20" s="671"/>
      <c r="F20" s="593"/>
      <c r="G20" s="730"/>
      <c r="H20" s="726"/>
      <c r="I20" s="1"/>
      <c r="J20" s="1"/>
      <c r="K20" s="1"/>
      <c r="L20" s="1"/>
      <c r="M20" s="1"/>
      <c r="N20" s="1"/>
    </row>
    <row r="21" spans="2:15" ht="14.25" customHeight="1" x14ac:dyDescent="0.2">
      <c r="B21" s="245"/>
      <c r="C21" s="729"/>
      <c r="D21" s="140"/>
      <c r="E21" s="671"/>
      <c r="F21" s="593"/>
      <c r="G21" s="730"/>
      <c r="H21" s="726"/>
    </row>
    <row r="22" spans="2:15" ht="14.25" customHeight="1" x14ac:dyDescent="0.2">
      <c r="B22" s="245"/>
      <c r="C22" s="729"/>
      <c r="D22" s="140"/>
      <c r="E22" s="671"/>
      <c r="F22" s="593"/>
      <c r="G22" s="730"/>
      <c r="H22" s="726"/>
    </row>
    <row r="23" spans="2:15" ht="14.25" customHeight="1" x14ac:dyDescent="0.2">
      <c r="B23" s="245"/>
      <c r="C23" s="729"/>
      <c r="D23" s="140"/>
      <c r="E23" s="671"/>
      <c r="F23" s="593"/>
      <c r="G23" s="730"/>
      <c r="H23" s="726"/>
    </row>
    <row r="24" spans="2:15" ht="14.25" customHeight="1" x14ac:dyDescent="0.2">
      <c r="B24" s="245"/>
      <c r="C24" s="729"/>
      <c r="D24" s="140"/>
      <c r="E24" s="671"/>
      <c r="F24" s="593"/>
      <c r="G24" s="730"/>
      <c r="H24" s="726"/>
      <c r="I24" s="1"/>
      <c r="J24" s="1"/>
      <c r="K24" s="1"/>
      <c r="L24" s="1"/>
      <c r="M24" s="1"/>
      <c r="N24" s="1"/>
    </row>
    <row r="25" spans="2:15" ht="14.25" customHeight="1" x14ac:dyDescent="0.2">
      <c r="B25" s="245"/>
      <c r="C25" s="729"/>
      <c r="D25" s="140"/>
      <c r="E25" s="671"/>
      <c r="F25" s="593"/>
      <c r="G25" s="730"/>
      <c r="H25" s="726"/>
      <c r="I25" s="1"/>
      <c r="J25" s="1"/>
      <c r="K25" s="1"/>
      <c r="L25" s="1"/>
      <c r="M25" s="1"/>
      <c r="N25" s="1"/>
    </row>
    <row r="26" spans="2:15" ht="12.6" customHeight="1" x14ac:dyDescent="0.2">
      <c r="E26" s="1"/>
      <c r="F26" s="1"/>
      <c r="G26" s="731"/>
      <c r="H26" s="1"/>
      <c r="I26" s="1"/>
      <c r="J26" s="1"/>
      <c r="K26" s="1"/>
      <c r="L26" s="1"/>
      <c r="M26" s="1"/>
      <c r="N26" s="1"/>
    </row>
    <row r="27" spans="2:15" ht="12.6" customHeight="1" x14ac:dyDescent="0.2">
      <c r="B27" s="194" t="str">
        <f>+Help!B134</f>
        <v>IF-334 (27/05/2025)</v>
      </c>
      <c r="E27" s="1"/>
      <c r="F27" s="1"/>
      <c r="G27" s="1"/>
      <c r="H27" s="1"/>
      <c r="I27" s="1"/>
      <c r="J27" s="1"/>
      <c r="K27" s="1"/>
      <c r="L27" s="1"/>
      <c r="M27" s="1"/>
      <c r="N27" s="1"/>
    </row>
    <row r="28" spans="2:15" ht="12.6" customHeight="1" x14ac:dyDescent="0.2">
      <c r="E28" s="1"/>
      <c r="F28" s="1"/>
      <c r="G28" s="1"/>
      <c r="H28" s="1"/>
      <c r="I28" s="1"/>
      <c r="J28" s="1"/>
      <c r="K28" s="1"/>
      <c r="L28" s="1"/>
      <c r="M28" s="1"/>
      <c r="N28" s="1"/>
    </row>
    <row r="29" spans="2:15" ht="12.6" customHeight="1" x14ac:dyDescent="0.2">
      <c r="E29" s="1"/>
      <c r="F29" s="1"/>
      <c r="G29" s="1"/>
      <c r="H29" s="1"/>
      <c r="I29" s="1"/>
      <c r="J29" s="1"/>
      <c r="K29" s="1"/>
      <c r="L29" s="1"/>
      <c r="M29" s="1"/>
      <c r="N29" s="1"/>
      <c r="O29" s="32"/>
    </row>
    <row r="30" spans="2:15" ht="12.6" customHeight="1" x14ac:dyDescent="0.2">
      <c r="E30" s="1"/>
      <c r="F30" s="1"/>
      <c r="G30" s="1"/>
      <c r="H30" s="1"/>
      <c r="I30" s="1"/>
      <c r="J30" s="1"/>
      <c r="K30" s="1"/>
      <c r="L30" s="1"/>
      <c r="M30" s="1"/>
      <c r="N30" s="1"/>
      <c r="O30" s="32"/>
    </row>
    <row r="31" spans="2:15" ht="12" customHeight="1" x14ac:dyDescent="0.2">
      <c r="E31" s="1"/>
      <c r="F31" s="1"/>
      <c r="G31" s="1"/>
      <c r="H31" s="1"/>
      <c r="I31" s="1"/>
      <c r="J31" s="1"/>
      <c r="K31" s="1"/>
      <c r="L31" s="1"/>
      <c r="M31" s="1"/>
      <c r="N31" s="1"/>
      <c r="O31" s="32"/>
    </row>
    <row r="32" spans="2:15" ht="12" customHeight="1" x14ac:dyDescent="0.2">
      <c r="E32" s="1"/>
      <c r="F32" s="1"/>
      <c r="G32" s="1"/>
      <c r="H32" s="1"/>
      <c r="I32" s="1"/>
      <c r="J32" s="1"/>
      <c r="K32" s="1"/>
      <c r="L32" s="1"/>
      <c r="M32" s="1"/>
      <c r="N32" s="1"/>
      <c r="O32" s="33"/>
    </row>
    <row r="35" spans="5:7" x14ac:dyDescent="0.2">
      <c r="E35" s="1"/>
      <c r="F35" s="1"/>
      <c r="G35" s="1"/>
    </row>
    <row r="36" spans="5:7" x14ac:dyDescent="0.2">
      <c r="E36" s="1"/>
      <c r="F36" s="1"/>
      <c r="G36" s="1"/>
    </row>
    <row r="37" spans="5:7" x14ac:dyDescent="0.2">
      <c r="E37" s="1"/>
      <c r="F37" s="1"/>
      <c r="G37" s="1"/>
    </row>
    <row r="38" spans="5:7" x14ac:dyDescent="0.2">
      <c r="E38" s="1"/>
      <c r="F38" s="1"/>
      <c r="G38" s="1"/>
    </row>
    <row r="39" spans="5:7" x14ac:dyDescent="0.2">
      <c r="E39" s="1"/>
      <c r="F39" s="1"/>
      <c r="G39" s="1"/>
    </row>
  </sheetData>
  <dataConsolidate/>
  <dataValidations count="1">
    <dataValidation type="list" allowBlank="1" showInputMessage="1" showErrorMessage="1" sqref="G7" xr:uid="{D98E7A38-D4B7-4DB8-B796-7011298B85A6}">
      <formula1>"OEM,AfterMarket"</formula1>
    </dataValidation>
  </dataValidations>
  <printOptions horizontalCentered="1"/>
  <pageMargins left="0.70866141732283472" right="0.70866141732283472" top="0.74803149606299213" bottom="0.74803149606299213" header="0.31496062992125984" footer="0.31496062992125984"/>
  <pageSetup paperSize="9" scale="71" orientation="portrait" verticalDpi="300" r:id="rId1"/>
  <headerFooter alignWithMargins="0">
    <oddFooter>Página &amp;P&amp;R&amp;F</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8"/>
    <pageSetUpPr fitToPage="1"/>
  </sheetPr>
  <dimension ref="B1:AX56"/>
  <sheetViews>
    <sheetView showGridLines="0" showZeros="0" showRuler="0" zoomScale="115" zoomScaleNormal="115" zoomScaleSheetLayoutView="100" workbookViewId="0">
      <pane xSplit="9" ySplit="4" topLeftCell="J14" activePane="bottomRight" state="frozen"/>
      <selection pane="topRight" activeCell="U15" sqref="U15"/>
      <selection pane="bottomLeft" activeCell="U15" sqref="U15"/>
      <selection pane="bottomRight" activeCell="Y13" sqref="Y13"/>
    </sheetView>
  </sheetViews>
  <sheetFormatPr baseColWidth="10" defaultColWidth="11.42578125" defaultRowHeight="12.75" x14ac:dyDescent="0.2"/>
  <cols>
    <col min="1" max="1" width="2.7109375" style="83" customWidth="1"/>
    <col min="2" max="2" width="7.85546875" style="83" customWidth="1"/>
    <col min="3" max="3" width="10.85546875" style="83" bestFit="1" customWidth="1"/>
    <col min="4" max="5" width="9.7109375" style="83" customWidth="1"/>
    <col min="6" max="6" width="32.28515625" style="83" customWidth="1"/>
    <col min="7" max="7" width="16.5703125" style="83" bestFit="1" customWidth="1"/>
    <col min="8" max="8" width="15.5703125" style="83" customWidth="1"/>
    <col min="9" max="9" width="16.5703125" style="83" customWidth="1"/>
    <col min="10" max="10" width="29.140625" style="83" bestFit="1" customWidth="1"/>
    <col min="11" max="11" width="23.42578125" style="83" bestFit="1" customWidth="1"/>
    <col min="12" max="12" width="10.5703125" style="83" customWidth="1"/>
    <col min="13" max="13" width="6.140625" style="83" bestFit="1" customWidth="1"/>
    <col min="14" max="14" width="9.7109375" style="83" customWidth="1"/>
    <col min="15" max="15" width="10.5703125" style="83" customWidth="1"/>
    <col min="16" max="16" width="10.28515625" style="83" customWidth="1"/>
    <col min="17" max="17" width="8.85546875" style="83" customWidth="1"/>
    <col min="18" max="18" width="11.28515625" style="83" customWidth="1"/>
    <col min="19" max="19" width="9.7109375" style="83" customWidth="1"/>
    <col min="20" max="20" width="8.85546875" style="83" customWidth="1"/>
    <col min="21" max="21" width="9.85546875" style="83" customWidth="1"/>
    <col min="22" max="23" width="8.85546875" style="83" customWidth="1"/>
    <col min="24" max="24" width="10.28515625" style="83" customWidth="1"/>
    <col min="25" max="31" width="10.7109375" style="83" customWidth="1"/>
    <col min="32" max="32" width="33.5703125" style="83" customWidth="1"/>
    <col min="33" max="33" width="27.85546875" style="83" customWidth="1"/>
    <col min="34" max="34" width="26.85546875" style="83" bestFit="1" customWidth="1"/>
    <col min="35" max="35" width="10.42578125" style="83" bestFit="1" customWidth="1"/>
    <col min="36" max="36" width="18.7109375" style="83" bestFit="1" customWidth="1"/>
    <col min="37" max="37" width="10.5703125" style="83" customWidth="1"/>
    <col min="38" max="38" width="6.140625" style="83" bestFit="1" customWidth="1"/>
    <col min="39" max="39" width="9.7109375" style="83" customWidth="1"/>
    <col min="40" max="40" width="10.5703125" style="83" customWidth="1"/>
    <col min="41" max="41" width="10.28515625" style="83" customWidth="1"/>
    <col min="42" max="42" width="12.85546875" style="83" customWidth="1"/>
    <col min="43" max="43" width="10.42578125" style="83" bestFit="1" customWidth="1"/>
    <col min="44" max="44" width="18.7109375" style="83" bestFit="1" customWidth="1"/>
    <col min="45" max="45" width="10.5703125" style="83" customWidth="1"/>
    <col min="46" max="46" width="6.140625" style="83" bestFit="1" customWidth="1"/>
    <col min="47" max="47" width="9.7109375" style="83" customWidth="1"/>
    <col min="48" max="48" width="10.5703125" style="83" customWidth="1"/>
    <col min="49" max="49" width="10.28515625" style="83" customWidth="1"/>
    <col min="50" max="50" width="14.28515625" style="83" customWidth="1"/>
    <col min="51" max="16384" width="11.42578125" style="83"/>
  </cols>
  <sheetData>
    <row r="1" spans="2:50" ht="52.5" customHeight="1" x14ac:dyDescent="0.4">
      <c r="B1" s="545"/>
      <c r="C1" s="545"/>
      <c r="D1" s="198" t="s">
        <v>313</v>
      </c>
      <c r="E1" s="197"/>
      <c r="F1" s="196"/>
      <c r="G1" s="195"/>
      <c r="H1" s="196"/>
      <c r="I1" s="196"/>
      <c r="J1" s="545"/>
      <c r="K1" s="545"/>
      <c r="L1" s="545"/>
      <c r="M1" s="545"/>
      <c r="N1" s="545"/>
      <c r="O1" s="545"/>
      <c r="P1" s="545"/>
      <c r="Q1" s="545"/>
      <c r="R1" s="545"/>
      <c r="S1" s="545"/>
      <c r="T1" s="545"/>
      <c r="U1" s="545"/>
      <c r="V1" s="545"/>
      <c r="W1" s="545"/>
      <c r="X1" s="545"/>
      <c r="Y1" s="545"/>
      <c r="Z1" s="545"/>
      <c r="AA1" s="545"/>
      <c r="AB1" s="545"/>
      <c r="AC1" s="545"/>
      <c r="AD1" s="545"/>
      <c r="AE1" s="545"/>
      <c r="AF1" s="545"/>
      <c r="AG1" s="545"/>
      <c r="AH1" s="545"/>
      <c r="AI1" s="545"/>
      <c r="AJ1" s="545"/>
      <c r="AK1" s="545"/>
      <c r="AL1" s="545"/>
      <c r="AM1" s="545"/>
      <c r="AN1" s="545"/>
      <c r="AO1" s="545"/>
      <c r="AP1" s="545"/>
      <c r="AQ1" s="545"/>
      <c r="AR1" s="545"/>
      <c r="AS1" s="545"/>
      <c r="AT1" s="545"/>
      <c r="AU1" s="545"/>
      <c r="AV1" s="545"/>
      <c r="AW1" s="545"/>
      <c r="AX1" s="545"/>
    </row>
    <row r="2" spans="2:50" x14ac:dyDescent="0.2">
      <c r="B2" s="82" t="s">
        <v>314</v>
      </c>
      <c r="C2" s="546"/>
      <c r="D2" s="546"/>
      <c r="E2" s="546"/>
      <c r="F2" s="546"/>
      <c r="G2" s="546"/>
      <c r="H2" s="546"/>
      <c r="I2" s="546"/>
      <c r="J2" s="82" t="s">
        <v>315</v>
      </c>
      <c r="K2" s="546"/>
      <c r="L2" s="546"/>
      <c r="M2" s="546"/>
      <c r="N2" s="546"/>
      <c r="O2" s="546"/>
      <c r="P2" s="546"/>
      <c r="Q2" s="82" t="s">
        <v>316</v>
      </c>
      <c r="R2" s="546"/>
      <c r="S2" s="546"/>
      <c r="T2" s="546"/>
      <c r="U2" s="546"/>
      <c r="V2" s="546"/>
      <c r="W2" s="546"/>
      <c r="X2" s="546"/>
      <c r="Y2" s="82" t="s">
        <v>317</v>
      </c>
      <c r="Z2" s="82"/>
      <c r="AA2" s="82"/>
      <c r="AB2" s="82"/>
      <c r="AC2" s="82"/>
      <c r="AD2" s="82"/>
      <c r="AE2" s="82"/>
      <c r="AF2" s="82" t="s">
        <v>318</v>
      </c>
      <c r="AG2" s="82"/>
      <c r="AH2" s="82"/>
      <c r="AI2" s="82" t="s">
        <v>319</v>
      </c>
      <c r="AJ2" s="546"/>
      <c r="AK2" s="546"/>
      <c r="AL2" s="546"/>
      <c r="AM2" s="546"/>
      <c r="AN2" s="546"/>
      <c r="AO2" s="546"/>
      <c r="AP2" s="546"/>
      <c r="AQ2" s="82"/>
      <c r="AR2" s="546"/>
      <c r="AS2" s="546"/>
      <c r="AT2" s="546"/>
      <c r="AU2" s="546"/>
      <c r="AV2" s="546"/>
      <c r="AW2" s="546"/>
      <c r="AX2" s="546"/>
    </row>
    <row r="3" spans="2:50" s="328" customFormat="1" ht="33.75" x14ac:dyDescent="0.2">
      <c r="B3" s="327" t="s">
        <v>320</v>
      </c>
      <c r="C3" s="327" t="s">
        <v>321</v>
      </c>
      <c r="D3" s="327" t="s">
        <v>322</v>
      </c>
      <c r="E3" s="327" t="s">
        <v>323</v>
      </c>
      <c r="F3" s="327" t="s">
        <v>324</v>
      </c>
      <c r="G3" s="327" t="s">
        <v>325</v>
      </c>
      <c r="H3" s="327" t="s">
        <v>326</v>
      </c>
      <c r="I3" s="327" t="s">
        <v>327</v>
      </c>
      <c r="J3" s="188" t="s">
        <v>328</v>
      </c>
      <c r="K3" s="188" t="s">
        <v>329</v>
      </c>
      <c r="L3" s="188" t="s">
        <v>330</v>
      </c>
      <c r="M3" s="188" t="s">
        <v>331</v>
      </c>
      <c r="N3" s="188" t="s">
        <v>332</v>
      </c>
      <c r="O3" s="188" t="s">
        <v>333</v>
      </c>
      <c r="P3" s="188" t="s">
        <v>334</v>
      </c>
      <c r="Q3" s="189" t="s">
        <v>335</v>
      </c>
      <c r="R3" s="189" t="s">
        <v>336</v>
      </c>
      <c r="S3" s="189" t="s">
        <v>337</v>
      </c>
      <c r="T3" s="189" t="s">
        <v>338</v>
      </c>
      <c r="U3" s="189" t="s">
        <v>339</v>
      </c>
      <c r="V3" s="189" t="s">
        <v>340</v>
      </c>
      <c r="W3" s="189" t="s">
        <v>341</v>
      </c>
      <c r="X3" s="189" t="s">
        <v>342</v>
      </c>
      <c r="Y3" s="190" t="s">
        <v>343</v>
      </c>
      <c r="Z3" s="190" t="s">
        <v>344</v>
      </c>
      <c r="AA3" s="190" t="s">
        <v>345</v>
      </c>
      <c r="AB3" s="190" t="s">
        <v>346</v>
      </c>
      <c r="AC3" s="190" t="s">
        <v>347</v>
      </c>
      <c r="AD3" s="190" t="s">
        <v>348</v>
      </c>
      <c r="AE3" s="190" t="s">
        <v>349</v>
      </c>
      <c r="AF3" s="191" t="s">
        <v>350</v>
      </c>
      <c r="AG3" s="191" t="s">
        <v>351</v>
      </c>
      <c r="AH3" s="191" t="s">
        <v>352</v>
      </c>
      <c r="AI3" s="192" t="s">
        <v>328</v>
      </c>
      <c r="AJ3" s="192" t="s">
        <v>329</v>
      </c>
      <c r="AK3" s="192" t="s">
        <v>330</v>
      </c>
      <c r="AL3" s="192" t="s">
        <v>331</v>
      </c>
      <c r="AM3" s="192" t="s">
        <v>332</v>
      </c>
      <c r="AN3" s="192" t="s">
        <v>333</v>
      </c>
      <c r="AO3" s="192" t="s">
        <v>334</v>
      </c>
      <c r="AP3" s="192" t="s">
        <v>343</v>
      </c>
      <c r="AQ3" s="193" t="s">
        <v>328</v>
      </c>
      <c r="AR3" s="193" t="s">
        <v>329</v>
      </c>
      <c r="AS3" s="193" t="s">
        <v>330</v>
      </c>
      <c r="AT3" s="193" t="s">
        <v>331</v>
      </c>
      <c r="AU3" s="193" t="s">
        <v>332</v>
      </c>
      <c r="AV3" s="193" t="s">
        <v>333</v>
      </c>
      <c r="AW3" s="193" t="s">
        <v>334</v>
      </c>
      <c r="AX3" s="193" t="s">
        <v>343</v>
      </c>
    </row>
    <row r="4" spans="2:50" s="187" customFormat="1" ht="42" x14ac:dyDescent="0.2">
      <c r="B4" s="329" t="s">
        <v>320</v>
      </c>
      <c r="C4" s="329" t="s">
        <v>353</v>
      </c>
      <c r="D4" s="329" t="s">
        <v>354</v>
      </c>
      <c r="E4" s="329" t="s">
        <v>323</v>
      </c>
      <c r="F4" s="329" t="s">
        <v>355</v>
      </c>
      <c r="G4" s="329" t="s">
        <v>356</v>
      </c>
      <c r="H4" s="329" t="s">
        <v>357</v>
      </c>
      <c r="I4" s="329" t="s">
        <v>358</v>
      </c>
      <c r="J4" s="330" t="s">
        <v>359</v>
      </c>
      <c r="K4" s="330" t="s">
        <v>360</v>
      </c>
      <c r="L4" s="330" t="s">
        <v>361</v>
      </c>
      <c r="M4" s="330" t="s">
        <v>362</v>
      </c>
      <c r="N4" s="330" t="s">
        <v>332</v>
      </c>
      <c r="O4" s="330" t="s">
        <v>363</v>
      </c>
      <c r="P4" s="330" t="s">
        <v>364</v>
      </c>
      <c r="Q4" s="331" t="s">
        <v>365</v>
      </c>
      <c r="R4" s="331" t="s">
        <v>366</v>
      </c>
      <c r="S4" s="331" t="s">
        <v>367</v>
      </c>
      <c r="T4" s="331" t="s">
        <v>368</v>
      </c>
      <c r="U4" s="331" t="s">
        <v>369</v>
      </c>
      <c r="V4" s="331" t="s">
        <v>370</v>
      </c>
      <c r="W4" s="331" t="s">
        <v>371</v>
      </c>
      <c r="X4" s="331" t="s">
        <v>372</v>
      </c>
      <c r="Y4" s="332" t="s">
        <v>373</v>
      </c>
      <c r="Z4" s="332" t="s">
        <v>374</v>
      </c>
      <c r="AA4" s="332" t="s">
        <v>375</v>
      </c>
      <c r="AB4" s="332" t="s">
        <v>376</v>
      </c>
      <c r="AC4" s="332" t="s">
        <v>377</v>
      </c>
      <c r="AD4" s="332" t="s">
        <v>378</v>
      </c>
      <c r="AE4" s="332" t="s">
        <v>379</v>
      </c>
      <c r="AF4" s="333" t="s">
        <v>350</v>
      </c>
      <c r="AG4" s="333" t="s">
        <v>351</v>
      </c>
      <c r="AH4" s="333" t="s">
        <v>352</v>
      </c>
      <c r="AI4" s="334" t="s">
        <v>359</v>
      </c>
      <c r="AJ4" s="334" t="s">
        <v>360</v>
      </c>
      <c r="AK4" s="334" t="s">
        <v>361</v>
      </c>
      <c r="AL4" s="334" t="s">
        <v>362</v>
      </c>
      <c r="AM4" s="334" t="s">
        <v>332</v>
      </c>
      <c r="AN4" s="334" t="s">
        <v>363</v>
      </c>
      <c r="AO4" s="334" t="s">
        <v>364</v>
      </c>
      <c r="AP4" s="334" t="s">
        <v>373</v>
      </c>
      <c r="AQ4" s="335" t="s">
        <v>359</v>
      </c>
      <c r="AR4" s="335" t="s">
        <v>360</v>
      </c>
      <c r="AS4" s="335" t="s">
        <v>361</v>
      </c>
      <c r="AT4" s="335" t="s">
        <v>362</v>
      </c>
      <c r="AU4" s="335" t="s">
        <v>332</v>
      </c>
      <c r="AV4" s="335" t="s">
        <v>363</v>
      </c>
      <c r="AW4" s="335" t="s">
        <v>364</v>
      </c>
      <c r="AX4" s="335" t="s">
        <v>373</v>
      </c>
    </row>
    <row r="5" spans="2:50" s="147" customFormat="1" x14ac:dyDescent="0.2">
      <c r="B5" s="633">
        <v>1</v>
      </c>
      <c r="C5" s="84"/>
      <c r="D5" s="367"/>
      <c r="E5" s="360"/>
      <c r="F5" s="360"/>
      <c r="G5" s="84"/>
      <c r="H5" s="84"/>
      <c r="I5" s="148"/>
      <c r="J5" s="149"/>
      <c r="K5" s="142"/>
      <c r="L5" s="86"/>
      <c r="M5" s="86"/>
      <c r="N5" s="86"/>
      <c r="O5" s="143"/>
      <c r="P5" s="144"/>
      <c r="Q5" s="89"/>
      <c r="R5" s="90"/>
      <c r="S5" s="91"/>
      <c r="T5" s="92"/>
      <c r="U5" s="93"/>
      <c r="V5" s="93"/>
      <c r="W5" s="93"/>
      <c r="X5" s="94"/>
      <c r="Y5" s="605">
        <f t="shared" ref="Y5:Y36" si="0">+P5*O5</f>
        <v>0</v>
      </c>
      <c r="Z5" s="303">
        <f t="shared" ref="Z5:Z36" si="1">+D5*Y5</f>
        <v>0</v>
      </c>
      <c r="AA5" s="304">
        <f t="shared" ref="AA5:AA40" si="2">+$Z5*U5</f>
        <v>0</v>
      </c>
      <c r="AB5" s="304">
        <f t="shared" ref="AB5:AB40" si="3">+$Z5*V5</f>
        <v>0</v>
      </c>
      <c r="AC5" s="304">
        <f t="shared" ref="AC5:AC40" si="4">+$Z5*W5</f>
        <v>0</v>
      </c>
      <c r="AD5" s="300">
        <f>+$Z5*X5</f>
        <v>0</v>
      </c>
      <c r="AE5" s="602">
        <f>+SUM(Z5:AD5)</f>
        <v>0</v>
      </c>
      <c r="AF5" s="164"/>
      <c r="AG5" s="161"/>
      <c r="AH5" s="167"/>
      <c r="AI5" s="172"/>
      <c r="AJ5" s="173"/>
      <c r="AK5" s="173"/>
      <c r="AL5" s="173"/>
      <c r="AM5" s="173"/>
      <c r="AN5" s="174"/>
      <c r="AO5" s="175"/>
      <c r="AP5" s="176"/>
      <c r="AQ5" s="107"/>
      <c r="AR5" s="107"/>
      <c r="AS5" s="107"/>
      <c r="AT5" s="107"/>
      <c r="AU5" s="107"/>
      <c r="AV5" s="145"/>
      <c r="AW5" s="146"/>
      <c r="AX5" s="108"/>
    </row>
    <row r="6" spans="2:50" s="147" customFormat="1" x14ac:dyDescent="0.2">
      <c r="B6" s="634">
        <v>2</v>
      </c>
      <c r="C6" s="84"/>
      <c r="D6" s="170"/>
      <c r="E6" s="360"/>
      <c r="F6" s="360"/>
      <c r="G6" s="84"/>
      <c r="H6" s="84"/>
      <c r="I6" s="148"/>
      <c r="J6" s="149"/>
      <c r="K6" s="87"/>
      <c r="L6" s="87"/>
      <c r="M6" s="87"/>
      <c r="N6" s="86"/>
      <c r="O6" s="150"/>
      <c r="P6" s="151"/>
      <c r="Q6" s="95"/>
      <c r="R6" s="96"/>
      <c r="S6" s="97"/>
      <c r="T6" s="98"/>
      <c r="U6" s="99"/>
      <c r="V6" s="99"/>
      <c r="W6" s="99"/>
      <c r="X6" s="100"/>
      <c r="Y6" s="606">
        <f t="shared" si="0"/>
        <v>0</v>
      </c>
      <c r="Z6" s="305">
        <f t="shared" si="1"/>
        <v>0</v>
      </c>
      <c r="AA6" s="306">
        <f t="shared" si="2"/>
        <v>0</v>
      </c>
      <c r="AB6" s="306">
        <f t="shared" si="3"/>
        <v>0</v>
      </c>
      <c r="AC6" s="306">
        <f t="shared" si="4"/>
        <v>0</v>
      </c>
      <c r="AD6" s="301">
        <f t="shared" ref="AD6:AD40" si="5">+$Z6*X6</f>
        <v>0</v>
      </c>
      <c r="AE6" s="602">
        <f t="shared" ref="AE6:AE40" si="6">+SUM(Z6:AD6)</f>
        <v>0</v>
      </c>
      <c r="AF6" s="165"/>
      <c r="AG6" s="162"/>
      <c r="AH6" s="168"/>
      <c r="AI6" s="177"/>
      <c r="AJ6" s="178"/>
      <c r="AK6" s="178"/>
      <c r="AL6" s="178"/>
      <c r="AM6" s="178"/>
      <c r="AN6" s="179"/>
      <c r="AO6" s="180"/>
      <c r="AP6" s="181"/>
      <c r="AQ6" s="109"/>
      <c r="AR6" s="109"/>
      <c r="AS6" s="109"/>
      <c r="AT6" s="109"/>
      <c r="AU6" s="109"/>
      <c r="AV6" s="152"/>
      <c r="AW6" s="153"/>
      <c r="AX6" s="110"/>
    </row>
    <row r="7" spans="2:50" s="147" customFormat="1" x14ac:dyDescent="0.2">
      <c r="B7" s="634">
        <v>3</v>
      </c>
      <c r="C7" s="84"/>
      <c r="D7" s="170"/>
      <c r="E7" s="84"/>
      <c r="F7" s="360"/>
      <c r="G7" s="84"/>
      <c r="H7" s="84"/>
      <c r="I7" s="148"/>
      <c r="J7" s="149"/>
      <c r="K7" s="87"/>
      <c r="L7" s="87"/>
      <c r="M7" s="87"/>
      <c r="N7" s="87"/>
      <c r="O7" s="150"/>
      <c r="P7" s="151"/>
      <c r="Q7" s="95"/>
      <c r="R7" s="96"/>
      <c r="S7" s="97"/>
      <c r="T7" s="98"/>
      <c r="U7" s="99"/>
      <c r="V7" s="99"/>
      <c r="W7" s="99"/>
      <c r="X7" s="100"/>
      <c r="Y7" s="606">
        <f t="shared" si="0"/>
        <v>0</v>
      </c>
      <c r="Z7" s="305">
        <f t="shared" si="1"/>
        <v>0</v>
      </c>
      <c r="AA7" s="306">
        <f t="shared" si="2"/>
        <v>0</v>
      </c>
      <c r="AB7" s="306">
        <f t="shared" si="3"/>
        <v>0</v>
      </c>
      <c r="AC7" s="306">
        <f t="shared" si="4"/>
        <v>0</v>
      </c>
      <c r="AD7" s="301">
        <f t="shared" si="5"/>
        <v>0</v>
      </c>
      <c r="AE7" s="602">
        <f t="shared" si="6"/>
        <v>0</v>
      </c>
      <c r="AF7" s="165"/>
      <c r="AG7" s="162"/>
      <c r="AH7" s="168"/>
      <c r="AI7" s="177"/>
      <c r="AJ7" s="178"/>
      <c r="AK7" s="178"/>
      <c r="AL7" s="178"/>
      <c r="AM7" s="178"/>
      <c r="AN7" s="179"/>
      <c r="AO7" s="180"/>
      <c r="AP7" s="181"/>
      <c r="AQ7" s="109"/>
      <c r="AR7" s="109"/>
      <c r="AS7" s="109"/>
      <c r="AT7" s="109"/>
      <c r="AU7" s="109"/>
      <c r="AV7" s="152"/>
      <c r="AW7" s="153"/>
      <c r="AX7" s="110"/>
    </row>
    <row r="8" spans="2:50" s="147" customFormat="1" x14ac:dyDescent="0.2">
      <c r="B8" s="634">
        <v>1</v>
      </c>
      <c r="C8" s="84">
        <v>24999</v>
      </c>
      <c r="D8" s="84">
        <v>1</v>
      </c>
      <c r="E8" s="360">
        <v>115007</v>
      </c>
      <c r="F8" s="360"/>
      <c r="G8" s="84"/>
      <c r="H8" s="84"/>
      <c r="I8" s="148"/>
      <c r="J8" s="149"/>
      <c r="K8" s="87"/>
      <c r="L8" s="87"/>
      <c r="M8" s="87"/>
      <c r="N8" s="87"/>
      <c r="O8" s="150"/>
      <c r="P8" s="151"/>
      <c r="Q8" s="95"/>
      <c r="R8" s="96"/>
      <c r="S8" s="97"/>
      <c r="T8" s="98"/>
      <c r="U8" s="99"/>
      <c r="V8" s="99"/>
      <c r="W8" s="99"/>
      <c r="X8" s="100"/>
      <c r="Y8" s="606">
        <f t="shared" si="0"/>
        <v>0</v>
      </c>
      <c r="Z8" s="305">
        <f t="shared" si="1"/>
        <v>0</v>
      </c>
      <c r="AA8" s="306">
        <f t="shared" si="2"/>
        <v>0</v>
      </c>
      <c r="AB8" s="306">
        <f t="shared" si="3"/>
        <v>0</v>
      </c>
      <c r="AC8" s="306">
        <f t="shared" si="4"/>
        <v>0</v>
      </c>
      <c r="AD8" s="301">
        <f t="shared" si="5"/>
        <v>0</v>
      </c>
      <c r="AE8" s="602">
        <f t="shared" si="6"/>
        <v>0</v>
      </c>
      <c r="AF8" s="165"/>
      <c r="AG8" s="162"/>
      <c r="AH8" s="168"/>
      <c r="AI8" s="177"/>
      <c r="AJ8" s="178"/>
      <c r="AK8" s="178"/>
      <c r="AL8" s="178"/>
      <c r="AM8" s="178"/>
      <c r="AN8" s="179"/>
      <c r="AO8" s="180"/>
      <c r="AP8" s="181"/>
      <c r="AQ8" s="109"/>
      <c r="AR8" s="109"/>
      <c r="AS8" s="109"/>
      <c r="AT8" s="109"/>
      <c r="AU8" s="109"/>
      <c r="AV8" s="152"/>
      <c r="AW8" s="153"/>
      <c r="AX8" s="110"/>
    </row>
    <row r="9" spans="2:50" s="147" customFormat="1" x14ac:dyDescent="0.2">
      <c r="B9" s="634">
        <v>5</v>
      </c>
      <c r="C9" s="84"/>
      <c r="D9" s="84"/>
      <c r="E9" s="84"/>
      <c r="F9" s="84"/>
      <c r="G9" s="84"/>
      <c r="H9" s="84"/>
      <c r="I9" s="148"/>
      <c r="J9" s="149"/>
      <c r="K9" s="87"/>
      <c r="L9" s="87"/>
      <c r="M9" s="87"/>
      <c r="N9" s="87"/>
      <c r="O9" s="150"/>
      <c r="P9" s="151"/>
      <c r="Q9" s="95"/>
      <c r="R9" s="96"/>
      <c r="S9" s="97"/>
      <c r="T9" s="98"/>
      <c r="U9" s="99"/>
      <c r="V9" s="99"/>
      <c r="W9" s="99"/>
      <c r="X9" s="100"/>
      <c r="Y9" s="606">
        <f t="shared" si="0"/>
        <v>0</v>
      </c>
      <c r="Z9" s="305">
        <f t="shared" si="1"/>
        <v>0</v>
      </c>
      <c r="AA9" s="306">
        <f t="shared" si="2"/>
        <v>0</v>
      </c>
      <c r="AB9" s="306">
        <f t="shared" si="3"/>
        <v>0</v>
      </c>
      <c r="AC9" s="306">
        <f t="shared" si="4"/>
        <v>0</v>
      </c>
      <c r="AD9" s="301">
        <f t="shared" si="5"/>
        <v>0</v>
      </c>
      <c r="AE9" s="602">
        <f t="shared" si="6"/>
        <v>0</v>
      </c>
      <c r="AF9" s="165"/>
      <c r="AG9" s="162"/>
      <c r="AH9" s="168"/>
      <c r="AI9" s="177"/>
      <c r="AJ9" s="178"/>
      <c r="AK9" s="178"/>
      <c r="AL9" s="178"/>
      <c r="AM9" s="178"/>
      <c r="AN9" s="179"/>
      <c r="AO9" s="180"/>
      <c r="AP9" s="181"/>
      <c r="AQ9" s="109"/>
      <c r="AR9" s="109"/>
      <c r="AS9" s="109"/>
      <c r="AT9" s="109"/>
      <c r="AU9" s="109"/>
      <c r="AV9" s="152"/>
      <c r="AW9" s="153"/>
      <c r="AX9" s="110"/>
    </row>
    <row r="10" spans="2:50" s="147" customFormat="1" x14ac:dyDescent="0.2">
      <c r="B10" s="634">
        <v>3</v>
      </c>
      <c r="C10" s="84">
        <v>24999</v>
      </c>
      <c r="D10" s="84">
        <v>1</v>
      </c>
      <c r="E10" s="84">
        <v>2499900</v>
      </c>
      <c r="F10" s="84"/>
      <c r="G10" s="84"/>
      <c r="H10" s="84"/>
      <c r="I10" s="148"/>
      <c r="J10" s="149"/>
      <c r="K10" s="87"/>
      <c r="L10" s="87"/>
      <c r="M10" s="87"/>
      <c r="N10" s="87"/>
      <c r="O10" s="150"/>
      <c r="P10" s="151"/>
      <c r="Q10" s="95"/>
      <c r="R10" s="96"/>
      <c r="S10" s="97"/>
      <c r="T10" s="98"/>
      <c r="U10" s="99"/>
      <c r="V10" s="99"/>
      <c r="W10" s="99"/>
      <c r="X10" s="100"/>
      <c r="Y10" s="606">
        <f t="shared" si="0"/>
        <v>0</v>
      </c>
      <c r="Z10" s="305">
        <f t="shared" si="1"/>
        <v>0</v>
      </c>
      <c r="AA10" s="306">
        <f t="shared" si="2"/>
        <v>0</v>
      </c>
      <c r="AB10" s="306">
        <f t="shared" si="3"/>
        <v>0</v>
      </c>
      <c r="AC10" s="306">
        <f t="shared" si="4"/>
        <v>0</v>
      </c>
      <c r="AD10" s="301">
        <f t="shared" si="5"/>
        <v>0</v>
      </c>
      <c r="AE10" s="602">
        <f t="shared" si="6"/>
        <v>0</v>
      </c>
      <c r="AF10" s="165"/>
      <c r="AG10" s="162"/>
      <c r="AH10" s="168"/>
      <c r="AI10" s="177"/>
      <c r="AJ10" s="178"/>
      <c r="AK10" s="178"/>
      <c r="AL10" s="178"/>
      <c r="AM10" s="178"/>
      <c r="AN10" s="179"/>
      <c r="AO10" s="180"/>
      <c r="AP10" s="181"/>
      <c r="AQ10" s="109"/>
      <c r="AR10" s="109"/>
      <c r="AS10" s="109"/>
      <c r="AT10" s="109"/>
      <c r="AU10" s="109"/>
      <c r="AV10" s="152"/>
      <c r="AW10" s="153"/>
      <c r="AX10" s="110"/>
    </row>
    <row r="11" spans="2:50" s="147" customFormat="1" x14ac:dyDescent="0.2">
      <c r="B11" s="634">
        <v>4</v>
      </c>
      <c r="C11" s="84">
        <v>2499900</v>
      </c>
      <c r="D11" s="84">
        <v>1</v>
      </c>
      <c r="E11" s="84">
        <v>107424</v>
      </c>
      <c r="F11" s="84"/>
      <c r="G11" s="84"/>
      <c r="H11" s="84"/>
      <c r="I11" s="148"/>
      <c r="J11" s="149"/>
      <c r="K11" s="87"/>
      <c r="L11" s="87"/>
      <c r="M11" s="87"/>
      <c r="N11" s="87"/>
      <c r="O11" s="150"/>
      <c r="P11" s="151"/>
      <c r="Q11" s="95"/>
      <c r="R11" s="96"/>
      <c r="S11" s="97"/>
      <c r="T11" s="98"/>
      <c r="U11" s="99"/>
      <c r="V11" s="99"/>
      <c r="W11" s="99"/>
      <c r="X11" s="100"/>
      <c r="Y11" s="606">
        <f t="shared" si="0"/>
        <v>0</v>
      </c>
      <c r="Z11" s="305">
        <f t="shared" si="1"/>
        <v>0</v>
      </c>
      <c r="AA11" s="306">
        <f t="shared" si="2"/>
        <v>0</v>
      </c>
      <c r="AB11" s="306">
        <f t="shared" si="3"/>
        <v>0</v>
      </c>
      <c r="AC11" s="306">
        <f t="shared" si="4"/>
        <v>0</v>
      </c>
      <c r="AD11" s="301">
        <f t="shared" si="5"/>
        <v>0</v>
      </c>
      <c r="AE11" s="602">
        <f t="shared" si="6"/>
        <v>0</v>
      </c>
      <c r="AF11" s="165"/>
      <c r="AG11" s="162"/>
      <c r="AH11" s="168"/>
      <c r="AI11" s="177"/>
      <c r="AJ11" s="178"/>
      <c r="AK11" s="178"/>
      <c r="AL11" s="178"/>
      <c r="AM11" s="178"/>
      <c r="AN11" s="179"/>
      <c r="AO11" s="180"/>
      <c r="AP11" s="181"/>
      <c r="AQ11" s="109"/>
      <c r="AR11" s="109"/>
      <c r="AS11" s="109"/>
      <c r="AT11" s="109"/>
      <c r="AU11" s="109"/>
      <c r="AV11" s="152"/>
      <c r="AW11" s="153"/>
      <c r="AX11" s="110"/>
    </row>
    <row r="12" spans="2:50" s="147" customFormat="1" x14ac:dyDescent="0.2">
      <c r="B12" s="634">
        <v>5</v>
      </c>
      <c r="C12" s="84">
        <v>2499900</v>
      </c>
      <c r="D12" s="84">
        <v>1</v>
      </c>
      <c r="E12" s="84">
        <v>107512</v>
      </c>
      <c r="F12" s="84"/>
      <c r="G12" s="84"/>
      <c r="H12" s="84"/>
      <c r="I12" s="148"/>
      <c r="J12" s="149"/>
      <c r="K12" s="87"/>
      <c r="L12" s="87"/>
      <c r="M12" s="87"/>
      <c r="N12" s="87"/>
      <c r="O12" s="150"/>
      <c r="P12" s="151"/>
      <c r="Q12" s="95"/>
      <c r="R12" s="96"/>
      <c r="S12" s="97"/>
      <c r="T12" s="98"/>
      <c r="U12" s="99"/>
      <c r="V12" s="99"/>
      <c r="W12" s="99"/>
      <c r="X12" s="100"/>
      <c r="Y12" s="606">
        <f t="shared" si="0"/>
        <v>0</v>
      </c>
      <c r="Z12" s="305">
        <f t="shared" si="1"/>
        <v>0</v>
      </c>
      <c r="AA12" s="306">
        <f t="shared" si="2"/>
        <v>0</v>
      </c>
      <c r="AB12" s="306">
        <f t="shared" si="3"/>
        <v>0</v>
      </c>
      <c r="AC12" s="306">
        <f t="shared" si="4"/>
        <v>0</v>
      </c>
      <c r="AD12" s="301">
        <f t="shared" si="5"/>
        <v>0</v>
      </c>
      <c r="AE12" s="602">
        <f t="shared" si="6"/>
        <v>0</v>
      </c>
      <c r="AF12" s="165"/>
      <c r="AG12" s="162"/>
      <c r="AH12" s="168"/>
      <c r="AI12" s="177"/>
      <c r="AJ12" s="178"/>
      <c r="AK12" s="178"/>
      <c r="AL12" s="178"/>
      <c r="AM12" s="178"/>
      <c r="AN12" s="179"/>
      <c r="AO12" s="180"/>
      <c r="AP12" s="181"/>
      <c r="AQ12" s="109"/>
      <c r="AR12" s="109"/>
      <c r="AS12" s="109"/>
      <c r="AT12" s="109"/>
      <c r="AU12" s="109"/>
      <c r="AV12" s="152"/>
      <c r="AW12" s="153"/>
      <c r="AX12" s="110"/>
    </row>
    <row r="13" spans="2:50" s="147" customFormat="1" ht="11.25" customHeight="1" x14ac:dyDescent="0.2">
      <c r="B13" s="634">
        <v>6</v>
      </c>
      <c r="C13" s="84">
        <v>2499900</v>
      </c>
      <c r="D13" s="84">
        <v>1</v>
      </c>
      <c r="E13" s="84">
        <v>130043</v>
      </c>
      <c r="F13" s="84"/>
      <c r="G13" s="84"/>
      <c r="H13" s="84"/>
      <c r="I13" s="148"/>
      <c r="J13" s="149"/>
      <c r="K13" s="87"/>
      <c r="L13" s="87"/>
      <c r="M13" s="87"/>
      <c r="N13" s="87"/>
      <c r="O13" s="150"/>
      <c r="P13" s="151"/>
      <c r="Q13" s="95"/>
      <c r="R13" s="96"/>
      <c r="S13" s="97"/>
      <c r="T13" s="98"/>
      <c r="U13" s="99"/>
      <c r="V13" s="99"/>
      <c r="W13" s="99"/>
      <c r="X13" s="100"/>
      <c r="Y13" s="606">
        <f t="shared" si="0"/>
        <v>0</v>
      </c>
      <c r="Z13" s="305">
        <f t="shared" si="1"/>
        <v>0</v>
      </c>
      <c r="AA13" s="306">
        <f t="shared" si="2"/>
        <v>0</v>
      </c>
      <c r="AB13" s="306">
        <f t="shared" si="3"/>
        <v>0</v>
      </c>
      <c r="AC13" s="306">
        <f t="shared" si="4"/>
        <v>0</v>
      </c>
      <c r="AD13" s="301">
        <f t="shared" si="5"/>
        <v>0</v>
      </c>
      <c r="AE13" s="602">
        <f t="shared" si="6"/>
        <v>0</v>
      </c>
      <c r="AF13" s="165"/>
      <c r="AG13" s="162"/>
      <c r="AH13" s="168"/>
      <c r="AI13" s="177"/>
      <c r="AJ13" s="178"/>
      <c r="AK13" s="178"/>
      <c r="AL13" s="178"/>
      <c r="AM13" s="178"/>
      <c r="AN13" s="179"/>
      <c r="AO13" s="180"/>
      <c r="AP13" s="181"/>
      <c r="AQ13" s="109"/>
      <c r="AR13" s="109"/>
      <c r="AS13" s="109"/>
      <c r="AT13" s="109"/>
      <c r="AU13" s="109"/>
      <c r="AV13" s="152"/>
      <c r="AW13" s="153"/>
      <c r="AX13" s="110"/>
    </row>
    <row r="14" spans="2:50" s="147" customFormat="1" x14ac:dyDescent="0.2">
      <c r="B14" s="634">
        <v>7</v>
      </c>
      <c r="C14" s="84">
        <v>2499900</v>
      </c>
      <c r="D14" s="84">
        <v>1</v>
      </c>
      <c r="E14" s="84">
        <v>199012</v>
      </c>
      <c r="F14" s="84"/>
      <c r="G14" s="84"/>
      <c r="H14" s="84"/>
      <c r="I14" s="148"/>
      <c r="J14" s="149"/>
      <c r="K14" s="87"/>
      <c r="L14" s="87"/>
      <c r="M14" s="87"/>
      <c r="N14" s="87"/>
      <c r="O14" s="150"/>
      <c r="P14" s="151"/>
      <c r="Q14" s="95"/>
      <c r="R14" s="96"/>
      <c r="S14" s="97"/>
      <c r="T14" s="98"/>
      <c r="U14" s="99"/>
      <c r="V14" s="99"/>
      <c r="W14" s="99"/>
      <c r="X14" s="100"/>
      <c r="Y14" s="606">
        <f t="shared" si="0"/>
        <v>0</v>
      </c>
      <c r="Z14" s="305">
        <f t="shared" si="1"/>
        <v>0</v>
      </c>
      <c r="AA14" s="306">
        <f t="shared" si="2"/>
        <v>0</v>
      </c>
      <c r="AB14" s="306">
        <f t="shared" si="3"/>
        <v>0</v>
      </c>
      <c r="AC14" s="306">
        <f t="shared" si="4"/>
        <v>0</v>
      </c>
      <c r="AD14" s="301">
        <f t="shared" si="5"/>
        <v>0</v>
      </c>
      <c r="AE14" s="602">
        <f t="shared" si="6"/>
        <v>0</v>
      </c>
      <c r="AF14" s="165"/>
      <c r="AG14" s="162"/>
      <c r="AH14" s="168"/>
      <c r="AI14" s="177"/>
      <c r="AJ14" s="178"/>
      <c r="AK14" s="178"/>
      <c r="AL14" s="178"/>
      <c r="AM14" s="178"/>
      <c r="AN14" s="179"/>
      <c r="AO14" s="180"/>
      <c r="AP14" s="181"/>
      <c r="AQ14" s="109"/>
      <c r="AR14" s="109"/>
      <c r="AS14" s="109"/>
      <c r="AT14" s="109"/>
      <c r="AU14" s="109"/>
      <c r="AV14" s="152"/>
      <c r="AW14" s="153"/>
      <c r="AX14" s="110"/>
    </row>
    <row r="15" spans="2:50" s="147" customFormat="1" x14ac:dyDescent="0.2">
      <c r="B15" s="634">
        <v>8</v>
      </c>
      <c r="C15" s="84">
        <v>2499900</v>
      </c>
      <c r="D15" s="84">
        <v>1</v>
      </c>
      <c r="E15" s="84">
        <v>241178</v>
      </c>
      <c r="F15" s="84"/>
      <c r="G15" s="84"/>
      <c r="H15" s="84"/>
      <c r="I15" s="148"/>
      <c r="J15" s="149"/>
      <c r="K15" s="87"/>
      <c r="L15" s="87"/>
      <c r="M15" s="87"/>
      <c r="N15" s="87"/>
      <c r="O15" s="150"/>
      <c r="P15" s="151"/>
      <c r="Q15" s="95"/>
      <c r="R15" s="96"/>
      <c r="S15" s="97"/>
      <c r="T15" s="98"/>
      <c r="U15" s="99"/>
      <c r="V15" s="99"/>
      <c r="W15" s="99"/>
      <c r="X15" s="100"/>
      <c r="Y15" s="606">
        <f t="shared" si="0"/>
        <v>0</v>
      </c>
      <c r="Z15" s="305">
        <f t="shared" si="1"/>
        <v>0</v>
      </c>
      <c r="AA15" s="306">
        <f t="shared" si="2"/>
        <v>0</v>
      </c>
      <c r="AB15" s="306">
        <f t="shared" si="3"/>
        <v>0</v>
      </c>
      <c r="AC15" s="306">
        <f t="shared" si="4"/>
        <v>0</v>
      </c>
      <c r="AD15" s="301">
        <f t="shared" si="5"/>
        <v>0</v>
      </c>
      <c r="AE15" s="602">
        <f t="shared" si="6"/>
        <v>0</v>
      </c>
      <c r="AF15" s="165"/>
      <c r="AG15" s="162"/>
      <c r="AH15" s="168"/>
      <c r="AI15" s="177"/>
      <c r="AJ15" s="178"/>
      <c r="AK15" s="178"/>
      <c r="AL15" s="178"/>
      <c r="AM15" s="178"/>
      <c r="AN15" s="179"/>
      <c r="AO15" s="180"/>
      <c r="AP15" s="181"/>
      <c r="AQ15" s="109"/>
      <c r="AR15" s="109"/>
      <c r="AS15" s="109"/>
      <c r="AT15" s="109"/>
      <c r="AU15" s="109"/>
      <c r="AV15" s="152"/>
      <c r="AW15" s="153"/>
      <c r="AX15" s="110"/>
    </row>
    <row r="16" spans="2:50" s="147" customFormat="1" x14ac:dyDescent="0.2">
      <c r="B16" s="634">
        <v>9</v>
      </c>
      <c r="C16" s="84">
        <v>241178</v>
      </c>
      <c r="D16" s="84">
        <v>1</v>
      </c>
      <c r="E16" s="360">
        <v>180220</v>
      </c>
      <c r="F16" s="360"/>
      <c r="G16" s="84"/>
      <c r="H16" s="84"/>
      <c r="I16" s="148"/>
      <c r="J16" s="149"/>
      <c r="K16" s="87"/>
      <c r="L16" s="87"/>
      <c r="M16" s="87"/>
      <c r="N16" s="87"/>
      <c r="O16" s="150"/>
      <c r="P16" s="151"/>
      <c r="Q16" s="95"/>
      <c r="R16" s="96"/>
      <c r="S16" s="97"/>
      <c r="T16" s="98"/>
      <c r="U16" s="99"/>
      <c r="V16" s="99"/>
      <c r="W16" s="99"/>
      <c r="X16" s="100"/>
      <c r="Y16" s="606">
        <f t="shared" si="0"/>
        <v>0</v>
      </c>
      <c r="Z16" s="305">
        <f t="shared" si="1"/>
        <v>0</v>
      </c>
      <c r="AA16" s="306">
        <f t="shared" si="2"/>
        <v>0</v>
      </c>
      <c r="AB16" s="306">
        <f t="shared" si="3"/>
        <v>0</v>
      </c>
      <c r="AC16" s="306">
        <f t="shared" si="4"/>
        <v>0</v>
      </c>
      <c r="AD16" s="301">
        <f t="shared" si="5"/>
        <v>0</v>
      </c>
      <c r="AE16" s="734">
        <f t="shared" si="6"/>
        <v>0</v>
      </c>
      <c r="AF16" s="165"/>
      <c r="AG16" s="162"/>
      <c r="AH16" s="168"/>
      <c r="AI16" s="177"/>
      <c r="AJ16" s="178"/>
      <c r="AK16" s="178"/>
      <c r="AL16" s="178"/>
      <c r="AM16" s="178"/>
      <c r="AN16" s="179"/>
      <c r="AO16" s="180"/>
      <c r="AP16" s="181"/>
      <c r="AQ16" s="109"/>
      <c r="AR16" s="109"/>
      <c r="AS16" s="109"/>
      <c r="AT16" s="109"/>
      <c r="AU16" s="109"/>
      <c r="AV16" s="152"/>
      <c r="AW16" s="153"/>
      <c r="AX16" s="110"/>
    </row>
    <row r="17" spans="2:50" s="147" customFormat="1" x14ac:dyDescent="0.2">
      <c r="B17" s="634">
        <v>10</v>
      </c>
      <c r="C17" s="84">
        <v>241178</v>
      </c>
      <c r="D17" s="170">
        <v>1</v>
      </c>
      <c r="E17" s="360">
        <v>180221</v>
      </c>
      <c r="F17" s="360"/>
      <c r="G17" s="84"/>
      <c r="H17" s="84"/>
      <c r="I17" s="148"/>
      <c r="J17" s="149"/>
      <c r="K17" s="87"/>
      <c r="L17" s="87"/>
      <c r="M17" s="87"/>
      <c r="N17" s="87"/>
      <c r="O17" s="150"/>
      <c r="P17" s="151"/>
      <c r="Q17" s="95"/>
      <c r="R17" s="96"/>
      <c r="S17" s="97"/>
      <c r="T17" s="98"/>
      <c r="U17" s="99"/>
      <c r="V17" s="99"/>
      <c r="W17" s="99"/>
      <c r="X17" s="100"/>
      <c r="Y17" s="606">
        <f t="shared" si="0"/>
        <v>0</v>
      </c>
      <c r="Z17" s="305">
        <f t="shared" si="1"/>
        <v>0</v>
      </c>
      <c r="AA17" s="306">
        <f t="shared" si="2"/>
        <v>0</v>
      </c>
      <c r="AB17" s="306">
        <f t="shared" si="3"/>
        <v>0</v>
      </c>
      <c r="AC17" s="306">
        <f t="shared" si="4"/>
        <v>0</v>
      </c>
      <c r="AD17" s="301">
        <f t="shared" si="5"/>
        <v>0</v>
      </c>
      <c r="AE17" s="602">
        <f t="shared" si="6"/>
        <v>0</v>
      </c>
      <c r="AF17" s="165"/>
      <c r="AG17" s="162"/>
      <c r="AH17" s="168"/>
      <c r="AI17" s="177"/>
      <c r="AJ17" s="178"/>
      <c r="AK17" s="178"/>
      <c r="AL17" s="178"/>
      <c r="AM17" s="178"/>
      <c r="AN17" s="179"/>
      <c r="AO17" s="180"/>
      <c r="AP17" s="181"/>
      <c r="AQ17" s="109"/>
      <c r="AR17" s="109"/>
      <c r="AS17" s="109"/>
      <c r="AT17" s="109"/>
      <c r="AU17" s="109"/>
      <c r="AV17" s="152"/>
      <c r="AW17" s="153"/>
      <c r="AX17" s="110"/>
    </row>
    <row r="18" spans="2:50" s="147" customFormat="1" x14ac:dyDescent="0.2">
      <c r="B18" s="634">
        <v>11</v>
      </c>
      <c r="C18" s="84">
        <v>2499900</v>
      </c>
      <c r="D18" s="367">
        <v>1</v>
      </c>
      <c r="E18" s="360">
        <v>311494</v>
      </c>
      <c r="F18" s="360"/>
      <c r="G18" s="84"/>
      <c r="H18" s="84"/>
      <c r="I18" s="148"/>
      <c r="J18" s="149"/>
      <c r="K18" s="87"/>
      <c r="L18" s="87"/>
      <c r="M18" s="87"/>
      <c r="N18" s="87"/>
      <c r="O18" s="150"/>
      <c r="P18" s="151"/>
      <c r="Q18" s="95"/>
      <c r="R18" s="96"/>
      <c r="S18" s="97"/>
      <c r="T18" s="98"/>
      <c r="U18" s="99"/>
      <c r="V18" s="99"/>
      <c r="W18" s="99"/>
      <c r="X18" s="100"/>
      <c r="Y18" s="606">
        <f t="shared" si="0"/>
        <v>0</v>
      </c>
      <c r="Z18" s="305">
        <f t="shared" si="1"/>
        <v>0</v>
      </c>
      <c r="AA18" s="306">
        <f t="shared" si="2"/>
        <v>0</v>
      </c>
      <c r="AB18" s="306">
        <f t="shared" si="3"/>
        <v>0</v>
      </c>
      <c r="AC18" s="306">
        <f t="shared" si="4"/>
        <v>0</v>
      </c>
      <c r="AD18" s="301">
        <f t="shared" si="5"/>
        <v>0</v>
      </c>
      <c r="AE18" s="602">
        <f t="shared" si="6"/>
        <v>0</v>
      </c>
      <c r="AF18" s="165"/>
      <c r="AG18" s="162"/>
      <c r="AH18" s="168"/>
      <c r="AI18" s="177"/>
      <c r="AJ18" s="178"/>
      <c r="AK18" s="178"/>
      <c r="AL18" s="178"/>
      <c r="AM18" s="178"/>
      <c r="AN18" s="179"/>
      <c r="AO18" s="180"/>
      <c r="AP18" s="181"/>
      <c r="AQ18" s="109"/>
      <c r="AR18" s="109"/>
      <c r="AS18" s="109"/>
      <c r="AT18" s="109"/>
      <c r="AU18" s="109"/>
      <c r="AV18" s="152"/>
      <c r="AW18" s="153"/>
      <c r="AX18" s="110"/>
    </row>
    <row r="19" spans="2:50" s="147" customFormat="1" x14ac:dyDescent="0.2">
      <c r="B19" s="634">
        <v>12</v>
      </c>
      <c r="C19" s="84">
        <v>311494</v>
      </c>
      <c r="D19" s="170">
        <v>1</v>
      </c>
      <c r="E19" s="360">
        <v>180201</v>
      </c>
      <c r="F19" s="360"/>
      <c r="G19" s="84"/>
      <c r="H19" s="84"/>
      <c r="I19" s="148"/>
      <c r="J19" s="149"/>
      <c r="K19" s="87"/>
      <c r="L19" s="87"/>
      <c r="M19" s="87"/>
      <c r="N19" s="87"/>
      <c r="O19" s="150"/>
      <c r="P19" s="151"/>
      <c r="Q19" s="95"/>
      <c r="R19" s="96"/>
      <c r="S19" s="97"/>
      <c r="T19" s="98"/>
      <c r="U19" s="99"/>
      <c r="V19" s="99"/>
      <c r="W19" s="99"/>
      <c r="X19" s="100"/>
      <c r="Y19" s="606">
        <f t="shared" si="0"/>
        <v>0</v>
      </c>
      <c r="Z19" s="305">
        <f t="shared" si="1"/>
        <v>0</v>
      </c>
      <c r="AA19" s="306">
        <f t="shared" si="2"/>
        <v>0</v>
      </c>
      <c r="AB19" s="306">
        <f t="shared" si="3"/>
        <v>0</v>
      </c>
      <c r="AC19" s="306">
        <f t="shared" si="4"/>
        <v>0</v>
      </c>
      <c r="AD19" s="301">
        <f t="shared" si="5"/>
        <v>0</v>
      </c>
      <c r="AE19" s="602">
        <f t="shared" si="6"/>
        <v>0</v>
      </c>
      <c r="AF19" s="165"/>
      <c r="AG19" s="162"/>
      <c r="AH19" s="168"/>
      <c r="AI19" s="177"/>
      <c r="AJ19" s="178"/>
      <c r="AK19" s="178"/>
      <c r="AL19" s="178"/>
      <c r="AM19" s="178"/>
      <c r="AN19" s="179"/>
      <c r="AO19" s="180"/>
      <c r="AP19" s="181"/>
      <c r="AQ19" s="109"/>
      <c r="AR19" s="109"/>
      <c r="AS19" s="109"/>
      <c r="AT19" s="109"/>
      <c r="AU19" s="109"/>
      <c r="AV19" s="152"/>
      <c r="AW19" s="153"/>
      <c r="AX19" s="110"/>
    </row>
    <row r="20" spans="2:50" s="147" customFormat="1" x14ac:dyDescent="0.2">
      <c r="B20" s="634">
        <v>13</v>
      </c>
      <c r="C20" s="84">
        <v>2499900</v>
      </c>
      <c r="D20" s="170">
        <v>1</v>
      </c>
      <c r="E20" s="84">
        <v>961125</v>
      </c>
      <c r="F20" s="360"/>
      <c r="G20" s="84"/>
      <c r="H20" s="84"/>
      <c r="I20" s="148"/>
      <c r="J20" s="149"/>
      <c r="K20" s="87"/>
      <c r="L20" s="87"/>
      <c r="M20" s="87"/>
      <c r="N20" s="87"/>
      <c r="O20" s="150"/>
      <c r="P20" s="151"/>
      <c r="Q20" s="95"/>
      <c r="R20" s="96"/>
      <c r="S20" s="97"/>
      <c r="T20" s="98"/>
      <c r="U20" s="99"/>
      <c r="V20" s="99"/>
      <c r="W20" s="99"/>
      <c r="X20" s="100"/>
      <c r="Y20" s="606">
        <f t="shared" si="0"/>
        <v>0</v>
      </c>
      <c r="Z20" s="305">
        <f t="shared" si="1"/>
        <v>0</v>
      </c>
      <c r="AA20" s="306">
        <f t="shared" si="2"/>
        <v>0</v>
      </c>
      <c r="AB20" s="306">
        <f t="shared" si="3"/>
        <v>0</v>
      </c>
      <c r="AC20" s="306">
        <f t="shared" si="4"/>
        <v>0</v>
      </c>
      <c r="AD20" s="301">
        <f t="shared" si="5"/>
        <v>0</v>
      </c>
      <c r="AE20" s="602">
        <f t="shared" si="6"/>
        <v>0</v>
      </c>
      <c r="AF20" s="165"/>
      <c r="AG20" s="162"/>
      <c r="AH20" s="168"/>
      <c r="AI20" s="177"/>
      <c r="AJ20" s="178"/>
      <c r="AK20" s="178"/>
      <c r="AL20" s="178"/>
      <c r="AM20" s="178"/>
      <c r="AN20" s="179"/>
      <c r="AO20" s="180"/>
      <c r="AP20" s="181"/>
      <c r="AQ20" s="109"/>
      <c r="AR20" s="109"/>
      <c r="AS20" s="109"/>
      <c r="AT20" s="109"/>
      <c r="AU20" s="109"/>
      <c r="AV20" s="152"/>
      <c r="AW20" s="153"/>
      <c r="AX20" s="110"/>
    </row>
    <row r="21" spans="2:50" s="147" customFormat="1" x14ac:dyDescent="0.2">
      <c r="B21" s="634">
        <v>14</v>
      </c>
      <c r="C21" s="84">
        <v>2499900</v>
      </c>
      <c r="D21" s="170">
        <v>1</v>
      </c>
      <c r="E21" s="84">
        <v>963054</v>
      </c>
      <c r="F21" s="360"/>
      <c r="G21" s="84"/>
      <c r="H21" s="84"/>
      <c r="I21" s="148"/>
      <c r="J21" s="149"/>
      <c r="K21" s="87"/>
      <c r="L21" s="87"/>
      <c r="M21" s="87"/>
      <c r="N21" s="87"/>
      <c r="O21" s="150"/>
      <c r="P21" s="151"/>
      <c r="Q21" s="95"/>
      <c r="R21" s="96"/>
      <c r="S21" s="97"/>
      <c r="T21" s="98"/>
      <c r="U21" s="99"/>
      <c r="V21" s="99"/>
      <c r="W21" s="99"/>
      <c r="X21" s="100"/>
      <c r="Y21" s="606">
        <f t="shared" si="0"/>
        <v>0</v>
      </c>
      <c r="Z21" s="305">
        <f t="shared" si="1"/>
        <v>0</v>
      </c>
      <c r="AA21" s="306">
        <f t="shared" si="2"/>
        <v>0</v>
      </c>
      <c r="AB21" s="306">
        <f t="shared" si="3"/>
        <v>0</v>
      </c>
      <c r="AC21" s="306">
        <f t="shared" si="4"/>
        <v>0</v>
      </c>
      <c r="AD21" s="301">
        <f t="shared" si="5"/>
        <v>0</v>
      </c>
      <c r="AE21" s="602">
        <f t="shared" si="6"/>
        <v>0</v>
      </c>
      <c r="AF21" s="165"/>
      <c r="AG21" s="162"/>
      <c r="AH21" s="168"/>
      <c r="AI21" s="177"/>
      <c r="AJ21" s="178"/>
      <c r="AK21" s="178"/>
      <c r="AL21" s="178"/>
      <c r="AM21" s="178"/>
      <c r="AN21" s="179"/>
      <c r="AO21" s="180"/>
      <c r="AP21" s="181"/>
      <c r="AQ21" s="109"/>
      <c r="AR21" s="109"/>
      <c r="AS21" s="109"/>
      <c r="AT21" s="109"/>
      <c r="AU21" s="109"/>
      <c r="AV21" s="152"/>
      <c r="AW21" s="153"/>
      <c r="AX21" s="110"/>
    </row>
    <row r="22" spans="2:50" s="147" customFormat="1" x14ac:dyDescent="0.2">
      <c r="B22" s="634">
        <v>18</v>
      </c>
      <c r="C22" s="84"/>
      <c r="D22" s="170"/>
      <c r="E22" s="84"/>
      <c r="F22" s="360"/>
      <c r="G22" s="84"/>
      <c r="H22" s="84"/>
      <c r="I22" s="148"/>
      <c r="J22" s="149"/>
      <c r="K22" s="87"/>
      <c r="L22" s="87"/>
      <c r="M22" s="87"/>
      <c r="N22" s="87"/>
      <c r="O22" s="150"/>
      <c r="P22" s="151"/>
      <c r="Q22" s="95"/>
      <c r="R22" s="96"/>
      <c r="S22" s="97"/>
      <c r="T22" s="98"/>
      <c r="U22" s="99"/>
      <c r="V22" s="99"/>
      <c r="W22" s="99"/>
      <c r="X22" s="100"/>
      <c r="Y22" s="606">
        <f t="shared" si="0"/>
        <v>0</v>
      </c>
      <c r="Z22" s="305">
        <f t="shared" si="1"/>
        <v>0</v>
      </c>
      <c r="AA22" s="306">
        <f t="shared" si="2"/>
        <v>0</v>
      </c>
      <c r="AB22" s="306">
        <f t="shared" si="3"/>
        <v>0</v>
      </c>
      <c r="AC22" s="306">
        <f t="shared" si="4"/>
        <v>0</v>
      </c>
      <c r="AD22" s="301">
        <f t="shared" si="5"/>
        <v>0</v>
      </c>
      <c r="AE22" s="602">
        <f t="shared" si="6"/>
        <v>0</v>
      </c>
      <c r="AF22" s="165"/>
      <c r="AG22" s="162"/>
      <c r="AH22" s="168"/>
      <c r="AI22" s="177"/>
      <c r="AJ22" s="178"/>
      <c r="AK22" s="178"/>
      <c r="AL22" s="178"/>
      <c r="AM22" s="178"/>
      <c r="AN22" s="179"/>
      <c r="AO22" s="180"/>
      <c r="AP22" s="181"/>
      <c r="AQ22" s="109"/>
      <c r="AR22" s="109"/>
      <c r="AS22" s="109"/>
      <c r="AT22" s="109"/>
      <c r="AU22" s="109"/>
      <c r="AV22" s="152"/>
      <c r="AW22" s="153"/>
      <c r="AX22" s="110"/>
    </row>
    <row r="23" spans="2:50" s="147" customFormat="1" x14ac:dyDescent="0.2">
      <c r="B23" s="634">
        <v>19</v>
      </c>
      <c r="C23" s="84"/>
      <c r="D23" s="170"/>
      <c r="E23" s="360"/>
      <c r="F23" s="360"/>
      <c r="G23" s="84"/>
      <c r="H23" s="84"/>
      <c r="I23" s="148"/>
      <c r="J23" s="149"/>
      <c r="K23" s="87"/>
      <c r="L23" s="87"/>
      <c r="M23" s="87"/>
      <c r="N23" s="87"/>
      <c r="O23" s="150"/>
      <c r="P23" s="151"/>
      <c r="Q23" s="95"/>
      <c r="R23" s="96"/>
      <c r="S23" s="97"/>
      <c r="T23" s="98"/>
      <c r="U23" s="99"/>
      <c r="V23" s="99"/>
      <c r="W23" s="99"/>
      <c r="X23" s="100"/>
      <c r="Y23" s="606">
        <f t="shared" si="0"/>
        <v>0</v>
      </c>
      <c r="Z23" s="305">
        <f t="shared" si="1"/>
        <v>0</v>
      </c>
      <c r="AA23" s="306">
        <f t="shared" si="2"/>
        <v>0</v>
      </c>
      <c r="AB23" s="306">
        <f t="shared" si="3"/>
        <v>0</v>
      </c>
      <c r="AC23" s="306">
        <f t="shared" si="4"/>
        <v>0</v>
      </c>
      <c r="AD23" s="301">
        <f t="shared" si="5"/>
        <v>0</v>
      </c>
      <c r="AE23" s="602">
        <f t="shared" si="6"/>
        <v>0</v>
      </c>
      <c r="AF23" s="165"/>
      <c r="AG23" s="162"/>
      <c r="AH23" s="168"/>
      <c r="AI23" s="177"/>
      <c r="AJ23" s="178"/>
      <c r="AK23" s="178"/>
      <c r="AL23" s="178"/>
      <c r="AM23" s="178"/>
      <c r="AN23" s="179"/>
      <c r="AO23" s="180"/>
      <c r="AP23" s="181"/>
      <c r="AQ23" s="109"/>
      <c r="AR23" s="109"/>
      <c r="AS23" s="109"/>
      <c r="AT23" s="109"/>
      <c r="AU23" s="109"/>
      <c r="AV23" s="152"/>
      <c r="AW23" s="153"/>
      <c r="AX23" s="110"/>
    </row>
    <row r="24" spans="2:50" s="147" customFormat="1" x14ac:dyDescent="0.2">
      <c r="B24" s="634">
        <v>20</v>
      </c>
      <c r="C24" s="84"/>
      <c r="D24" s="170"/>
      <c r="E24" s="360"/>
      <c r="F24" s="360"/>
      <c r="G24" s="84"/>
      <c r="H24" s="84"/>
      <c r="I24" s="148"/>
      <c r="J24" s="149"/>
      <c r="K24" s="87"/>
      <c r="L24" s="87"/>
      <c r="M24" s="87"/>
      <c r="N24" s="87"/>
      <c r="O24" s="150"/>
      <c r="P24" s="151"/>
      <c r="Q24" s="95"/>
      <c r="R24" s="96"/>
      <c r="S24" s="97"/>
      <c r="T24" s="98"/>
      <c r="U24" s="99"/>
      <c r="V24" s="99"/>
      <c r="W24" s="99"/>
      <c r="X24" s="100"/>
      <c r="Y24" s="606">
        <f t="shared" si="0"/>
        <v>0</v>
      </c>
      <c r="Z24" s="305">
        <f t="shared" si="1"/>
        <v>0</v>
      </c>
      <c r="AA24" s="306">
        <f t="shared" si="2"/>
        <v>0</v>
      </c>
      <c r="AB24" s="306">
        <f t="shared" si="3"/>
        <v>0</v>
      </c>
      <c r="AC24" s="306">
        <f t="shared" si="4"/>
        <v>0</v>
      </c>
      <c r="AD24" s="301">
        <f t="shared" si="5"/>
        <v>0</v>
      </c>
      <c r="AE24" s="602">
        <f t="shared" si="6"/>
        <v>0</v>
      </c>
      <c r="AF24" s="165"/>
      <c r="AG24" s="162"/>
      <c r="AH24" s="168"/>
      <c r="AI24" s="177"/>
      <c r="AJ24" s="178"/>
      <c r="AK24" s="178"/>
      <c r="AL24" s="178"/>
      <c r="AM24" s="178"/>
      <c r="AN24" s="179"/>
      <c r="AO24" s="180"/>
      <c r="AP24" s="181"/>
      <c r="AQ24" s="109"/>
      <c r="AR24" s="109"/>
      <c r="AS24" s="109"/>
      <c r="AT24" s="109"/>
      <c r="AU24" s="109"/>
      <c r="AV24" s="152"/>
      <c r="AW24" s="153"/>
      <c r="AX24" s="110"/>
    </row>
    <row r="25" spans="2:50" s="147" customFormat="1" x14ac:dyDescent="0.2">
      <c r="B25" s="634">
        <v>21</v>
      </c>
      <c r="C25" s="84"/>
      <c r="D25" s="170"/>
      <c r="E25" s="360"/>
      <c r="F25" s="360"/>
      <c r="G25" s="84"/>
      <c r="H25" s="84"/>
      <c r="I25" s="148"/>
      <c r="J25" s="149"/>
      <c r="K25" s="87"/>
      <c r="L25" s="87"/>
      <c r="M25" s="87"/>
      <c r="N25" s="87"/>
      <c r="O25" s="150"/>
      <c r="P25" s="151"/>
      <c r="Q25" s="95"/>
      <c r="R25" s="96"/>
      <c r="S25" s="97"/>
      <c r="T25" s="98"/>
      <c r="U25" s="99"/>
      <c r="V25" s="99"/>
      <c r="W25" s="99"/>
      <c r="X25" s="100"/>
      <c r="Y25" s="606">
        <f t="shared" si="0"/>
        <v>0</v>
      </c>
      <c r="Z25" s="305">
        <f t="shared" si="1"/>
        <v>0</v>
      </c>
      <c r="AA25" s="306">
        <f t="shared" si="2"/>
        <v>0</v>
      </c>
      <c r="AB25" s="306">
        <f t="shared" si="3"/>
        <v>0</v>
      </c>
      <c r="AC25" s="306">
        <f t="shared" si="4"/>
        <v>0</v>
      </c>
      <c r="AD25" s="301">
        <f t="shared" si="5"/>
        <v>0</v>
      </c>
      <c r="AE25" s="602">
        <f t="shared" si="6"/>
        <v>0</v>
      </c>
      <c r="AF25" s="165"/>
      <c r="AG25" s="162"/>
      <c r="AH25" s="168"/>
      <c r="AI25" s="177"/>
      <c r="AJ25" s="178"/>
      <c r="AK25" s="178"/>
      <c r="AL25" s="178"/>
      <c r="AM25" s="178"/>
      <c r="AN25" s="179"/>
      <c r="AO25" s="180"/>
      <c r="AP25" s="181"/>
      <c r="AQ25" s="109"/>
      <c r="AR25" s="109"/>
      <c r="AS25" s="109"/>
      <c r="AT25" s="109"/>
      <c r="AU25" s="109"/>
      <c r="AV25" s="152"/>
      <c r="AW25" s="153"/>
      <c r="AX25" s="110"/>
    </row>
    <row r="26" spans="2:50" s="147" customFormat="1" x14ac:dyDescent="0.2">
      <c r="B26" s="634">
        <v>22</v>
      </c>
      <c r="C26" s="84"/>
      <c r="D26" s="170"/>
      <c r="E26" s="84"/>
      <c r="F26" s="360"/>
      <c r="G26" s="84"/>
      <c r="H26" s="84"/>
      <c r="I26" s="148"/>
      <c r="J26" s="149"/>
      <c r="K26" s="87"/>
      <c r="L26" s="87"/>
      <c r="M26" s="87"/>
      <c r="N26" s="87"/>
      <c r="O26" s="150"/>
      <c r="P26" s="151"/>
      <c r="Q26" s="95"/>
      <c r="R26" s="96"/>
      <c r="S26" s="97"/>
      <c r="T26" s="98"/>
      <c r="U26" s="99"/>
      <c r="V26" s="99"/>
      <c r="W26" s="99"/>
      <c r="X26" s="100"/>
      <c r="Y26" s="606">
        <f t="shared" si="0"/>
        <v>0</v>
      </c>
      <c r="Z26" s="305">
        <f t="shared" si="1"/>
        <v>0</v>
      </c>
      <c r="AA26" s="306">
        <f t="shared" si="2"/>
        <v>0</v>
      </c>
      <c r="AB26" s="306">
        <f t="shared" si="3"/>
        <v>0</v>
      </c>
      <c r="AC26" s="306">
        <f t="shared" si="4"/>
        <v>0</v>
      </c>
      <c r="AD26" s="301">
        <f t="shared" si="5"/>
        <v>0</v>
      </c>
      <c r="AE26" s="602">
        <f t="shared" si="6"/>
        <v>0</v>
      </c>
      <c r="AF26" s="165"/>
      <c r="AG26" s="162"/>
      <c r="AH26" s="168"/>
      <c r="AI26" s="177"/>
      <c r="AJ26" s="178"/>
      <c r="AK26" s="178"/>
      <c r="AL26" s="178"/>
      <c r="AM26" s="178"/>
      <c r="AN26" s="179"/>
      <c r="AO26" s="180"/>
      <c r="AP26" s="181"/>
      <c r="AQ26" s="109"/>
      <c r="AR26" s="109"/>
      <c r="AS26" s="109"/>
      <c r="AT26" s="109"/>
      <c r="AU26" s="109"/>
      <c r="AV26" s="152"/>
      <c r="AW26" s="153"/>
      <c r="AX26" s="110"/>
    </row>
    <row r="27" spans="2:50" s="147" customFormat="1" x14ac:dyDescent="0.2">
      <c r="B27" s="634">
        <v>23</v>
      </c>
      <c r="C27" s="84"/>
      <c r="D27" s="170"/>
      <c r="E27" s="84"/>
      <c r="F27" s="360"/>
      <c r="G27" s="84"/>
      <c r="H27" s="84"/>
      <c r="I27" s="148"/>
      <c r="J27" s="149"/>
      <c r="K27" s="87"/>
      <c r="L27" s="87"/>
      <c r="M27" s="87"/>
      <c r="N27" s="87"/>
      <c r="O27" s="150"/>
      <c r="P27" s="151"/>
      <c r="Q27" s="95"/>
      <c r="R27" s="96"/>
      <c r="S27" s="97"/>
      <c r="T27" s="98"/>
      <c r="U27" s="99"/>
      <c r="V27" s="99"/>
      <c r="W27" s="99"/>
      <c r="X27" s="100"/>
      <c r="Y27" s="606">
        <f t="shared" si="0"/>
        <v>0</v>
      </c>
      <c r="Z27" s="305">
        <f t="shared" si="1"/>
        <v>0</v>
      </c>
      <c r="AA27" s="306">
        <f t="shared" si="2"/>
        <v>0</v>
      </c>
      <c r="AB27" s="306">
        <f t="shared" si="3"/>
        <v>0</v>
      </c>
      <c r="AC27" s="306">
        <f t="shared" si="4"/>
        <v>0</v>
      </c>
      <c r="AD27" s="301">
        <f t="shared" si="5"/>
        <v>0</v>
      </c>
      <c r="AE27" s="602">
        <f t="shared" si="6"/>
        <v>0</v>
      </c>
      <c r="AF27" s="165"/>
      <c r="AG27" s="162"/>
      <c r="AH27" s="168"/>
      <c r="AI27" s="177"/>
      <c r="AJ27" s="178"/>
      <c r="AK27" s="178"/>
      <c r="AL27" s="178"/>
      <c r="AM27" s="178"/>
      <c r="AN27" s="179"/>
      <c r="AO27" s="180"/>
      <c r="AP27" s="181"/>
      <c r="AQ27" s="109"/>
      <c r="AR27" s="109"/>
      <c r="AS27" s="109"/>
      <c r="AT27" s="109"/>
      <c r="AU27" s="109"/>
      <c r="AV27" s="152"/>
      <c r="AW27" s="153"/>
      <c r="AX27" s="110"/>
    </row>
    <row r="28" spans="2:50" s="147" customFormat="1" x14ac:dyDescent="0.2">
      <c r="B28" s="634">
        <v>24</v>
      </c>
      <c r="C28" s="84"/>
      <c r="D28" s="170"/>
      <c r="E28" s="84"/>
      <c r="F28" s="360"/>
      <c r="G28" s="84"/>
      <c r="H28" s="84"/>
      <c r="I28" s="148"/>
      <c r="J28" s="149"/>
      <c r="K28" s="87"/>
      <c r="L28" s="87"/>
      <c r="M28" s="87"/>
      <c r="N28" s="87"/>
      <c r="O28" s="150"/>
      <c r="P28" s="151"/>
      <c r="Q28" s="95"/>
      <c r="R28" s="96"/>
      <c r="S28" s="97"/>
      <c r="T28" s="98"/>
      <c r="U28" s="99"/>
      <c r="V28" s="99"/>
      <c r="W28" s="99"/>
      <c r="X28" s="100"/>
      <c r="Y28" s="606">
        <f t="shared" si="0"/>
        <v>0</v>
      </c>
      <c r="Z28" s="305">
        <f t="shared" si="1"/>
        <v>0</v>
      </c>
      <c r="AA28" s="306">
        <f t="shared" si="2"/>
        <v>0</v>
      </c>
      <c r="AB28" s="306">
        <f t="shared" si="3"/>
        <v>0</v>
      </c>
      <c r="AC28" s="306">
        <f t="shared" si="4"/>
        <v>0</v>
      </c>
      <c r="AD28" s="301">
        <f t="shared" si="5"/>
        <v>0</v>
      </c>
      <c r="AE28" s="602">
        <f t="shared" si="6"/>
        <v>0</v>
      </c>
      <c r="AF28" s="165"/>
      <c r="AG28" s="162"/>
      <c r="AH28" s="168"/>
      <c r="AI28" s="177"/>
      <c r="AJ28" s="178"/>
      <c r="AK28" s="178"/>
      <c r="AL28" s="178"/>
      <c r="AM28" s="178"/>
      <c r="AN28" s="179"/>
      <c r="AO28" s="180"/>
      <c r="AP28" s="181"/>
      <c r="AQ28" s="109"/>
      <c r="AR28" s="109"/>
      <c r="AS28" s="109"/>
      <c r="AT28" s="109"/>
      <c r="AU28" s="109"/>
      <c r="AV28" s="152"/>
      <c r="AW28" s="153"/>
      <c r="AX28" s="110"/>
    </row>
    <row r="29" spans="2:50" s="147" customFormat="1" x14ac:dyDescent="0.2">
      <c r="B29" s="634">
        <v>25</v>
      </c>
      <c r="C29" s="84"/>
      <c r="D29" s="170"/>
      <c r="E29" s="84"/>
      <c r="F29" s="360"/>
      <c r="G29" s="84"/>
      <c r="H29" s="84"/>
      <c r="I29" s="148"/>
      <c r="J29" s="149"/>
      <c r="K29" s="87"/>
      <c r="L29" s="87"/>
      <c r="M29" s="87"/>
      <c r="N29" s="87"/>
      <c r="O29" s="150"/>
      <c r="P29" s="151"/>
      <c r="Q29" s="95"/>
      <c r="R29" s="96"/>
      <c r="S29" s="97"/>
      <c r="T29" s="98"/>
      <c r="U29" s="99"/>
      <c r="V29" s="99"/>
      <c r="W29" s="99"/>
      <c r="X29" s="100"/>
      <c r="Y29" s="606">
        <f t="shared" si="0"/>
        <v>0</v>
      </c>
      <c r="Z29" s="305">
        <f t="shared" si="1"/>
        <v>0</v>
      </c>
      <c r="AA29" s="306">
        <f t="shared" si="2"/>
        <v>0</v>
      </c>
      <c r="AB29" s="306">
        <f t="shared" si="3"/>
        <v>0</v>
      </c>
      <c r="AC29" s="306">
        <f t="shared" si="4"/>
        <v>0</v>
      </c>
      <c r="AD29" s="301">
        <f t="shared" si="5"/>
        <v>0</v>
      </c>
      <c r="AE29" s="602">
        <f t="shared" si="6"/>
        <v>0</v>
      </c>
      <c r="AF29" s="165"/>
      <c r="AG29" s="162"/>
      <c r="AH29" s="168"/>
      <c r="AI29" s="177"/>
      <c r="AJ29" s="178"/>
      <c r="AK29" s="178"/>
      <c r="AL29" s="178"/>
      <c r="AM29" s="178"/>
      <c r="AN29" s="179"/>
      <c r="AO29" s="180"/>
      <c r="AP29" s="181"/>
      <c r="AQ29" s="109"/>
      <c r="AR29" s="109"/>
      <c r="AS29" s="109"/>
      <c r="AT29" s="109"/>
      <c r="AU29" s="109"/>
      <c r="AV29" s="152"/>
      <c r="AW29" s="153"/>
      <c r="AX29" s="110"/>
    </row>
    <row r="30" spans="2:50" s="147" customFormat="1" x14ac:dyDescent="0.2">
      <c r="B30" s="634">
        <v>26</v>
      </c>
      <c r="C30" s="84"/>
      <c r="D30" s="170"/>
      <c r="E30" s="84"/>
      <c r="F30" s="360"/>
      <c r="G30" s="84"/>
      <c r="H30" s="84"/>
      <c r="I30" s="148"/>
      <c r="J30" s="149"/>
      <c r="K30" s="87"/>
      <c r="L30" s="87"/>
      <c r="M30" s="87"/>
      <c r="N30" s="87"/>
      <c r="O30" s="150"/>
      <c r="P30" s="151"/>
      <c r="Q30" s="95"/>
      <c r="R30" s="96"/>
      <c r="S30" s="97"/>
      <c r="T30" s="98"/>
      <c r="U30" s="99"/>
      <c r="V30" s="99"/>
      <c r="W30" s="99"/>
      <c r="X30" s="100"/>
      <c r="Y30" s="606">
        <f t="shared" si="0"/>
        <v>0</v>
      </c>
      <c r="Z30" s="305">
        <f t="shared" si="1"/>
        <v>0</v>
      </c>
      <c r="AA30" s="306">
        <f t="shared" si="2"/>
        <v>0</v>
      </c>
      <c r="AB30" s="306">
        <f t="shared" si="3"/>
        <v>0</v>
      </c>
      <c r="AC30" s="306">
        <f t="shared" si="4"/>
        <v>0</v>
      </c>
      <c r="AD30" s="301">
        <f t="shared" si="5"/>
        <v>0</v>
      </c>
      <c r="AE30" s="602">
        <f t="shared" si="6"/>
        <v>0</v>
      </c>
      <c r="AF30" s="165"/>
      <c r="AG30" s="162"/>
      <c r="AH30" s="168"/>
      <c r="AI30" s="177"/>
      <c r="AJ30" s="178"/>
      <c r="AK30" s="178"/>
      <c r="AL30" s="178"/>
      <c r="AM30" s="178"/>
      <c r="AN30" s="179"/>
      <c r="AO30" s="180"/>
      <c r="AP30" s="181"/>
      <c r="AQ30" s="109"/>
      <c r="AR30" s="109"/>
      <c r="AS30" s="109"/>
      <c r="AT30" s="109"/>
      <c r="AU30" s="109"/>
      <c r="AV30" s="152"/>
      <c r="AW30" s="153"/>
      <c r="AX30" s="110"/>
    </row>
    <row r="31" spans="2:50" s="147" customFormat="1" x14ac:dyDescent="0.2">
      <c r="B31" s="634">
        <v>27</v>
      </c>
      <c r="C31" s="84"/>
      <c r="D31" s="170"/>
      <c r="E31" s="84"/>
      <c r="F31" s="360"/>
      <c r="G31" s="84"/>
      <c r="H31" s="84"/>
      <c r="I31" s="148"/>
      <c r="J31" s="149"/>
      <c r="K31" s="87"/>
      <c r="L31" s="87"/>
      <c r="M31" s="87"/>
      <c r="N31" s="87"/>
      <c r="O31" s="150"/>
      <c r="P31" s="151"/>
      <c r="Q31" s="95"/>
      <c r="R31" s="96"/>
      <c r="S31" s="97"/>
      <c r="T31" s="98"/>
      <c r="U31" s="99"/>
      <c r="V31" s="99"/>
      <c r="W31" s="99"/>
      <c r="X31" s="100"/>
      <c r="Y31" s="606">
        <f t="shared" si="0"/>
        <v>0</v>
      </c>
      <c r="Z31" s="305">
        <f t="shared" si="1"/>
        <v>0</v>
      </c>
      <c r="AA31" s="306">
        <f t="shared" si="2"/>
        <v>0</v>
      </c>
      <c r="AB31" s="306">
        <f t="shared" si="3"/>
        <v>0</v>
      </c>
      <c r="AC31" s="306">
        <f t="shared" si="4"/>
        <v>0</v>
      </c>
      <c r="AD31" s="301">
        <f t="shared" si="5"/>
        <v>0</v>
      </c>
      <c r="AE31" s="602">
        <f t="shared" si="6"/>
        <v>0</v>
      </c>
      <c r="AF31" s="165"/>
      <c r="AG31" s="162"/>
      <c r="AH31" s="168"/>
      <c r="AI31" s="177"/>
      <c r="AJ31" s="178"/>
      <c r="AK31" s="178"/>
      <c r="AL31" s="178"/>
      <c r="AM31" s="178"/>
      <c r="AN31" s="179"/>
      <c r="AO31" s="180"/>
      <c r="AP31" s="181"/>
      <c r="AQ31" s="109"/>
      <c r="AR31" s="109"/>
      <c r="AS31" s="109"/>
      <c r="AT31" s="109"/>
      <c r="AU31" s="109"/>
      <c r="AV31" s="152"/>
      <c r="AW31" s="153"/>
      <c r="AX31" s="110"/>
    </row>
    <row r="32" spans="2:50" s="147" customFormat="1" x14ac:dyDescent="0.2">
      <c r="B32" s="634">
        <v>28</v>
      </c>
      <c r="C32" s="84"/>
      <c r="D32" s="170"/>
      <c r="E32" s="84"/>
      <c r="F32" s="360"/>
      <c r="G32" s="84"/>
      <c r="H32" s="84"/>
      <c r="I32" s="148"/>
      <c r="J32" s="149"/>
      <c r="K32" s="87"/>
      <c r="L32" s="87"/>
      <c r="M32" s="87"/>
      <c r="N32" s="87"/>
      <c r="O32" s="150"/>
      <c r="P32" s="151"/>
      <c r="Q32" s="95"/>
      <c r="R32" s="96"/>
      <c r="S32" s="97"/>
      <c r="T32" s="98"/>
      <c r="U32" s="99"/>
      <c r="V32" s="99"/>
      <c r="W32" s="99"/>
      <c r="X32" s="100"/>
      <c r="Y32" s="606">
        <f t="shared" si="0"/>
        <v>0</v>
      </c>
      <c r="Z32" s="305">
        <f t="shared" si="1"/>
        <v>0</v>
      </c>
      <c r="AA32" s="306">
        <f t="shared" si="2"/>
        <v>0</v>
      </c>
      <c r="AB32" s="306">
        <f t="shared" si="3"/>
        <v>0</v>
      </c>
      <c r="AC32" s="306">
        <f t="shared" si="4"/>
        <v>0</v>
      </c>
      <c r="AD32" s="301">
        <f t="shared" si="5"/>
        <v>0</v>
      </c>
      <c r="AE32" s="602">
        <f t="shared" si="6"/>
        <v>0</v>
      </c>
      <c r="AF32" s="165"/>
      <c r="AG32" s="162"/>
      <c r="AH32" s="168"/>
      <c r="AI32" s="177"/>
      <c r="AJ32" s="178"/>
      <c r="AK32" s="178"/>
      <c r="AL32" s="178"/>
      <c r="AM32" s="178"/>
      <c r="AN32" s="179"/>
      <c r="AO32" s="180"/>
      <c r="AP32" s="181"/>
      <c r="AQ32" s="109"/>
      <c r="AR32" s="109"/>
      <c r="AS32" s="109"/>
      <c r="AT32" s="109"/>
      <c r="AU32" s="109"/>
      <c r="AV32" s="152"/>
      <c r="AW32" s="153"/>
      <c r="AX32" s="110"/>
    </row>
    <row r="33" spans="2:50" s="147" customFormat="1" x14ac:dyDescent="0.2">
      <c r="B33" s="634">
        <v>29</v>
      </c>
      <c r="C33" s="84"/>
      <c r="D33" s="170"/>
      <c r="E33" s="84"/>
      <c r="F33" s="360"/>
      <c r="G33" s="84"/>
      <c r="H33" s="84"/>
      <c r="I33" s="148"/>
      <c r="J33" s="149"/>
      <c r="K33" s="87"/>
      <c r="L33" s="87"/>
      <c r="M33" s="87"/>
      <c r="N33" s="87"/>
      <c r="O33" s="150"/>
      <c r="P33" s="151"/>
      <c r="Q33" s="95"/>
      <c r="R33" s="96"/>
      <c r="S33" s="97"/>
      <c r="T33" s="98"/>
      <c r="U33" s="99"/>
      <c r="V33" s="99"/>
      <c r="W33" s="99"/>
      <c r="X33" s="100"/>
      <c r="Y33" s="606">
        <f t="shared" si="0"/>
        <v>0</v>
      </c>
      <c r="Z33" s="305">
        <f t="shared" si="1"/>
        <v>0</v>
      </c>
      <c r="AA33" s="306">
        <f t="shared" si="2"/>
        <v>0</v>
      </c>
      <c r="AB33" s="306">
        <f t="shared" si="3"/>
        <v>0</v>
      </c>
      <c r="AC33" s="306">
        <f t="shared" si="4"/>
        <v>0</v>
      </c>
      <c r="AD33" s="301">
        <f t="shared" si="5"/>
        <v>0</v>
      </c>
      <c r="AE33" s="602">
        <f t="shared" si="6"/>
        <v>0</v>
      </c>
      <c r="AF33" s="165"/>
      <c r="AG33" s="162"/>
      <c r="AH33" s="168"/>
      <c r="AI33" s="177"/>
      <c r="AJ33" s="178"/>
      <c r="AK33" s="178"/>
      <c r="AL33" s="178"/>
      <c r="AM33" s="178"/>
      <c r="AN33" s="179"/>
      <c r="AO33" s="180"/>
      <c r="AP33" s="181"/>
      <c r="AQ33" s="109"/>
      <c r="AR33" s="109"/>
      <c r="AS33" s="109"/>
      <c r="AT33" s="109"/>
      <c r="AU33" s="109"/>
      <c r="AV33" s="152"/>
      <c r="AW33" s="153"/>
      <c r="AX33" s="110"/>
    </row>
    <row r="34" spans="2:50" s="147" customFormat="1" x14ac:dyDescent="0.2">
      <c r="B34" s="634">
        <v>30</v>
      </c>
      <c r="C34" s="84"/>
      <c r="D34" s="170"/>
      <c r="E34" s="84"/>
      <c r="F34" s="360"/>
      <c r="G34" s="84"/>
      <c r="H34" s="84"/>
      <c r="I34" s="148"/>
      <c r="J34" s="149"/>
      <c r="K34" s="87"/>
      <c r="L34" s="87"/>
      <c r="M34" s="87"/>
      <c r="N34" s="87"/>
      <c r="O34" s="150"/>
      <c r="P34" s="151"/>
      <c r="Q34" s="95"/>
      <c r="R34" s="96"/>
      <c r="S34" s="97"/>
      <c r="T34" s="98"/>
      <c r="U34" s="99"/>
      <c r="V34" s="99"/>
      <c r="W34" s="99"/>
      <c r="X34" s="100"/>
      <c r="Y34" s="606">
        <f t="shared" si="0"/>
        <v>0</v>
      </c>
      <c r="Z34" s="305">
        <f t="shared" si="1"/>
        <v>0</v>
      </c>
      <c r="AA34" s="306">
        <f t="shared" si="2"/>
        <v>0</v>
      </c>
      <c r="AB34" s="306">
        <f t="shared" si="3"/>
        <v>0</v>
      </c>
      <c r="AC34" s="306">
        <f t="shared" si="4"/>
        <v>0</v>
      </c>
      <c r="AD34" s="301">
        <f t="shared" si="5"/>
        <v>0</v>
      </c>
      <c r="AE34" s="602">
        <f t="shared" si="6"/>
        <v>0</v>
      </c>
      <c r="AF34" s="165"/>
      <c r="AG34" s="162"/>
      <c r="AH34" s="168"/>
      <c r="AI34" s="177"/>
      <c r="AJ34" s="178"/>
      <c r="AK34" s="178"/>
      <c r="AL34" s="178"/>
      <c r="AM34" s="178"/>
      <c r="AN34" s="179"/>
      <c r="AO34" s="180"/>
      <c r="AP34" s="181"/>
      <c r="AQ34" s="109"/>
      <c r="AR34" s="109"/>
      <c r="AS34" s="109"/>
      <c r="AT34" s="109"/>
      <c r="AU34" s="109"/>
      <c r="AV34" s="152"/>
      <c r="AW34" s="153"/>
      <c r="AX34" s="110"/>
    </row>
    <row r="35" spans="2:50" s="147" customFormat="1" x14ac:dyDescent="0.2">
      <c r="B35" s="634">
        <v>31</v>
      </c>
      <c r="C35" s="84"/>
      <c r="D35" s="170"/>
      <c r="E35" s="84"/>
      <c r="F35" s="360"/>
      <c r="G35" s="84"/>
      <c r="H35" s="84"/>
      <c r="I35" s="148"/>
      <c r="J35" s="149"/>
      <c r="K35" s="87"/>
      <c r="L35" s="87"/>
      <c r="M35" s="87"/>
      <c r="N35" s="87"/>
      <c r="O35" s="150"/>
      <c r="P35" s="151"/>
      <c r="Q35" s="95"/>
      <c r="R35" s="96"/>
      <c r="S35" s="97"/>
      <c r="T35" s="98"/>
      <c r="U35" s="99"/>
      <c r="V35" s="99"/>
      <c r="W35" s="99"/>
      <c r="X35" s="100"/>
      <c r="Y35" s="606">
        <f t="shared" si="0"/>
        <v>0</v>
      </c>
      <c r="Z35" s="305">
        <f t="shared" si="1"/>
        <v>0</v>
      </c>
      <c r="AA35" s="306">
        <f t="shared" si="2"/>
        <v>0</v>
      </c>
      <c r="AB35" s="306">
        <f t="shared" si="3"/>
        <v>0</v>
      </c>
      <c r="AC35" s="306">
        <f t="shared" si="4"/>
        <v>0</v>
      </c>
      <c r="AD35" s="301">
        <f t="shared" si="5"/>
        <v>0</v>
      </c>
      <c r="AE35" s="602">
        <f t="shared" si="6"/>
        <v>0</v>
      </c>
      <c r="AF35" s="165"/>
      <c r="AG35" s="162"/>
      <c r="AH35" s="168"/>
      <c r="AI35" s="177"/>
      <c r="AJ35" s="178"/>
      <c r="AK35" s="178"/>
      <c r="AL35" s="178"/>
      <c r="AM35" s="178"/>
      <c r="AN35" s="179"/>
      <c r="AO35" s="180"/>
      <c r="AP35" s="181"/>
      <c r="AQ35" s="109"/>
      <c r="AR35" s="109"/>
      <c r="AS35" s="109"/>
      <c r="AT35" s="109"/>
      <c r="AU35" s="109"/>
      <c r="AV35" s="152"/>
      <c r="AW35" s="153"/>
      <c r="AX35" s="110"/>
    </row>
    <row r="36" spans="2:50" s="147" customFormat="1" x14ac:dyDescent="0.2">
      <c r="B36" s="634">
        <v>32</v>
      </c>
      <c r="C36" s="84"/>
      <c r="D36" s="170"/>
      <c r="E36" s="84"/>
      <c r="F36" s="360"/>
      <c r="G36" s="84"/>
      <c r="H36" s="84"/>
      <c r="I36" s="148"/>
      <c r="J36" s="149"/>
      <c r="K36" s="87"/>
      <c r="L36" s="87"/>
      <c r="M36" s="87"/>
      <c r="N36" s="87"/>
      <c r="O36" s="150"/>
      <c r="P36" s="151"/>
      <c r="Q36" s="95"/>
      <c r="R36" s="96"/>
      <c r="S36" s="97"/>
      <c r="T36" s="98"/>
      <c r="U36" s="99"/>
      <c r="V36" s="99"/>
      <c r="W36" s="99"/>
      <c r="X36" s="100"/>
      <c r="Y36" s="606">
        <f t="shared" si="0"/>
        <v>0</v>
      </c>
      <c r="Z36" s="305">
        <f t="shared" si="1"/>
        <v>0</v>
      </c>
      <c r="AA36" s="306">
        <f t="shared" si="2"/>
        <v>0</v>
      </c>
      <c r="AB36" s="306">
        <f t="shared" si="3"/>
        <v>0</v>
      </c>
      <c r="AC36" s="306">
        <f t="shared" si="4"/>
        <v>0</v>
      </c>
      <c r="AD36" s="301">
        <f t="shared" si="5"/>
        <v>0</v>
      </c>
      <c r="AE36" s="602">
        <f t="shared" si="6"/>
        <v>0</v>
      </c>
      <c r="AF36" s="165"/>
      <c r="AG36" s="162"/>
      <c r="AH36" s="168"/>
      <c r="AI36" s="177"/>
      <c r="AJ36" s="178"/>
      <c r="AK36" s="178"/>
      <c r="AL36" s="178"/>
      <c r="AM36" s="178"/>
      <c r="AN36" s="179"/>
      <c r="AO36" s="180"/>
      <c r="AP36" s="181"/>
      <c r="AQ36" s="109"/>
      <c r="AR36" s="109"/>
      <c r="AS36" s="109"/>
      <c r="AT36" s="109"/>
      <c r="AU36" s="109"/>
      <c r="AV36" s="152"/>
      <c r="AW36" s="153"/>
      <c r="AX36" s="110"/>
    </row>
    <row r="37" spans="2:50" s="147" customFormat="1" x14ac:dyDescent="0.2">
      <c r="B37" s="634">
        <v>33</v>
      </c>
      <c r="C37" s="84"/>
      <c r="D37" s="170"/>
      <c r="E37" s="84"/>
      <c r="F37" s="360"/>
      <c r="G37" s="84"/>
      <c r="H37" s="84"/>
      <c r="I37" s="148"/>
      <c r="J37" s="149"/>
      <c r="K37" s="87"/>
      <c r="L37" s="87"/>
      <c r="M37" s="87"/>
      <c r="N37" s="87"/>
      <c r="O37" s="150"/>
      <c r="P37" s="151"/>
      <c r="Q37" s="95"/>
      <c r="R37" s="96"/>
      <c r="S37" s="97"/>
      <c r="T37" s="98"/>
      <c r="U37" s="99"/>
      <c r="V37" s="99"/>
      <c r="W37" s="99"/>
      <c r="X37" s="100"/>
      <c r="Y37" s="606">
        <f t="shared" ref="Y37:Y54" si="7">+P37*O37</f>
        <v>0</v>
      </c>
      <c r="Z37" s="305">
        <f t="shared" ref="Z37:Z54" si="8">+D37*Y37</f>
        <v>0</v>
      </c>
      <c r="AA37" s="306">
        <f t="shared" si="2"/>
        <v>0</v>
      </c>
      <c r="AB37" s="306">
        <f t="shared" si="3"/>
        <v>0</v>
      </c>
      <c r="AC37" s="306">
        <f t="shared" si="4"/>
        <v>0</v>
      </c>
      <c r="AD37" s="301">
        <f t="shared" si="5"/>
        <v>0</v>
      </c>
      <c r="AE37" s="602">
        <f t="shared" si="6"/>
        <v>0</v>
      </c>
      <c r="AF37" s="165"/>
      <c r="AG37" s="162"/>
      <c r="AH37" s="168"/>
      <c r="AI37" s="177"/>
      <c r="AJ37" s="178"/>
      <c r="AK37" s="178"/>
      <c r="AL37" s="178"/>
      <c r="AM37" s="178"/>
      <c r="AN37" s="179"/>
      <c r="AO37" s="180"/>
      <c r="AP37" s="181"/>
      <c r="AQ37" s="109"/>
      <c r="AR37" s="109"/>
      <c r="AS37" s="109"/>
      <c r="AT37" s="109"/>
      <c r="AU37" s="109"/>
      <c r="AV37" s="152"/>
      <c r="AW37" s="153"/>
      <c r="AX37" s="110"/>
    </row>
    <row r="38" spans="2:50" s="147" customFormat="1" x14ac:dyDescent="0.2">
      <c r="B38" s="634">
        <v>34</v>
      </c>
      <c r="C38" s="84"/>
      <c r="D38" s="170"/>
      <c r="E38" s="84"/>
      <c r="F38" s="360"/>
      <c r="G38" s="84"/>
      <c r="H38" s="84"/>
      <c r="I38" s="148"/>
      <c r="J38" s="149"/>
      <c r="K38" s="87"/>
      <c r="L38" s="87"/>
      <c r="M38" s="87"/>
      <c r="N38" s="87"/>
      <c r="O38" s="150"/>
      <c r="P38" s="151"/>
      <c r="Q38" s="95"/>
      <c r="R38" s="96"/>
      <c r="S38" s="97"/>
      <c r="T38" s="98"/>
      <c r="U38" s="99"/>
      <c r="V38" s="99"/>
      <c r="W38" s="99"/>
      <c r="X38" s="100"/>
      <c r="Y38" s="606">
        <f t="shared" si="7"/>
        <v>0</v>
      </c>
      <c r="Z38" s="305">
        <f t="shared" si="8"/>
        <v>0</v>
      </c>
      <c r="AA38" s="306">
        <f t="shared" si="2"/>
        <v>0</v>
      </c>
      <c r="AB38" s="306">
        <f t="shared" si="3"/>
        <v>0</v>
      </c>
      <c r="AC38" s="306">
        <f t="shared" si="4"/>
        <v>0</v>
      </c>
      <c r="AD38" s="301">
        <f t="shared" si="5"/>
        <v>0</v>
      </c>
      <c r="AE38" s="602">
        <f t="shared" si="6"/>
        <v>0</v>
      </c>
      <c r="AF38" s="165"/>
      <c r="AG38" s="162"/>
      <c r="AH38" s="168"/>
      <c r="AI38" s="177"/>
      <c r="AJ38" s="178"/>
      <c r="AK38" s="178"/>
      <c r="AL38" s="178"/>
      <c r="AM38" s="178"/>
      <c r="AN38" s="179"/>
      <c r="AO38" s="180"/>
      <c r="AP38" s="181"/>
      <c r="AQ38" s="109"/>
      <c r="AR38" s="109"/>
      <c r="AS38" s="109"/>
      <c r="AT38" s="109"/>
      <c r="AU38" s="109"/>
      <c r="AV38" s="152"/>
      <c r="AW38" s="153"/>
      <c r="AX38" s="110"/>
    </row>
    <row r="39" spans="2:50" s="147" customFormat="1" x14ac:dyDescent="0.2">
      <c r="B39" s="634">
        <v>35</v>
      </c>
      <c r="C39" s="84"/>
      <c r="D39" s="170"/>
      <c r="E39" s="84"/>
      <c r="F39" s="360"/>
      <c r="G39" s="84"/>
      <c r="H39" s="84"/>
      <c r="I39" s="148"/>
      <c r="J39" s="149"/>
      <c r="K39" s="87"/>
      <c r="L39" s="87"/>
      <c r="M39" s="87"/>
      <c r="N39" s="87"/>
      <c r="O39" s="150"/>
      <c r="P39" s="151"/>
      <c r="Q39" s="95"/>
      <c r="R39" s="96"/>
      <c r="S39" s="97"/>
      <c r="T39" s="98"/>
      <c r="U39" s="99"/>
      <c r="V39" s="99"/>
      <c r="W39" s="99"/>
      <c r="X39" s="100"/>
      <c r="Y39" s="606">
        <f t="shared" si="7"/>
        <v>0</v>
      </c>
      <c r="Z39" s="305">
        <f t="shared" si="8"/>
        <v>0</v>
      </c>
      <c r="AA39" s="306">
        <f t="shared" si="2"/>
        <v>0</v>
      </c>
      <c r="AB39" s="306">
        <f t="shared" si="3"/>
        <v>0</v>
      </c>
      <c r="AC39" s="306">
        <f t="shared" si="4"/>
        <v>0</v>
      </c>
      <c r="AD39" s="301">
        <f t="shared" si="5"/>
        <v>0</v>
      </c>
      <c r="AE39" s="602">
        <f t="shared" si="6"/>
        <v>0</v>
      </c>
      <c r="AF39" s="165"/>
      <c r="AG39" s="162"/>
      <c r="AH39" s="168"/>
      <c r="AI39" s="177"/>
      <c r="AJ39" s="178"/>
      <c r="AK39" s="178"/>
      <c r="AL39" s="178"/>
      <c r="AM39" s="178"/>
      <c r="AN39" s="179"/>
      <c r="AO39" s="180"/>
      <c r="AP39" s="181"/>
      <c r="AQ39" s="109"/>
      <c r="AR39" s="109"/>
      <c r="AS39" s="109"/>
      <c r="AT39" s="109"/>
      <c r="AU39" s="109"/>
      <c r="AV39" s="152"/>
      <c r="AW39" s="153"/>
      <c r="AX39" s="110"/>
    </row>
    <row r="40" spans="2:50" s="147" customFormat="1" x14ac:dyDescent="0.2">
      <c r="B40" s="634">
        <v>36</v>
      </c>
      <c r="C40" s="84"/>
      <c r="D40" s="170"/>
      <c r="E40" s="84"/>
      <c r="F40" s="360"/>
      <c r="G40" s="84"/>
      <c r="H40" s="84"/>
      <c r="I40" s="148"/>
      <c r="J40" s="149"/>
      <c r="K40" s="87"/>
      <c r="L40" s="87"/>
      <c r="M40" s="87"/>
      <c r="N40" s="87"/>
      <c r="O40" s="150"/>
      <c r="P40" s="151"/>
      <c r="Q40" s="95"/>
      <c r="R40" s="96"/>
      <c r="S40" s="97"/>
      <c r="T40" s="98"/>
      <c r="U40" s="99"/>
      <c r="V40" s="99"/>
      <c r="W40" s="99"/>
      <c r="X40" s="100"/>
      <c r="Y40" s="606">
        <f t="shared" si="7"/>
        <v>0</v>
      </c>
      <c r="Z40" s="305">
        <f t="shared" si="8"/>
        <v>0</v>
      </c>
      <c r="AA40" s="306">
        <f t="shared" si="2"/>
        <v>0</v>
      </c>
      <c r="AB40" s="306">
        <f t="shared" si="3"/>
        <v>0</v>
      </c>
      <c r="AC40" s="306">
        <f t="shared" si="4"/>
        <v>0</v>
      </c>
      <c r="AD40" s="301">
        <f t="shared" si="5"/>
        <v>0</v>
      </c>
      <c r="AE40" s="602">
        <f t="shared" si="6"/>
        <v>0</v>
      </c>
      <c r="AF40" s="165"/>
      <c r="AG40" s="162"/>
      <c r="AH40" s="168"/>
      <c r="AI40" s="177"/>
      <c r="AJ40" s="178"/>
      <c r="AK40" s="178"/>
      <c r="AL40" s="178"/>
      <c r="AM40" s="178"/>
      <c r="AN40" s="179"/>
      <c r="AO40" s="180"/>
      <c r="AP40" s="181"/>
      <c r="AQ40" s="109"/>
      <c r="AR40" s="109"/>
      <c r="AS40" s="109"/>
      <c r="AT40" s="109"/>
      <c r="AU40" s="109"/>
      <c r="AV40" s="152"/>
      <c r="AW40" s="153"/>
      <c r="AX40" s="110"/>
    </row>
    <row r="41" spans="2:50" s="154" customFormat="1" x14ac:dyDescent="0.2">
      <c r="B41" s="634">
        <v>37</v>
      </c>
      <c r="C41" s="84"/>
      <c r="D41" s="170"/>
      <c r="E41" s="84"/>
      <c r="F41" s="360"/>
      <c r="G41" s="84"/>
      <c r="H41" s="84"/>
      <c r="I41" s="148"/>
      <c r="J41" s="149"/>
      <c r="K41" s="87"/>
      <c r="L41" s="87"/>
      <c r="M41" s="87"/>
      <c r="N41" s="87"/>
      <c r="O41" s="150"/>
      <c r="P41" s="151"/>
      <c r="Q41" s="95"/>
      <c r="R41" s="96"/>
      <c r="S41" s="97"/>
      <c r="T41" s="98"/>
      <c r="U41" s="99"/>
      <c r="V41" s="99"/>
      <c r="W41" s="99"/>
      <c r="X41" s="100"/>
      <c r="Y41" s="606">
        <f t="shared" si="7"/>
        <v>0</v>
      </c>
      <c r="Z41" s="305">
        <f t="shared" si="8"/>
        <v>0</v>
      </c>
      <c r="AA41" s="306">
        <f t="shared" ref="AA41:AA54" si="9">+$Z41*U41</f>
        <v>0</v>
      </c>
      <c r="AB41" s="306">
        <f t="shared" ref="AB41:AB54" si="10">+$Z41*V41</f>
        <v>0</v>
      </c>
      <c r="AC41" s="306">
        <f t="shared" ref="AC41:AC54" si="11">+$Z41*W41</f>
        <v>0</v>
      </c>
      <c r="AD41" s="301">
        <f t="shared" ref="AD41:AD54" si="12">+$Z41*X41</f>
        <v>0</v>
      </c>
      <c r="AE41" s="602">
        <f t="shared" ref="AE41:AE54" si="13">+SUM(Z41:AD41)</f>
        <v>0</v>
      </c>
      <c r="AF41" s="165"/>
      <c r="AG41" s="162"/>
      <c r="AH41" s="168"/>
      <c r="AI41" s="177"/>
      <c r="AJ41" s="178"/>
      <c r="AK41" s="178"/>
      <c r="AL41" s="178"/>
      <c r="AM41" s="178"/>
      <c r="AN41" s="179"/>
      <c r="AO41" s="180"/>
      <c r="AP41" s="181"/>
      <c r="AQ41" s="109"/>
      <c r="AR41" s="109"/>
      <c r="AS41" s="109"/>
      <c r="AT41" s="109"/>
      <c r="AU41" s="109"/>
      <c r="AV41" s="152"/>
      <c r="AW41" s="153"/>
      <c r="AX41" s="110"/>
    </row>
    <row r="42" spans="2:50" s="154" customFormat="1" x14ac:dyDescent="0.2">
      <c r="B42" s="634">
        <v>38</v>
      </c>
      <c r="C42" s="84"/>
      <c r="D42" s="170"/>
      <c r="E42" s="84"/>
      <c r="F42" s="360"/>
      <c r="G42" s="84"/>
      <c r="H42" s="84"/>
      <c r="I42" s="148"/>
      <c r="J42" s="149"/>
      <c r="K42" s="87"/>
      <c r="L42" s="87"/>
      <c r="M42" s="87"/>
      <c r="N42" s="87"/>
      <c r="O42" s="150"/>
      <c r="P42" s="151"/>
      <c r="Q42" s="95"/>
      <c r="R42" s="96"/>
      <c r="S42" s="97"/>
      <c r="T42" s="98"/>
      <c r="U42" s="99"/>
      <c r="V42" s="99"/>
      <c r="W42" s="99"/>
      <c r="X42" s="100"/>
      <c r="Y42" s="606">
        <f t="shared" si="7"/>
        <v>0</v>
      </c>
      <c r="Z42" s="305">
        <f t="shared" si="8"/>
        <v>0</v>
      </c>
      <c r="AA42" s="306">
        <f t="shared" si="9"/>
        <v>0</v>
      </c>
      <c r="AB42" s="306">
        <f t="shared" si="10"/>
        <v>0</v>
      </c>
      <c r="AC42" s="306">
        <f t="shared" si="11"/>
        <v>0</v>
      </c>
      <c r="AD42" s="301">
        <f t="shared" si="12"/>
        <v>0</v>
      </c>
      <c r="AE42" s="602">
        <f t="shared" si="13"/>
        <v>0</v>
      </c>
      <c r="AF42" s="165"/>
      <c r="AG42" s="162"/>
      <c r="AH42" s="168"/>
      <c r="AI42" s="177"/>
      <c r="AJ42" s="178"/>
      <c r="AK42" s="178"/>
      <c r="AL42" s="178"/>
      <c r="AM42" s="178"/>
      <c r="AN42" s="179"/>
      <c r="AO42" s="180"/>
      <c r="AP42" s="181"/>
      <c r="AQ42" s="109"/>
      <c r="AR42" s="109"/>
      <c r="AS42" s="109"/>
      <c r="AT42" s="109"/>
      <c r="AU42" s="109"/>
      <c r="AV42" s="152"/>
      <c r="AW42" s="153"/>
      <c r="AX42" s="110"/>
    </row>
    <row r="43" spans="2:50" s="154" customFormat="1" x14ac:dyDescent="0.2">
      <c r="B43" s="634">
        <v>39</v>
      </c>
      <c r="C43" s="84"/>
      <c r="D43" s="170"/>
      <c r="E43" s="84"/>
      <c r="F43" s="360"/>
      <c r="G43" s="84"/>
      <c r="H43" s="84"/>
      <c r="I43" s="148"/>
      <c r="J43" s="149"/>
      <c r="K43" s="87"/>
      <c r="L43" s="87"/>
      <c r="M43" s="87"/>
      <c r="N43" s="87"/>
      <c r="O43" s="150"/>
      <c r="P43" s="151"/>
      <c r="Q43" s="95"/>
      <c r="R43" s="96"/>
      <c r="S43" s="97"/>
      <c r="T43" s="98"/>
      <c r="U43" s="99"/>
      <c r="V43" s="99"/>
      <c r="W43" s="99"/>
      <c r="X43" s="100"/>
      <c r="Y43" s="606">
        <f t="shared" si="7"/>
        <v>0</v>
      </c>
      <c r="Z43" s="305">
        <f t="shared" si="8"/>
        <v>0</v>
      </c>
      <c r="AA43" s="306">
        <f t="shared" si="9"/>
        <v>0</v>
      </c>
      <c r="AB43" s="306">
        <f t="shared" si="10"/>
        <v>0</v>
      </c>
      <c r="AC43" s="306">
        <f t="shared" si="11"/>
        <v>0</v>
      </c>
      <c r="AD43" s="301">
        <f t="shared" si="12"/>
        <v>0</v>
      </c>
      <c r="AE43" s="602">
        <f t="shared" si="13"/>
        <v>0</v>
      </c>
      <c r="AF43" s="165"/>
      <c r="AG43" s="162"/>
      <c r="AH43" s="168"/>
      <c r="AI43" s="177"/>
      <c r="AJ43" s="178"/>
      <c r="AK43" s="178"/>
      <c r="AL43" s="178"/>
      <c r="AM43" s="178"/>
      <c r="AN43" s="179"/>
      <c r="AO43" s="180"/>
      <c r="AP43" s="181"/>
      <c r="AQ43" s="109"/>
      <c r="AR43" s="109"/>
      <c r="AS43" s="109"/>
      <c r="AT43" s="109"/>
      <c r="AU43" s="109"/>
      <c r="AV43" s="152"/>
      <c r="AW43" s="153"/>
      <c r="AX43" s="110"/>
    </row>
    <row r="44" spans="2:50" s="154" customFormat="1" x14ac:dyDescent="0.2">
      <c r="B44" s="634">
        <v>40</v>
      </c>
      <c r="C44" s="84"/>
      <c r="D44" s="170"/>
      <c r="E44" s="84"/>
      <c r="F44" s="360"/>
      <c r="G44" s="84"/>
      <c r="H44" s="84"/>
      <c r="I44" s="148"/>
      <c r="J44" s="149"/>
      <c r="K44" s="87"/>
      <c r="L44" s="87"/>
      <c r="M44" s="87"/>
      <c r="N44" s="87"/>
      <c r="O44" s="150"/>
      <c r="P44" s="151"/>
      <c r="Q44" s="95"/>
      <c r="R44" s="96"/>
      <c r="S44" s="97"/>
      <c r="T44" s="98"/>
      <c r="U44" s="99"/>
      <c r="V44" s="99"/>
      <c r="W44" s="99"/>
      <c r="X44" s="100"/>
      <c r="Y44" s="606">
        <f t="shared" si="7"/>
        <v>0</v>
      </c>
      <c r="Z44" s="305">
        <f t="shared" si="8"/>
        <v>0</v>
      </c>
      <c r="AA44" s="306">
        <f t="shared" si="9"/>
        <v>0</v>
      </c>
      <c r="AB44" s="306">
        <f t="shared" si="10"/>
        <v>0</v>
      </c>
      <c r="AC44" s="306">
        <f t="shared" si="11"/>
        <v>0</v>
      </c>
      <c r="AD44" s="301">
        <f t="shared" si="12"/>
        <v>0</v>
      </c>
      <c r="AE44" s="602">
        <f t="shared" si="13"/>
        <v>0</v>
      </c>
      <c r="AF44" s="165"/>
      <c r="AG44" s="162"/>
      <c r="AH44" s="168"/>
      <c r="AI44" s="177"/>
      <c r="AJ44" s="178"/>
      <c r="AK44" s="178"/>
      <c r="AL44" s="178"/>
      <c r="AM44" s="178"/>
      <c r="AN44" s="179"/>
      <c r="AO44" s="180"/>
      <c r="AP44" s="181"/>
      <c r="AQ44" s="109"/>
      <c r="AR44" s="109"/>
      <c r="AS44" s="109"/>
      <c r="AT44" s="109"/>
      <c r="AU44" s="109"/>
      <c r="AV44" s="152"/>
      <c r="AW44" s="153"/>
      <c r="AX44" s="110"/>
    </row>
    <row r="45" spans="2:50" s="154" customFormat="1" x14ac:dyDescent="0.2">
      <c r="B45" s="634">
        <v>41</v>
      </c>
      <c r="C45" s="84"/>
      <c r="D45" s="170"/>
      <c r="E45" s="84"/>
      <c r="F45" s="360"/>
      <c r="G45" s="84"/>
      <c r="H45" s="84"/>
      <c r="I45" s="148"/>
      <c r="J45" s="149"/>
      <c r="K45" s="87"/>
      <c r="L45" s="87"/>
      <c r="M45" s="87"/>
      <c r="N45" s="87"/>
      <c r="O45" s="150"/>
      <c r="P45" s="151"/>
      <c r="Q45" s="95"/>
      <c r="R45" s="96"/>
      <c r="S45" s="97"/>
      <c r="T45" s="98"/>
      <c r="U45" s="99"/>
      <c r="V45" s="99"/>
      <c r="W45" s="99"/>
      <c r="X45" s="100"/>
      <c r="Y45" s="606">
        <f t="shared" si="7"/>
        <v>0</v>
      </c>
      <c r="Z45" s="305">
        <f t="shared" si="8"/>
        <v>0</v>
      </c>
      <c r="AA45" s="306">
        <f t="shared" si="9"/>
        <v>0</v>
      </c>
      <c r="AB45" s="306">
        <f t="shared" si="10"/>
        <v>0</v>
      </c>
      <c r="AC45" s="306">
        <f t="shared" si="11"/>
        <v>0</v>
      </c>
      <c r="AD45" s="301">
        <f t="shared" si="12"/>
        <v>0</v>
      </c>
      <c r="AE45" s="602">
        <f t="shared" si="13"/>
        <v>0</v>
      </c>
      <c r="AF45" s="165"/>
      <c r="AG45" s="162"/>
      <c r="AH45" s="168"/>
      <c r="AI45" s="177"/>
      <c r="AJ45" s="178"/>
      <c r="AK45" s="178"/>
      <c r="AL45" s="178"/>
      <c r="AM45" s="178"/>
      <c r="AN45" s="179"/>
      <c r="AO45" s="180"/>
      <c r="AP45" s="181"/>
      <c r="AQ45" s="109"/>
      <c r="AR45" s="109"/>
      <c r="AS45" s="109"/>
      <c r="AT45" s="109"/>
      <c r="AU45" s="109"/>
      <c r="AV45" s="152"/>
      <c r="AW45" s="153"/>
      <c r="AX45" s="110"/>
    </row>
    <row r="46" spans="2:50" s="154" customFormat="1" x14ac:dyDescent="0.2">
      <c r="B46" s="634">
        <v>42</v>
      </c>
      <c r="C46" s="84"/>
      <c r="D46" s="170"/>
      <c r="E46" s="84"/>
      <c r="F46" s="360"/>
      <c r="G46" s="84"/>
      <c r="H46" s="84"/>
      <c r="I46" s="148"/>
      <c r="J46" s="149"/>
      <c r="K46" s="87"/>
      <c r="L46" s="87"/>
      <c r="M46" s="87"/>
      <c r="N46" s="87"/>
      <c r="O46" s="150"/>
      <c r="P46" s="151"/>
      <c r="Q46" s="95"/>
      <c r="R46" s="96"/>
      <c r="S46" s="97"/>
      <c r="T46" s="98"/>
      <c r="U46" s="99"/>
      <c r="V46" s="99"/>
      <c r="W46" s="99"/>
      <c r="X46" s="100"/>
      <c r="Y46" s="606">
        <f t="shared" si="7"/>
        <v>0</v>
      </c>
      <c r="Z46" s="305">
        <f t="shared" si="8"/>
        <v>0</v>
      </c>
      <c r="AA46" s="306">
        <f t="shared" si="9"/>
        <v>0</v>
      </c>
      <c r="AB46" s="306">
        <f t="shared" si="10"/>
        <v>0</v>
      </c>
      <c r="AC46" s="306">
        <f t="shared" si="11"/>
        <v>0</v>
      </c>
      <c r="AD46" s="301">
        <f t="shared" si="12"/>
        <v>0</v>
      </c>
      <c r="AE46" s="602">
        <f t="shared" si="13"/>
        <v>0</v>
      </c>
      <c r="AF46" s="165"/>
      <c r="AG46" s="162"/>
      <c r="AH46" s="168"/>
      <c r="AI46" s="177"/>
      <c r="AJ46" s="178"/>
      <c r="AK46" s="178"/>
      <c r="AL46" s="178"/>
      <c r="AM46" s="178"/>
      <c r="AN46" s="179"/>
      <c r="AO46" s="180"/>
      <c r="AP46" s="181"/>
      <c r="AQ46" s="109"/>
      <c r="AR46" s="109"/>
      <c r="AS46" s="109"/>
      <c r="AT46" s="109"/>
      <c r="AU46" s="109"/>
      <c r="AV46" s="152"/>
      <c r="AW46" s="153"/>
      <c r="AX46" s="110"/>
    </row>
    <row r="47" spans="2:50" s="154" customFormat="1" x14ac:dyDescent="0.2">
      <c r="B47" s="634">
        <v>43</v>
      </c>
      <c r="C47" s="84"/>
      <c r="D47" s="170"/>
      <c r="E47" s="84"/>
      <c r="F47" s="360"/>
      <c r="G47" s="84"/>
      <c r="H47" s="84"/>
      <c r="I47" s="148"/>
      <c r="J47" s="149"/>
      <c r="K47" s="87"/>
      <c r="L47" s="87"/>
      <c r="M47" s="87"/>
      <c r="N47" s="87"/>
      <c r="O47" s="150"/>
      <c r="P47" s="151"/>
      <c r="Q47" s="95"/>
      <c r="R47" s="96"/>
      <c r="S47" s="97"/>
      <c r="T47" s="98"/>
      <c r="U47" s="99"/>
      <c r="V47" s="99"/>
      <c r="W47" s="99"/>
      <c r="X47" s="100"/>
      <c r="Y47" s="606">
        <f t="shared" si="7"/>
        <v>0</v>
      </c>
      <c r="Z47" s="305">
        <f t="shared" si="8"/>
        <v>0</v>
      </c>
      <c r="AA47" s="306">
        <f t="shared" si="9"/>
        <v>0</v>
      </c>
      <c r="AB47" s="306">
        <f t="shared" si="10"/>
        <v>0</v>
      </c>
      <c r="AC47" s="306">
        <f t="shared" si="11"/>
        <v>0</v>
      </c>
      <c r="AD47" s="301">
        <f t="shared" si="12"/>
        <v>0</v>
      </c>
      <c r="AE47" s="602">
        <f t="shared" si="13"/>
        <v>0</v>
      </c>
      <c r="AF47" s="165"/>
      <c r="AG47" s="162"/>
      <c r="AH47" s="168"/>
      <c r="AI47" s="177"/>
      <c r="AJ47" s="178"/>
      <c r="AK47" s="178"/>
      <c r="AL47" s="178"/>
      <c r="AM47" s="178"/>
      <c r="AN47" s="179"/>
      <c r="AO47" s="180"/>
      <c r="AP47" s="181"/>
      <c r="AQ47" s="109"/>
      <c r="AR47" s="109"/>
      <c r="AS47" s="109"/>
      <c r="AT47" s="109"/>
      <c r="AU47" s="109"/>
      <c r="AV47" s="152"/>
      <c r="AW47" s="153"/>
      <c r="AX47" s="110"/>
    </row>
    <row r="48" spans="2:50" s="154" customFormat="1" x14ac:dyDescent="0.2">
      <c r="B48" s="634">
        <v>44</v>
      </c>
      <c r="C48" s="84"/>
      <c r="D48" s="170"/>
      <c r="E48" s="84"/>
      <c r="F48" s="360"/>
      <c r="G48" s="84"/>
      <c r="H48" s="84"/>
      <c r="I48" s="148"/>
      <c r="J48" s="149"/>
      <c r="K48" s="87"/>
      <c r="L48" s="87"/>
      <c r="M48" s="87"/>
      <c r="N48" s="87"/>
      <c r="O48" s="150"/>
      <c r="P48" s="151"/>
      <c r="Q48" s="95"/>
      <c r="R48" s="96"/>
      <c r="S48" s="97"/>
      <c r="T48" s="98"/>
      <c r="U48" s="99"/>
      <c r="V48" s="99"/>
      <c r="W48" s="99"/>
      <c r="X48" s="100"/>
      <c r="Y48" s="606">
        <f t="shared" si="7"/>
        <v>0</v>
      </c>
      <c r="Z48" s="305">
        <f t="shared" si="8"/>
        <v>0</v>
      </c>
      <c r="AA48" s="306">
        <f t="shared" si="9"/>
        <v>0</v>
      </c>
      <c r="AB48" s="306">
        <f t="shared" si="10"/>
        <v>0</v>
      </c>
      <c r="AC48" s="306">
        <f t="shared" si="11"/>
        <v>0</v>
      </c>
      <c r="AD48" s="301">
        <f t="shared" si="12"/>
        <v>0</v>
      </c>
      <c r="AE48" s="602">
        <f t="shared" si="13"/>
        <v>0</v>
      </c>
      <c r="AF48" s="165"/>
      <c r="AG48" s="162"/>
      <c r="AH48" s="168"/>
      <c r="AI48" s="177"/>
      <c r="AJ48" s="178"/>
      <c r="AK48" s="178"/>
      <c r="AL48" s="178"/>
      <c r="AM48" s="178"/>
      <c r="AN48" s="179"/>
      <c r="AO48" s="180"/>
      <c r="AP48" s="181"/>
      <c r="AQ48" s="109"/>
      <c r="AR48" s="109"/>
      <c r="AS48" s="109"/>
      <c r="AT48" s="109"/>
      <c r="AU48" s="109"/>
      <c r="AV48" s="152"/>
      <c r="AW48" s="153"/>
      <c r="AX48" s="110"/>
    </row>
    <row r="49" spans="2:50" s="154" customFormat="1" x14ac:dyDescent="0.2">
      <c r="B49" s="634">
        <v>45</v>
      </c>
      <c r="C49" s="84"/>
      <c r="D49" s="170"/>
      <c r="E49" s="84"/>
      <c r="F49" s="360"/>
      <c r="G49" s="84"/>
      <c r="H49" s="84"/>
      <c r="I49" s="148"/>
      <c r="J49" s="149"/>
      <c r="K49" s="87"/>
      <c r="L49" s="87"/>
      <c r="M49" s="87"/>
      <c r="N49" s="87"/>
      <c r="O49" s="150"/>
      <c r="P49" s="151"/>
      <c r="Q49" s="95"/>
      <c r="R49" s="96"/>
      <c r="S49" s="97"/>
      <c r="T49" s="98"/>
      <c r="U49" s="99"/>
      <c r="V49" s="99"/>
      <c r="W49" s="99"/>
      <c r="X49" s="100"/>
      <c r="Y49" s="606">
        <f t="shared" si="7"/>
        <v>0</v>
      </c>
      <c r="Z49" s="305">
        <f t="shared" si="8"/>
        <v>0</v>
      </c>
      <c r="AA49" s="306">
        <f t="shared" si="9"/>
        <v>0</v>
      </c>
      <c r="AB49" s="306">
        <f t="shared" si="10"/>
        <v>0</v>
      </c>
      <c r="AC49" s="306">
        <f t="shared" si="11"/>
        <v>0</v>
      </c>
      <c r="AD49" s="301">
        <f t="shared" si="12"/>
        <v>0</v>
      </c>
      <c r="AE49" s="602">
        <f t="shared" si="13"/>
        <v>0</v>
      </c>
      <c r="AF49" s="165"/>
      <c r="AG49" s="162"/>
      <c r="AH49" s="168"/>
      <c r="AI49" s="177"/>
      <c r="AJ49" s="178"/>
      <c r="AK49" s="178"/>
      <c r="AL49" s="178"/>
      <c r="AM49" s="178"/>
      <c r="AN49" s="179"/>
      <c r="AO49" s="180"/>
      <c r="AP49" s="181"/>
      <c r="AQ49" s="109"/>
      <c r="AR49" s="109"/>
      <c r="AS49" s="109"/>
      <c r="AT49" s="109"/>
      <c r="AU49" s="109"/>
      <c r="AV49" s="152"/>
      <c r="AW49" s="153"/>
      <c r="AX49" s="110"/>
    </row>
    <row r="50" spans="2:50" s="154" customFormat="1" x14ac:dyDescent="0.2">
      <c r="B50" s="634">
        <v>46</v>
      </c>
      <c r="C50" s="84"/>
      <c r="D50" s="170"/>
      <c r="E50" s="84"/>
      <c r="F50" s="360"/>
      <c r="G50" s="84"/>
      <c r="H50" s="84"/>
      <c r="I50" s="148"/>
      <c r="J50" s="149"/>
      <c r="K50" s="87"/>
      <c r="L50" s="87"/>
      <c r="M50" s="87"/>
      <c r="N50" s="87"/>
      <c r="O50" s="150"/>
      <c r="P50" s="151"/>
      <c r="Q50" s="95"/>
      <c r="R50" s="96"/>
      <c r="S50" s="97"/>
      <c r="T50" s="98"/>
      <c r="U50" s="99"/>
      <c r="V50" s="99"/>
      <c r="W50" s="99"/>
      <c r="X50" s="100"/>
      <c r="Y50" s="606">
        <f t="shared" si="7"/>
        <v>0</v>
      </c>
      <c r="Z50" s="305">
        <f t="shared" si="8"/>
        <v>0</v>
      </c>
      <c r="AA50" s="306">
        <f t="shared" si="9"/>
        <v>0</v>
      </c>
      <c r="AB50" s="306">
        <f t="shared" si="10"/>
        <v>0</v>
      </c>
      <c r="AC50" s="306">
        <f t="shared" si="11"/>
        <v>0</v>
      </c>
      <c r="AD50" s="301">
        <f t="shared" si="12"/>
        <v>0</v>
      </c>
      <c r="AE50" s="602">
        <f t="shared" si="13"/>
        <v>0</v>
      </c>
      <c r="AF50" s="165"/>
      <c r="AG50" s="162"/>
      <c r="AH50" s="168"/>
      <c r="AI50" s="177"/>
      <c r="AJ50" s="178"/>
      <c r="AK50" s="178"/>
      <c r="AL50" s="178"/>
      <c r="AM50" s="178"/>
      <c r="AN50" s="179"/>
      <c r="AO50" s="180"/>
      <c r="AP50" s="181"/>
      <c r="AQ50" s="109"/>
      <c r="AR50" s="109"/>
      <c r="AS50" s="109"/>
      <c r="AT50" s="109"/>
      <c r="AU50" s="109"/>
      <c r="AV50" s="152"/>
      <c r="AW50" s="153"/>
      <c r="AX50" s="110"/>
    </row>
    <row r="51" spans="2:50" s="154" customFormat="1" x14ac:dyDescent="0.2">
      <c r="B51" s="634">
        <v>47</v>
      </c>
      <c r="C51" s="84"/>
      <c r="D51" s="170"/>
      <c r="E51" s="84"/>
      <c r="F51" s="360"/>
      <c r="G51" s="84"/>
      <c r="H51" s="84"/>
      <c r="I51" s="148"/>
      <c r="J51" s="149"/>
      <c r="K51" s="87"/>
      <c r="L51" s="87"/>
      <c r="M51" s="87"/>
      <c r="N51" s="87"/>
      <c r="O51" s="150"/>
      <c r="P51" s="151"/>
      <c r="Q51" s="95"/>
      <c r="R51" s="96"/>
      <c r="S51" s="97"/>
      <c r="T51" s="98"/>
      <c r="U51" s="99"/>
      <c r="V51" s="99"/>
      <c r="W51" s="99"/>
      <c r="X51" s="100"/>
      <c r="Y51" s="606">
        <f t="shared" si="7"/>
        <v>0</v>
      </c>
      <c r="Z51" s="305">
        <f t="shared" si="8"/>
        <v>0</v>
      </c>
      <c r="AA51" s="306">
        <f t="shared" si="9"/>
        <v>0</v>
      </c>
      <c r="AB51" s="306">
        <f t="shared" si="10"/>
        <v>0</v>
      </c>
      <c r="AC51" s="306">
        <f t="shared" si="11"/>
        <v>0</v>
      </c>
      <c r="AD51" s="301">
        <f t="shared" si="12"/>
        <v>0</v>
      </c>
      <c r="AE51" s="602">
        <f t="shared" si="13"/>
        <v>0</v>
      </c>
      <c r="AF51" s="165"/>
      <c r="AG51" s="162"/>
      <c r="AH51" s="168"/>
      <c r="AI51" s="177"/>
      <c r="AJ51" s="178"/>
      <c r="AK51" s="178"/>
      <c r="AL51" s="178"/>
      <c r="AM51" s="178"/>
      <c r="AN51" s="179"/>
      <c r="AO51" s="180"/>
      <c r="AP51" s="181"/>
      <c r="AQ51" s="109"/>
      <c r="AR51" s="109"/>
      <c r="AS51" s="109"/>
      <c r="AT51" s="109"/>
      <c r="AU51" s="109"/>
      <c r="AV51" s="152"/>
      <c r="AW51" s="153"/>
      <c r="AX51" s="110"/>
    </row>
    <row r="52" spans="2:50" s="154" customFormat="1" x14ac:dyDescent="0.2">
      <c r="B52" s="634">
        <v>48</v>
      </c>
      <c r="C52" s="84"/>
      <c r="D52" s="170"/>
      <c r="E52" s="84"/>
      <c r="F52" s="360"/>
      <c r="G52" s="84"/>
      <c r="H52" s="84"/>
      <c r="I52" s="148"/>
      <c r="J52" s="149"/>
      <c r="K52" s="87"/>
      <c r="L52" s="87"/>
      <c r="M52" s="87"/>
      <c r="N52" s="87"/>
      <c r="O52" s="150"/>
      <c r="P52" s="151"/>
      <c r="Q52" s="95"/>
      <c r="R52" s="96"/>
      <c r="S52" s="97"/>
      <c r="T52" s="98"/>
      <c r="U52" s="99"/>
      <c r="V52" s="99"/>
      <c r="W52" s="99"/>
      <c r="X52" s="100"/>
      <c r="Y52" s="606">
        <f t="shared" si="7"/>
        <v>0</v>
      </c>
      <c r="Z52" s="305">
        <f t="shared" si="8"/>
        <v>0</v>
      </c>
      <c r="AA52" s="306">
        <f t="shared" si="9"/>
        <v>0</v>
      </c>
      <c r="AB52" s="306">
        <f t="shared" si="10"/>
        <v>0</v>
      </c>
      <c r="AC52" s="306">
        <f t="shared" si="11"/>
        <v>0</v>
      </c>
      <c r="AD52" s="301">
        <f t="shared" si="12"/>
        <v>0</v>
      </c>
      <c r="AE52" s="602">
        <f t="shared" si="13"/>
        <v>0</v>
      </c>
      <c r="AF52" s="165"/>
      <c r="AG52" s="162"/>
      <c r="AH52" s="168"/>
      <c r="AI52" s="177"/>
      <c r="AJ52" s="178"/>
      <c r="AK52" s="178"/>
      <c r="AL52" s="178"/>
      <c r="AM52" s="178"/>
      <c r="AN52" s="179"/>
      <c r="AO52" s="180"/>
      <c r="AP52" s="181"/>
      <c r="AQ52" s="109"/>
      <c r="AR52" s="109"/>
      <c r="AS52" s="109"/>
      <c r="AT52" s="109"/>
      <c r="AU52" s="109"/>
      <c r="AV52" s="152"/>
      <c r="AW52" s="153"/>
      <c r="AX52" s="110"/>
    </row>
    <row r="53" spans="2:50" s="154" customFormat="1" x14ac:dyDescent="0.2">
      <c r="B53" s="634">
        <v>49</v>
      </c>
      <c r="C53" s="84"/>
      <c r="D53" s="170"/>
      <c r="E53" s="84"/>
      <c r="F53" s="360"/>
      <c r="G53" s="84"/>
      <c r="H53" s="84"/>
      <c r="I53" s="148"/>
      <c r="J53" s="149"/>
      <c r="K53" s="87"/>
      <c r="L53" s="87"/>
      <c r="M53" s="87"/>
      <c r="N53" s="87"/>
      <c r="O53" s="150"/>
      <c r="P53" s="151"/>
      <c r="Q53" s="95"/>
      <c r="R53" s="96"/>
      <c r="S53" s="97"/>
      <c r="T53" s="98"/>
      <c r="U53" s="99"/>
      <c r="V53" s="99"/>
      <c r="W53" s="99"/>
      <c r="X53" s="100"/>
      <c r="Y53" s="606">
        <f t="shared" si="7"/>
        <v>0</v>
      </c>
      <c r="Z53" s="305">
        <f t="shared" si="8"/>
        <v>0</v>
      </c>
      <c r="AA53" s="306">
        <f t="shared" si="9"/>
        <v>0</v>
      </c>
      <c r="AB53" s="306">
        <f t="shared" si="10"/>
        <v>0</v>
      </c>
      <c r="AC53" s="306">
        <f t="shared" si="11"/>
        <v>0</v>
      </c>
      <c r="AD53" s="301">
        <f t="shared" si="12"/>
        <v>0</v>
      </c>
      <c r="AE53" s="602">
        <f t="shared" si="13"/>
        <v>0</v>
      </c>
      <c r="AF53" s="165"/>
      <c r="AG53" s="162"/>
      <c r="AH53" s="168"/>
      <c r="AI53" s="177"/>
      <c r="AJ53" s="178"/>
      <c r="AK53" s="178"/>
      <c r="AL53" s="178"/>
      <c r="AM53" s="178"/>
      <c r="AN53" s="179"/>
      <c r="AO53" s="180"/>
      <c r="AP53" s="181"/>
      <c r="AQ53" s="109"/>
      <c r="AR53" s="109"/>
      <c r="AS53" s="109"/>
      <c r="AT53" s="109"/>
      <c r="AU53" s="109"/>
      <c r="AV53" s="152"/>
      <c r="AW53" s="153"/>
      <c r="AX53" s="110"/>
    </row>
    <row r="54" spans="2:50" s="154" customFormat="1" x14ac:dyDescent="0.2">
      <c r="B54" s="635">
        <v>50</v>
      </c>
      <c r="C54" s="85"/>
      <c r="D54" s="171"/>
      <c r="E54" s="85"/>
      <c r="F54" s="361"/>
      <c r="G54" s="85"/>
      <c r="H54" s="85"/>
      <c r="I54" s="155"/>
      <c r="J54" s="156"/>
      <c r="K54" s="88"/>
      <c r="L54" s="88"/>
      <c r="M54" s="88"/>
      <c r="N54" s="88"/>
      <c r="O54" s="157"/>
      <c r="P54" s="158"/>
      <c r="Q54" s="101"/>
      <c r="R54" s="102"/>
      <c r="S54" s="103"/>
      <c r="T54" s="104"/>
      <c r="U54" s="105"/>
      <c r="V54" s="105"/>
      <c r="W54" s="105"/>
      <c r="X54" s="106"/>
      <c r="Y54" s="607">
        <f t="shared" si="7"/>
        <v>0</v>
      </c>
      <c r="Z54" s="307">
        <f t="shared" si="8"/>
        <v>0</v>
      </c>
      <c r="AA54" s="308">
        <f t="shared" si="9"/>
        <v>0</v>
      </c>
      <c r="AB54" s="308">
        <f t="shared" si="10"/>
        <v>0</v>
      </c>
      <c r="AC54" s="308">
        <f t="shared" si="11"/>
        <v>0</v>
      </c>
      <c r="AD54" s="302">
        <f t="shared" si="12"/>
        <v>0</v>
      </c>
      <c r="AE54" s="602">
        <f t="shared" si="13"/>
        <v>0</v>
      </c>
      <c r="AF54" s="166"/>
      <c r="AG54" s="163"/>
      <c r="AH54" s="169"/>
      <c r="AI54" s="182"/>
      <c r="AJ54" s="183"/>
      <c r="AK54" s="183"/>
      <c r="AL54" s="183"/>
      <c r="AM54" s="183"/>
      <c r="AN54" s="184"/>
      <c r="AO54" s="185"/>
      <c r="AP54" s="186"/>
      <c r="AQ54" s="111"/>
      <c r="AR54" s="111"/>
      <c r="AS54" s="111"/>
      <c r="AT54" s="111"/>
      <c r="AU54" s="111"/>
      <c r="AV54" s="159"/>
      <c r="AW54" s="160"/>
      <c r="AX54" s="112"/>
    </row>
    <row r="55" spans="2:50" x14ac:dyDescent="0.2">
      <c r="B55" s="545"/>
      <c r="C55" s="545"/>
      <c r="D55" s="545"/>
      <c r="E55" s="545"/>
      <c r="F55" s="545"/>
      <c r="G55" s="545"/>
      <c r="H55" s="545"/>
      <c r="I55" s="545"/>
      <c r="J55" s="545"/>
      <c r="K55" s="545"/>
      <c r="L55" s="545"/>
      <c r="M55" s="545"/>
      <c r="N55" s="545"/>
      <c r="O55" s="545"/>
      <c r="P55" s="545"/>
      <c r="Q55" s="545"/>
      <c r="R55" s="545"/>
      <c r="S55" s="545"/>
      <c r="T55" s="545"/>
      <c r="U55" s="545"/>
      <c r="V55" s="545"/>
      <c r="W55" s="545"/>
      <c r="X55" s="545"/>
      <c r="Y55" s="545"/>
      <c r="Z55" s="309">
        <f t="shared" ref="Z55:AE55" si="14">SUM(Z5:Z54)</f>
        <v>0</v>
      </c>
      <c r="AA55" s="309">
        <f t="shared" si="14"/>
        <v>0</v>
      </c>
      <c r="AB55" s="309">
        <f t="shared" si="14"/>
        <v>0</v>
      </c>
      <c r="AC55" s="309">
        <f t="shared" si="14"/>
        <v>0</v>
      </c>
      <c r="AD55" s="309">
        <f t="shared" si="14"/>
        <v>0</v>
      </c>
      <c r="AE55" s="602">
        <f t="shared" si="14"/>
        <v>0</v>
      </c>
      <c r="AF55" s="545"/>
      <c r="AG55" s="545"/>
      <c r="AH55" s="545"/>
      <c r="AI55" s="545"/>
      <c r="AJ55" s="545"/>
      <c r="AK55" s="545"/>
      <c r="AL55" s="545"/>
      <c r="AM55" s="545"/>
      <c r="AN55" s="545"/>
      <c r="AO55" s="545"/>
      <c r="AP55" s="545"/>
      <c r="AQ55" s="545"/>
      <c r="AR55" s="545"/>
      <c r="AS55" s="545"/>
      <c r="AT55" s="545"/>
      <c r="AU55" s="545"/>
      <c r="AV55" s="545"/>
      <c r="AW55" s="545"/>
      <c r="AX55" s="545"/>
    </row>
    <row r="56" spans="2:50" x14ac:dyDescent="0.2">
      <c r="B56" s="69" t="str">
        <f>+Help!B134</f>
        <v>IF-334 (27/05/2025)</v>
      </c>
      <c r="C56" s="545"/>
      <c r="D56" s="545"/>
      <c r="E56" s="545"/>
      <c r="F56" s="545"/>
      <c r="G56" s="545"/>
      <c r="H56" s="545"/>
      <c r="I56" s="545"/>
      <c r="J56" s="545"/>
      <c r="K56" s="545"/>
      <c r="L56" s="545"/>
      <c r="M56" s="545"/>
      <c r="N56" s="545"/>
      <c r="O56" s="545"/>
      <c r="P56" s="545"/>
      <c r="Q56" s="545"/>
      <c r="R56" s="545"/>
      <c r="S56" s="545"/>
      <c r="T56" s="545"/>
      <c r="U56" s="545"/>
      <c r="V56" s="545"/>
      <c r="W56" s="545"/>
      <c r="X56" s="545"/>
      <c r="Y56" s="545"/>
      <c r="Z56" s="545"/>
      <c r="AA56" s="545"/>
      <c r="AB56" s="545"/>
      <c r="AC56" s="545"/>
      <c r="AD56" s="545"/>
      <c r="AE56" s="545"/>
      <c r="AF56" s="545"/>
      <c r="AG56" s="545"/>
      <c r="AH56" s="545"/>
      <c r="AI56" s="545"/>
      <c r="AJ56" s="545"/>
      <c r="AK56" s="545"/>
      <c r="AL56" s="545"/>
      <c r="AM56" s="545"/>
      <c r="AN56" s="545"/>
      <c r="AO56" s="545"/>
      <c r="AP56" s="545"/>
      <c r="AQ56" s="545"/>
      <c r="AR56" s="545"/>
      <c r="AS56" s="545"/>
      <c r="AT56" s="545"/>
      <c r="AU56" s="545"/>
      <c r="AV56" s="545"/>
      <c r="AW56" s="545"/>
      <c r="AX56" s="545"/>
    </row>
  </sheetData>
  <sheetProtection formatCells="0" formatColumns="0" formatRows="0" insertColumns="0" insertRows="0" insertHyperlinks="0" deleteColumns="0" deleteRows="0" sort="0" autoFilter="0" pivotTables="0"/>
  <dataConsolidate/>
  <customSheetViews>
    <customSheetView guid="{FB0F6CE0-FA24-4C91-B94D-E1D3F29C4E59}" scale="75" showPageBreaks="1" showGridLines="0" zeroValues="0" fitToPage="1" printArea="1" showRuler="0">
      <pane xSplit="2" ySplit="7" topLeftCell="C8" activePane="bottomRight" state="frozen"/>
      <selection pane="bottomRight" activeCell="B20" sqref="B20"/>
      <colBreaks count="1" manualBreakCount="1">
        <brk id="16" max="88" man="1"/>
      </colBreaks>
      <pageMargins left="0" right="0" top="0" bottom="0" header="0" footer="0"/>
      <printOptions horizontalCentered="1"/>
      <pageSetup paperSize="9" scale="54" orientation="landscape" horizontalDpi="4294967292" verticalDpi="300" r:id="rId1"/>
      <headerFooter alignWithMargins="0">
        <oddFooter>&amp;L&amp;7&amp;F, &amp;A&amp;C&amp;7Formato: 4.0   Pagina &amp;P
&amp;R&amp;7Impreso: &amp;D &amp;T</oddFooter>
      </headerFooter>
    </customSheetView>
  </customSheetViews>
  <phoneticPr fontId="0" type="noConversion"/>
  <dataValidations count="2">
    <dataValidation type="list" allowBlank="1" showInputMessage="1" showErrorMessage="1" sqref="S5:S54" xr:uid="{00000000-0002-0000-0100-000000000000}">
      <formula1>PLANTA</formula1>
    </dataValidation>
    <dataValidation type="list" allowBlank="1" showInputMessage="1" showErrorMessage="1" sqref="T5:T54" xr:uid="{00000000-0002-0000-0100-000001000000}">
      <formula1>TIPO_PRECIO</formula1>
    </dataValidation>
  </dataValidations>
  <printOptions horizontalCentered="1"/>
  <pageMargins left="0.70866141732283472" right="0.70866141732283472" top="0.74803149606299213" bottom="0.74803149606299213" header="0.31496062992125984" footer="0.31496062992125984"/>
  <pageSetup paperSize="8" scale="53" fitToHeight="0" orientation="landscape" verticalDpi="300" r:id="rId2"/>
  <headerFooter alignWithMargins="0">
    <oddFooter>Página &amp;P&amp;R&amp;F</oddFooter>
  </headerFooter>
  <drawing r:id="rId3"/>
  <legacyDrawing r:id="rId4"/>
  <extLst>
    <ext xmlns:x14="http://schemas.microsoft.com/office/spreadsheetml/2009/9/main" uri="{CCE6A557-97BC-4b89-ADB6-D9C93CAAB3DF}">
      <x14:dataValidations xmlns:xm="http://schemas.microsoft.com/office/excel/2006/main" count="3">
        <x14:dataValidation type="list" allowBlank="1" showInputMessage="1" showErrorMessage="1" xr:uid="{289FF027-E6D0-402F-93D3-12622E42F13E}">
          <x14:formula1>
            <xm:f>'LISTAS DATOS'!$A$44:$A$55</xm:f>
          </x14:formula1>
          <xm:sqref>AS5 AK5</xm:sqref>
        </x14:dataValidation>
        <x14:dataValidation type="list" allowBlank="1" showInputMessage="1" showErrorMessage="1" xr:uid="{195AB004-465C-4D41-8532-F69CA1EFB49E}">
          <x14:formula1>
            <xm:f>'LISTAS DATOS'!$A$45:$A$55</xm:f>
          </x14:formula1>
          <xm:sqref>L26:L54</xm:sqref>
        </x14:dataValidation>
        <x14:dataValidation type="list" allowBlank="1" showInputMessage="1" showErrorMessage="1" xr:uid="{3A3A509B-F37B-44C2-BAFC-4156852238C3}">
          <x14:formula1>
            <xm:f>'LISTAS DATOS'!$A$58:$A$60</xm:f>
          </x14:formula1>
          <xm:sqref>G26:G54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theme="8"/>
    <pageSetUpPr fitToPage="1"/>
  </sheetPr>
  <dimension ref="B2:BZ40"/>
  <sheetViews>
    <sheetView showGridLines="0" zoomScaleNormal="100" zoomScaleSheetLayoutView="100" workbookViewId="0">
      <pane xSplit="4" ySplit="5" topLeftCell="E6" activePane="bottomRight" state="frozen"/>
      <selection pane="topRight" activeCell="U15" sqref="U15"/>
      <selection pane="bottomLeft" activeCell="U15" sqref="U15"/>
      <selection pane="bottomRight" activeCell="B12" sqref="B12"/>
    </sheetView>
  </sheetViews>
  <sheetFormatPr baseColWidth="10" defaultColWidth="10.7109375" defaultRowHeight="12.75" x14ac:dyDescent="0.2"/>
  <cols>
    <col min="1" max="1" width="3" style="5" customWidth="1"/>
    <col min="2" max="3" width="10.7109375" style="5"/>
    <col min="4" max="4" width="69.85546875" style="5" customWidth="1"/>
    <col min="5" max="5" width="7.140625" style="5" bestFit="1" customWidth="1"/>
    <col min="6" max="6" width="9.42578125" style="5" bestFit="1" customWidth="1"/>
    <col min="7" max="7" width="9.7109375" style="5" bestFit="1" customWidth="1"/>
    <col min="8" max="8" width="5.85546875" style="5" bestFit="1" customWidth="1"/>
    <col min="9" max="9" width="10.5703125" style="5" bestFit="1" customWidth="1"/>
    <col min="10" max="10" width="10.42578125" style="5" bestFit="1" customWidth="1"/>
    <col min="11" max="11" width="9.85546875" style="5" bestFit="1" customWidth="1"/>
    <col min="12" max="12" width="14.42578125" style="5" bestFit="1" customWidth="1"/>
    <col min="13" max="13" width="10.42578125" style="5" bestFit="1" customWidth="1"/>
    <col min="14" max="14" width="8.85546875" style="5" bestFit="1" customWidth="1"/>
    <col min="15" max="15" width="10.140625" style="5" bestFit="1" customWidth="1"/>
    <col min="16" max="18" width="10.140625" style="5" customWidth="1"/>
    <col min="19" max="19" width="8.85546875" style="5" customWidth="1"/>
    <col min="20" max="20" width="9.5703125" style="5" bestFit="1" customWidth="1"/>
    <col min="21" max="21" width="10.5703125" style="5" bestFit="1" customWidth="1"/>
    <col min="22" max="22" width="23.5703125" style="5" customWidth="1"/>
    <col min="23" max="23" width="8.42578125" style="5" bestFit="1" customWidth="1"/>
    <col min="24" max="27" width="9.7109375" style="5" customWidth="1"/>
    <col min="28" max="29" width="8.85546875" style="5" bestFit="1" customWidth="1"/>
    <col min="30" max="31" width="8.85546875" style="5" customWidth="1"/>
    <col min="32" max="32" width="14.140625" style="5" customWidth="1"/>
    <col min="33" max="33" width="17.7109375" style="5" customWidth="1"/>
    <col min="34" max="34" width="10" style="5" bestFit="1" customWidth="1"/>
    <col min="35" max="35" width="10.85546875" style="5" bestFit="1" customWidth="1"/>
    <col min="36" max="36" width="10.28515625" style="5" bestFit="1" customWidth="1"/>
    <col min="37" max="37" width="55.42578125" style="5" customWidth="1"/>
    <col min="38" max="77" width="10.7109375" style="5"/>
    <col min="79" max="16384" width="10.7109375" style="5"/>
  </cols>
  <sheetData>
    <row r="2" spans="2:78" s="83" customFormat="1" ht="52.5" customHeight="1" x14ac:dyDescent="0.4">
      <c r="B2" s="545"/>
      <c r="C2" s="545"/>
      <c r="D2" s="199" t="s">
        <v>380</v>
      </c>
      <c r="E2" s="197"/>
      <c r="F2" s="195"/>
      <c r="G2" s="196"/>
      <c r="H2" s="196"/>
      <c r="I2" s="196"/>
      <c r="J2" s="545"/>
      <c r="K2" s="545"/>
      <c r="L2" s="545"/>
      <c r="M2" s="545"/>
      <c r="N2" s="545"/>
      <c r="O2" s="545"/>
      <c r="P2" s="545"/>
      <c r="Q2" s="545"/>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row>
    <row r="3" spans="2:78" s="141" customFormat="1" ht="12.75" customHeight="1" x14ac:dyDescent="0.2">
      <c r="B3" s="266" t="s">
        <v>381</v>
      </c>
      <c r="C3" s="266"/>
      <c r="D3" s="265"/>
      <c r="E3" s="267"/>
      <c r="F3" s="264"/>
      <c r="G3" s="264"/>
      <c r="H3" s="264"/>
      <c r="I3" s="264"/>
      <c r="J3" s="266"/>
      <c r="K3" s="266"/>
      <c r="L3" s="266"/>
      <c r="M3" s="266"/>
      <c r="N3" s="266"/>
      <c r="O3" s="266" t="s">
        <v>382</v>
      </c>
      <c r="P3" s="266"/>
      <c r="Q3" s="266"/>
      <c r="R3" s="266"/>
      <c r="S3" s="266"/>
      <c r="T3" s="266"/>
      <c r="U3" s="266"/>
      <c r="V3" s="266"/>
      <c r="W3" s="266"/>
      <c r="X3" s="263" t="s">
        <v>317</v>
      </c>
      <c r="Y3" s="263"/>
      <c r="Z3" s="263"/>
      <c r="AA3" s="263"/>
      <c r="AB3" s="263"/>
      <c r="AC3" s="263"/>
      <c r="AD3" s="547"/>
      <c r="AE3" s="547"/>
      <c r="AF3" s="547"/>
      <c r="AG3" s="266" t="s">
        <v>383</v>
      </c>
      <c r="AH3" s="266"/>
      <c r="AI3" s="266"/>
      <c r="AJ3" s="266"/>
      <c r="AK3" s="266"/>
      <c r="AL3" s="548"/>
      <c r="AM3" s="548"/>
      <c r="AN3" s="548"/>
      <c r="AO3" s="548"/>
      <c r="AP3" s="548"/>
      <c r="AQ3" s="548"/>
      <c r="AR3" s="548"/>
      <c r="AS3" s="548"/>
      <c r="AT3" s="548"/>
      <c r="AU3" s="548"/>
      <c r="AV3" s="548"/>
      <c r="AW3" s="548"/>
      <c r="AX3" s="548"/>
      <c r="AY3" s="548"/>
      <c r="AZ3" s="548"/>
      <c r="BA3" s="548"/>
      <c r="BB3" s="548"/>
      <c r="BC3" s="548"/>
      <c r="BD3" s="548"/>
      <c r="BE3" s="548"/>
      <c r="BF3" s="548"/>
      <c r="BG3" s="548"/>
      <c r="BH3" s="548"/>
      <c r="BI3" s="548"/>
      <c r="BJ3" s="548"/>
      <c r="BK3" s="548"/>
      <c r="BL3" s="548"/>
      <c r="BM3" s="548"/>
      <c r="BN3" s="548"/>
      <c r="BO3" s="548"/>
      <c r="BP3" s="548"/>
      <c r="BQ3" s="548"/>
      <c r="BR3" s="548"/>
      <c r="BS3" s="548"/>
      <c r="BT3" s="548"/>
      <c r="BU3" s="548"/>
      <c r="BV3" s="548"/>
      <c r="BW3" s="548"/>
      <c r="BX3" s="548"/>
      <c r="BY3" s="548"/>
      <c r="BZ3" s="548"/>
    </row>
    <row r="4" spans="2:78" s="71" customFormat="1" ht="30" customHeight="1" x14ac:dyDescent="0.2">
      <c r="B4" s="72" t="s">
        <v>384</v>
      </c>
      <c r="C4" s="73" t="s">
        <v>385</v>
      </c>
      <c r="D4" s="74" t="s">
        <v>386</v>
      </c>
      <c r="E4" s="72" t="s">
        <v>387</v>
      </c>
      <c r="F4" s="72" t="s">
        <v>388</v>
      </c>
      <c r="G4" s="72" t="s">
        <v>389</v>
      </c>
      <c r="H4" s="72" t="s">
        <v>390</v>
      </c>
      <c r="I4" s="72" t="s">
        <v>391</v>
      </c>
      <c r="J4" s="72" t="s">
        <v>340</v>
      </c>
      <c r="K4" s="72" t="s">
        <v>392</v>
      </c>
      <c r="L4" s="72" t="s">
        <v>393</v>
      </c>
      <c r="M4" s="72" t="s">
        <v>394</v>
      </c>
      <c r="N4" s="72" t="s">
        <v>395</v>
      </c>
      <c r="O4" s="72" t="s">
        <v>396</v>
      </c>
      <c r="P4" s="72" t="s">
        <v>392</v>
      </c>
      <c r="Q4" s="72" t="s">
        <v>397</v>
      </c>
      <c r="R4" s="72" t="s">
        <v>398</v>
      </c>
      <c r="S4" s="72" t="s">
        <v>399</v>
      </c>
      <c r="T4" s="72" t="s">
        <v>400</v>
      </c>
      <c r="U4" s="72" t="s">
        <v>401</v>
      </c>
      <c r="V4" s="72" t="s">
        <v>402</v>
      </c>
      <c r="W4" s="72" t="s">
        <v>403</v>
      </c>
      <c r="X4" s="190" t="s">
        <v>404</v>
      </c>
      <c r="Y4" s="190" t="s">
        <v>405</v>
      </c>
      <c r="Z4" s="190" t="s">
        <v>406</v>
      </c>
      <c r="AA4" s="190" t="s">
        <v>407</v>
      </c>
      <c r="AB4" s="190" t="s">
        <v>408</v>
      </c>
      <c r="AC4" s="190" t="s">
        <v>409</v>
      </c>
      <c r="AD4" s="190" t="s">
        <v>410</v>
      </c>
      <c r="AE4" s="190" t="s">
        <v>405</v>
      </c>
      <c r="AF4" s="190" t="s">
        <v>411</v>
      </c>
      <c r="AG4" s="72" t="s">
        <v>412</v>
      </c>
      <c r="AH4" s="72" t="s">
        <v>413</v>
      </c>
      <c r="AI4" s="72" t="s">
        <v>414</v>
      </c>
      <c r="AJ4" s="72" t="s">
        <v>415</v>
      </c>
      <c r="AK4" s="75" t="s">
        <v>416</v>
      </c>
    </row>
    <row r="5" spans="2:78" s="71" customFormat="1" ht="30" customHeight="1" x14ac:dyDescent="0.2">
      <c r="B5" s="76" t="s">
        <v>417</v>
      </c>
      <c r="C5" s="76" t="s">
        <v>418</v>
      </c>
      <c r="D5" s="77" t="s">
        <v>419</v>
      </c>
      <c r="E5" s="76" t="s">
        <v>420</v>
      </c>
      <c r="F5" s="76" t="s">
        <v>421</v>
      </c>
      <c r="G5" s="76" t="s">
        <v>422</v>
      </c>
      <c r="H5" s="76" t="s">
        <v>390</v>
      </c>
      <c r="I5" s="76" t="s">
        <v>423</v>
      </c>
      <c r="J5" s="76" t="s">
        <v>370</v>
      </c>
      <c r="K5" s="76" t="s">
        <v>371</v>
      </c>
      <c r="L5" s="76" t="s">
        <v>424</v>
      </c>
      <c r="M5" s="76" t="s">
        <v>425</v>
      </c>
      <c r="N5" s="76" t="s">
        <v>426</v>
      </c>
      <c r="O5" s="76" t="s">
        <v>427</v>
      </c>
      <c r="P5" s="76" t="s">
        <v>428</v>
      </c>
      <c r="Q5" s="76" t="s">
        <v>429</v>
      </c>
      <c r="R5" s="76" t="s">
        <v>430</v>
      </c>
      <c r="S5" s="76" t="s">
        <v>431</v>
      </c>
      <c r="T5" s="76" t="s">
        <v>400</v>
      </c>
      <c r="U5" s="76" t="s">
        <v>401</v>
      </c>
      <c r="V5" s="76" t="s">
        <v>432</v>
      </c>
      <c r="W5" s="76" t="s">
        <v>433</v>
      </c>
      <c r="X5" s="332" t="s">
        <v>434</v>
      </c>
      <c r="Y5" s="332" t="s">
        <v>435</v>
      </c>
      <c r="Z5" s="332" t="s">
        <v>436</v>
      </c>
      <c r="AA5" s="332" t="s">
        <v>437</v>
      </c>
      <c r="AB5" s="332" t="s">
        <v>438</v>
      </c>
      <c r="AC5" s="332" t="s">
        <v>439</v>
      </c>
      <c r="AD5" s="332" t="s">
        <v>440</v>
      </c>
      <c r="AE5" s="332" t="s">
        <v>441</v>
      </c>
      <c r="AF5" s="332" t="s">
        <v>442</v>
      </c>
      <c r="AG5" s="76" t="s">
        <v>443</v>
      </c>
      <c r="AH5" s="76" t="s">
        <v>444</v>
      </c>
      <c r="AI5" s="76" t="s">
        <v>445</v>
      </c>
      <c r="AJ5" s="78" t="s">
        <v>446</v>
      </c>
      <c r="AK5" s="79" t="s">
        <v>447</v>
      </c>
    </row>
    <row r="6" spans="2:78" s="69" customFormat="1" ht="12.75" customHeight="1" x14ac:dyDescent="0.2">
      <c r="B6" s="113">
        <v>100</v>
      </c>
      <c r="C6" s="114"/>
      <c r="D6" s="117"/>
      <c r="E6" s="116"/>
      <c r="F6" s="116"/>
      <c r="G6" s="116"/>
      <c r="H6" s="118"/>
      <c r="I6" s="116"/>
      <c r="J6" s="119"/>
      <c r="K6" s="119"/>
      <c r="L6" s="116"/>
      <c r="M6" s="217"/>
      <c r="N6" s="220"/>
      <c r="O6" s="268">
        <f>+SUMIF('MOD+MOI+Overheads'!$D$7:$O$7,'1.2. Working plan'!L6,'MOD+MOI+Overheads'!$D$20:$O$20)</f>
        <v>0</v>
      </c>
      <c r="P6" s="269">
        <f>+SUMIF('MOD+MOI+Overheads'!$D$7:$O$7,'1.2. Working plan'!L6,'MOD+MOI+Overheads'!$D$19:$O$19)*O6</f>
        <v>0</v>
      </c>
      <c r="Q6" s="269">
        <f>+SUMIF('MOD+MOI+Overheads'!$D$7:$O$7,'1.2. Working plan'!L6,'MOD+MOI+Overheads'!$D$22:$O$22)*O6</f>
        <v>0</v>
      </c>
      <c r="R6" s="269">
        <f>+SUMIF('MOD+MOI+Overheads'!$D$7:$O$7,'1.2. Working plan'!L6,'MOD+MOI+Overheads'!$D$21:$O$21)*O6</f>
        <v>0</v>
      </c>
      <c r="S6" s="270">
        <f>+G6*H6</f>
        <v>0</v>
      </c>
      <c r="T6" s="271">
        <f t="shared" ref="T6:T38" si="0">IF(U6="",0,U6*F6)</f>
        <v>0</v>
      </c>
      <c r="U6" s="271">
        <f t="shared" ref="U6:U38" si="1">IF(G6=0,0,3600/G6/H6)</f>
        <v>0</v>
      </c>
      <c r="V6" s="272" t="str">
        <f>IF(M6="","",VLOOKUP(M6,'NO ACTIVO - Coste máquina'!$B$3:$E$10000,3,0))</f>
        <v/>
      </c>
      <c r="W6" s="273" t="str">
        <f>IF(M6="","",VLOOKUP(M6,'NO ACTIVO - Coste máquina'!$B$3:$E$10000,2,0))</f>
        <v/>
      </c>
      <c r="X6" s="274">
        <f t="shared" ref="X6:X38" si="2">+T6*O6/3600</f>
        <v>0</v>
      </c>
      <c r="Y6" s="275">
        <f>+T6*P6/3600</f>
        <v>0</v>
      </c>
      <c r="Z6" s="275">
        <f t="shared" ref="Z6:Z38" si="3">+T6*Q6/3600</f>
        <v>0</v>
      </c>
      <c r="AA6" s="275">
        <f t="shared" ref="AA6:AA38" si="4">+T6*R6/3600</f>
        <v>0</v>
      </c>
      <c r="AB6" s="275">
        <f t="shared" ref="AB6:AB38" si="5">+U6*N6/3600</f>
        <v>0</v>
      </c>
      <c r="AC6" s="275">
        <f t="shared" ref="AC6:AC38" si="6">+I6/60*SUM(O6:R6)/3600</f>
        <v>0</v>
      </c>
      <c r="AD6" s="275">
        <f t="shared" ref="AD6:AD38" si="7">+J6*SUM(X6:AC6)</f>
        <v>0</v>
      </c>
      <c r="AE6" s="276">
        <f t="shared" ref="AE6:AE38" si="8">+K6*SUM(X6:AD6)</f>
        <v>0</v>
      </c>
      <c r="AF6" s="603">
        <f>+SUM(X6:AE6)</f>
        <v>0</v>
      </c>
      <c r="AG6" s="125"/>
      <c r="AH6" s="126"/>
      <c r="AI6" s="126"/>
      <c r="AJ6" s="126"/>
      <c r="AK6" s="127"/>
      <c r="BZ6" s="70"/>
    </row>
    <row r="7" spans="2:78" s="69" customFormat="1" ht="12.75" customHeight="1" x14ac:dyDescent="0.2">
      <c r="B7" s="115">
        <v>200</v>
      </c>
      <c r="C7" s="116"/>
      <c r="D7" s="117"/>
      <c r="E7" s="116"/>
      <c r="F7" s="116"/>
      <c r="G7" s="116"/>
      <c r="H7" s="118"/>
      <c r="I7" s="116"/>
      <c r="J7" s="119"/>
      <c r="K7" s="119"/>
      <c r="L7" s="116"/>
      <c r="M7" s="218"/>
      <c r="N7" s="221"/>
      <c r="O7" s="277">
        <f>+SUMIF('MOD+MOI+Overheads'!$D$7:$O$7,'1.2. Working plan'!L7,'MOD+MOI+Overheads'!$D$20:$O$20)</f>
        <v>0</v>
      </c>
      <c r="P7" s="278">
        <f>+SUMIF('MOD+MOI+Overheads'!$D$7:$O$7,'1.2. Working plan'!L7,'MOD+MOI+Overheads'!$D$19:$O$19)*O7</f>
        <v>0</v>
      </c>
      <c r="Q7" s="279">
        <f>+SUMIF('MOD+MOI+Overheads'!$D$7:$O$7,'1.2. Working plan'!L7,'MOD+MOI+Overheads'!$D$22:$O$22)*O7</f>
        <v>0</v>
      </c>
      <c r="R7" s="280">
        <f>+SUMIF('MOD+MOI+Overheads'!$D$7:$O$7,'1.2. Working plan'!L7,'MOD+MOI+Overheads'!$D$21:$O$21)*O7</f>
        <v>0</v>
      </c>
      <c r="S7" s="281">
        <f t="shared" ref="S7:S38" si="9">+G7*H7</f>
        <v>0</v>
      </c>
      <c r="T7" s="282">
        <f t="shared" si="0"/>
        <v>0</v>
      </c>
      <c r="U7" s="282">
        <f t="shared" si="1"/>
        <v>0</v>
      </c>
      <c r="V7" s="283" t="str">
        <f>IF(M7="","",VLOOKUP(M7,'NO ACTIVO - Coste máquina'!$B$3:$E$10000,3,0))</f>
        <v/>
      </c>
      <c r="W7" s="284" t="str">
        <f>IF(M7="","",VLOOKUP(M7,'NO ACTIVO - Coste máquina'!$B$3:$E$10000,2,0))</f>
        <v/>
      </c>
      <c r="X7" s="285">
        <f t="shared" si="2"/>
        <v>0</v>
      </c>
      <c r="Y7" s="286">
        <f t="shared" ref="Y7:Y38" si="10">+T7*P7/3600</f>
        <v>0</v>
      </c>
      <c r="Z7" s="286">
        <f t="shared" si="3"/>
        <v>0</v>
      </c>
      <c r="AA7" s="286">
        <f t="shared" si="4"/>
        <v>0</v>
      </c>
      <c r="AB7" s="286">
        <f t="shared" si="5"/>
        <v>0</v>
      </c>
      <c r="AC7" s="286">
        <f t="shared" si="6"/>
        <v>0</v>
      </c>
      <c r="AD7" s="286">
        <f t="shared" si="7"/>
        <v>0</v>
      </c>
      <c r="AE7" s="287">
        <f t="shared" si="8"/>
        <v>0</v>
      </c>
      <c r="AF7" s="603">
        <f t="shared" ref="AF7:AF38" si="11">+SUM(X7:AE7)</f>
        <v>0</v>
      </c>
      <c r="AG7" s="128"/>
      <c r="AH7" s="129"/>
      <c r="AI7" s="129"/>
      <c r="AJ7" s="129"/>
      <c r="AK7" s="130"/>
      <c r="BZ7" s="70"/>
    </row>
    <row r="8" spans="2:78" s="69" customFormat="1" ht="12.75" customHeight="1" x14ac:dyDescent="0.2">
      <c r="B8" s="115">
        <v>300</v>
      </c>
      <c r="C8" s="116"/>
      <c r="D8" s="117"/>
      <c r="E8" s="116"/>
      <c r="F8" s="116"/>
      <c r="G8" s="116"/>
      <c r="H8" s="118"/>
      <c r="I8" s="116"/>
      <c r="J8" s="119"/>
      <c r="K8" s="119"/>
      <c r="L8" s="116"/>
      <c r="M8" s="218"/>
      <c r="N8" s="221"/>
      <c r="O8" s="277">
        <f>+SUMIF('MOD+MOI+Overheads'!$D$7:$O$7,'1.2. Working plan'!L8,'MOD+MOI+Overheads'!$D$20:$O$20)</f>
        <v>0</v>
      </c>
      <c r="P8" s="278">
        <f>+SUMIF('MOD+MOI+Overheads'!$D$7:$O$7,'1.2. Working plan'!L8,'MOD+MOI+Overheads'!$D$19:$O$19)*O8</f>
        <v>0</v>
      </c>
      <c r="Q8" s="279">
        <f>+SUMIF('MOD+MOI+Overheads'!$D$7:$O$7,'1.2. Working plan'!L8,'MOD+MOI+Overheads'!$D$22:$O$22)*O8</f>
        <v>0</v>
      </c>
      <c r="R8" s="280">
        <f>+SUMIF('MOD+MOI+Overheads'!$D$7:$O$7,'1.2. Working plan'!L8,'MOD+MOI+Overheads'!$D$21:$O$21)*O8</f>
        <v>0</v>
      </c>
      <c r="S8" s="281">
        <f t="shared" si="9"/>
        <v>0</v>
      </c>
      <c r="T8" s="282">
        <f t="shared" si="0"/>
        <v>0</v>
      </c>
      <c r="U8" s="282">
        <f t="shared" si="1"/>
        <v>0</v>
      </c>
      <c r="V8" s="283" t="str">
        <f>IF(M8="","",VLOOKUP(M8,'NO ACTIVO - Coste máquina'!$B$3:$E$10000,3,0))</f>
        <v/>
      </c>
      <c r="W8" s="284" t="str">
        <f>IF(M8="","",VLOOKUP(M8,'NO ACTIVO - Coste máquina'!$B$3:$E$10000,2,0))</f>
        <v/>
      </c>
      <c r="X8" s="285">
        <f t="shared" si="2"/>
        <v>0</v>
      </c>
      <c r="Y8" s="286">
        <f t="shared" si="10"/>
        <v>0</v>
      </c>
      <c r="Z8" s="286">
        <f t="shared" si="3"/>
        <v>0</v>
      </c>
      <c r="AA8" s="286">
        <f t="shared" si="4"/>
        <v>0</v>
      </c>
      <c r="AB8" s="286">
        <f t="shared" si="5"/>
        <v>0</v>
      </c>
      <c r="AC8" s="286">
        <f t="shared" si="6"/>
        <v>0</v>
      </c>
      <c r="AD8" s="286">
        <f t="shared" si="7"/>
        <v>0</v>
      </c>
      <c r="AE8" s="287">
        <f t="shared" si="8"/>
        <v>0</v>
      </c>
      <c r="AF8" s="603">
        <f t="shared" si="11"/>
        <v>0</v>
      </c>
      <c r="AG8" s="128"/>
      <c r="AH8" s="129"/>
      <c r="AI8" s="129"/>
      <c r="AJ8" s="129"/>
      <c r="AK8" s="130"/>
      <c r="BZ8" s="70"/>
    </row>
    <row r="9" spans="2:78" s="69" customFormat="1" ht="12.75" customHeight="1" x14ac:dyDescent="0.2">
      <c r="B9" s="115">
        <v>400</v>
      </c>
      <c r="C9" s="116"/>
      <c r="D9" s="117"/>
      <c r="E9" s="116"/>
      <c r="F9" s="116"/>
      <c r="G9" s="116"/>
      <c r="H9" s="118"/>
      <c r="I9" s="116"/>
      <c r="J9" s="119"/>
      <c r="K9" s="119"/>
      <c r="L9" s="116"/>
      <c r="M9" s="218"/>
      <c r="N9" s="221"/>
      <c r="O9" s="277">
        <f>+SUMIF('MOD+MOI+Overheads'!$D$7:$O$7,'1.2. Working plan'!L9,'MOD+MOI+Overheads'!$D$20:$O$20)</f>
        <v>0</v>
      </c>
      <c r="P9" s="278">
        <f>+SUMIF('MOD+MOI+Overheads'!$D$7:$O$7,'1.2. Working plan'!L9,'MOD+MOI+Overheads'!$D$19:$O$19)*O9</f>
        <v>0</v>
      </c>
      <c r="Q9" s="279">
        <f>+SUMIF('MOD+MOI+Overheads'!$D$7:$O$7,'1.2. Working plan'!L9,'MOD+MOI+Overheads'!$D$22:$O$22)*O9</f>
        <v>0</v>
      </c>
      <c r="R9" s="280">
        <f>+SUMIF('MOD+MOI+Overheads'!$D$7:$O$7,'1.2. Working plan'!L9,'MOD+MOI+Overheads'!$D$21:$O$21)*O9</f>
        <v>0</v>
      </c>
      <c r="S9" s="281">
        <f t="shared" ref="S9" si="12">+G9*H9</f>
        <v>0</v>
      </c>
      <c r="T9" s="282">
        <f t="shared" ref="T9" si="13">IF(U9="",0,U9*F9)</f>
        <v>0</v>
      </c>
      <c r="U9" s="282">
        <f t="shared" ref="U9" si="14">IF(G9=0,0,3600/G9/H9)</f>
        <v>0</v>
      </c>
      <c r="V9" s="283" t="str">
        <f>IF(M9="","",VLOOKUP(M9,'NO ACTIVO - Coste máquina'!$B$3:$E$10000,3,0))</f>
        <v/>
      </c>
      <c r="W9" s="284" t="str">
        <f>IF(M9="","",VLOOKUP(M9,'NO ACTIVO - Coste máquina'!$B$3:$E$10000,2,0))</f>
        <v/>
      </c>
      <c r="X9" s="285">
        <f>+T9*O9/3600</f>
        <v>0</v>
      </c>
      <c r="Y9" s="286">
        <f>+T9*P9/3600</f>
        <v>0</v>
      </c>
      <c r="Z9" s="286">
        <f>+T9*Q9/3600</f>
        <v>0</v>
      </c>
      <c r="AA9" s="286">
        <f>+T9*R9/3600</f>
        <v>0</v>
      </c>
      <c r="AB9" s="286">
        <f>+U9*N9/3600</f>
        <v>0</v>
      </c>
      <c r="AC9" s="286">
        <f t="shared" ref="AC9:AC17" si="15">+I9/60*SUM(O9:R9)/3600</f>
        <v>0</v>
      </c>
      <c r="AD9" s="286">
        <f t="shared" ref="AD9:AD17" si="16">+J9*SUM(X9:AC9)</f>
        <v>0</v>
      </c>
      <c r="AE9" s="287">
        <f t="shared" ref="AE9:AE17" si="17">+K9*SUM(X9:AD9)</f>
        <v>0</v>
      </c>
      <c r="AF9" s="603">
        <f>+SUM(X9:AE9)</f>
        <v>0</v>
      </c>
      <c r="AG9" s="128"/>
      <c r="AH9" s="129"/>
      <c r="AI9" s="129"/>
      <c r="AJ9" s="129"/>
      <c r="AK9" s="130"/>
      <c r="BZ9" s="70"/>
    </row>
    <row r="10" spans="2:78" s="69" customFormat="1" ht="12.75" customHeight="1" x14ac:dyDescent="0.2">
      <c r="B10" s="115">
        <v>500</v>
      </c>
      <c r="C10" s="116"/>
      <c r="D10" s="117"/>
      <c r="E10" s="116"/>
      <c r="F10" s="116"/>
      <c r="G10" s="116"/>
      <c r="H10" s="118"/>
      <c r="I10" s="116"/>
      <c r="J10" s="119"/>
      <c r="K10" s="119"/>
      <c r="L10" s="116"/>
      <c r="M10" s="218"/>
      <c r="N10" s="221"/>
      <c r="O10" s="277">
        <f>+SUMIF('MOD+MOI+Overheads'!$D$7:$O$7,'1.2. Working plan'!L10,'MOD+MOI+Overheads'!$D$20:$O$20)</f>
        <v>0</v>
      </c>
      <c r="P10" s="278">
        <f>+SUMIF('MOD+MOI+Overheads'!$D$7:$O$7,'1.2. Working plan'!L10,'MOD+MOI+Overheads'!$D$19:$O$19)*O10</f>
        <v>0</v>
      </c>
      <c r="Q10" s="279">
        <f>+SUMIF('MOD+MOI+Overheads'!$D$7:$O$7,'1.2. Working plan'!L10,'MOD+MOI+Overheads'!$D$22:$O$22)*O10</f>
        <v>0</v>
      </c>
      <c r="R10" s="280">
        <f>+SUMIF('MOD+MOI+Overheads'!$D$7:$O$7,'1.2. Working plan'!L10,'MOD+MOI+Overheads'!$D$21:$O$21)*O10</f>
        <v>0</v>
      </c>
      <c r="S10" s="281">
        <f t="shared" ref="S10" si="18">+G10*H10</f>
        <v>0</v>
      </c>
      <c r="T10" s="282">
        <f t="shared" ref="T10:T11" si="19">IF(U10="",0,U10*F10)</f>
        <v>0</v>
      </c>
      <c r="U10" s="282">
        <f t="shared" ref="U10" si="20">IF(G10=0,0,3600/G10/H10)</f>
        <v>0</v>
      </c>
      <c r="V10" s="283"/>
      <c r="W10" s="284"/>
      <c r="X10" s="285">
        <f>+T10*O10/3600</f>
        <v>0</v>
      </c>
      <c r="Y10" s="286">
        <f>+T10*P10/3600</f>
        <v>0</v>
      </c>
      <c r="Z10" s="286">
        <f>+T10*Q10/3600</f>
        <v>0</v>
      </c>
      <c r="AA10" s="286">
        <f>+T10*R10/3600</f>
        <v>0</v>
      </c>
      <c r="AB10" s="286">
        <f>+U10*N10/3600</f>
        <v>0</v>
      </c>
      <c r="AC10" s="286">
        <f t="shared" si="15"/>
        <v>0</v>
      </c>
      <c r="AD10" s="286">
        <f t="shared" si="16"/>
        <v>0</v>
      </c>
      <c r="AE10" s="287">
        <f t="shared" si="17"/>
        <v>0</v>
      </c>
      <c r="AF10" s="603">
        <f>+SUM(X10:AE10)</f>
        <v>0</v>
      </c>
      <c r="AG10" s="128"/>
      <c r="AH10" s="129"/>
      <c r="AI10" s="129"/>
      <c r="AJ10" s="129"/>
      <c r="AK10" s="130"/>
      <c r="BZ10" s="70"/>
    </row>
    <row r="11" spans="2:78" s="69" customFormat="1" ht="12.75" customHeight="1" x14ac:dyDescent="0.2">
      <c r="B11" s="115">
        <v>600</v>
      </c>
      <c r="C11" s="116"/>
      <c r="D11" s="117"/>
      <c r="E11" s="116"/>
      <c r="F11" s="116"/>
      <c r="G11" s="116"/>
      <c r="H11" s="118"/>
      <c r="I11" s="116"/>
      <c r="J11" s="119"/>
      <c r="K11" s="119"/>
      <c r="L11" s="116"/>
      <c r="M11" s="218"/>
      <c r="N11" s="221"/>
      <c r="O11" s="277">
        <f>+SUMIF('MOD+MOI+Overheads'!$D$7:$O$7,'1.2. Working plan'!L11,'MOD+MOI+Overheads'!$D$20:$O$20)</f>
        <v>0</v>
      </c>
      <c r="P11" s="278">
        <f>+SUMIF('MOD+MOI+Overheads'!$D$7:$O$7,'1.2. Working plan'!L11,'MOD+MOI+Overheads'!$D$19:$O$19)*O11</f>
        <v>0</v>
      </c>
      <c r="Q11" s="279">
        <f>+SUMIF('MOD+MOI+Overheads'!$D$7:$O$7,'1.2. Working plan'!L11,'MOD+MOI+Overheads'!$D$22:$O$22)*O11</f>
        <v>0</v>
      </c>
      <c r="R11" s="280">
        <f>+SUMIF('MOD+MOI+Overheads'!$D$7:$O$7,'1.2. Working plan'!L11,'MOD+MOI+Overheads'!$D$21:$O$21)*O11</f>
        <v>0</v>
      </c>
      <c r="S11" s="281">
        <f t="shared" ref="S11" si="21">+G11*H11</f>
        <v>0</v>
      </c>
      <c r="T11" s="282">
        <f t="shared" si="19"/>
        <v>0</v>
      </c>
      <c r="U11" s="282">
        <f t="shared" ref="U11" si="22">IF(G11=0,0,3600/G11/H11)</f>
        <v>0</v>
      </c>
      <c r="V11" s="283"/>
      <c r="W11" s="284"/>
      <c r="X11" s="285">
        <f>+T11*O11/3600</f>
        <v>0</v>
      </c>
      <c r="Y11" s="286">
        <f>+T11*P11/3600</f>
        <v>0</v>
      </c>
      <c r="Z11" s="286">
        <f>+T11*Q11/3600</f>
        <v>0</v>
      </c>
      <c r="AA11" s="286">
        <f>+T11*R11/3600</f>
        <v>0</v>
      </c>
      <c r="AB11" s="286">
        <f>+U11*N11/3600</f>
        <v>0</v>
      </c>
      <c r="AC11" s="286">
        <f t="shared" si="15"/>
        <v>0</v>
      </c>
      <c r="AD11" s="286">
        <f t="shared" si="16"/>
        <v>0</v>
      </c>
      <c r="AE11" s="287">
        <f t="shared" si="17"/>
        <v>0</v>
      </c>
      <c r="AF11" s="603">
        <f>+SUM(X11:AE11)</f>
        <v>0</v>
      </c>
      <c r="AG11" s="128"/>
      <c r="AH11" s="129"/>
      <c r="AI11" s="129"/>
      <c r="AJ11" s="129"/>
      <c r="AK11" s="130"/>
      <c r="BZ11" s="70"/>
    </row>
    <row r="12" spans="2:78" s="69" customFormat="1" ht="12.75" customHeight="1" x14ac:dyDescent="0.2">
      <c r="B12" s="115">
        <v>700</v>
      </c>
      <c r="C12" s="116"/>
      <c r="D12" s="117"/>
      <c r="E12" s="116"/>
      <c r="F12" s="116"/>
      <c r="G12" s="116"/>
      <c r="H12" s="118"/>
      <c r="I12" s="116"/>
      <c r="J12" s="119"/>
      <c r="K12" s="119"/>
      <c r="L12" s="116"/>
      <c r="M12" s="218"/>
      <c r="N12" s="221"/>
      <c r="O12" s="277">
        <f>+SUMIF('MOD+MOI+Overheads'!$D$7:$O$7,'1.2. Working plan'!L12,'MOD+MOI+Overheads'!$D$20:$O$20)</f>
        <v>0</v>
      </c>
      <c r="P12" s="278">
        <f>+SUMIF('MOD+MOI+Overheads'!$D$7:$O$7,'1.2. Working plan'!L12,'MOD+MOI+Overheads'!$D$19:$O$19)*O12</f>
        <v>0</v>
      </c>
      <c r="Q12" s="279">
        <f>+SUMIF('MOD+MOI+Overheads'!$D$7:$O$7,'1.2. Working plan'!L12,'MOD+MOI+Overheads'!$D$22:$O$22)*O12</f>
        <v>0</v>
      </c>
      <c r="R12" s="280">
        <f>+SUMIF('MOD+MOI+Overheads'!$D$7:$O$7,'1.2. Working plan'!L12,'MOD+MOI+Overheads'!$D$21:$O$21)*O12</f>
        <v>0</v>
      </c>
      <c r="S12" s="281">
        <f t="shared" ref="S12:S17" si="23">+G12*H12</f>
        <v>0</v>
      </c>
      <c r="T12" s="282">
        <f t="shared" ref="T12:T17" si="24">IF(U12="",0,U12*F12)</f>
        <v>0</v>
      </c>
      <c r="U12" s="282">
        <f t="shared" ref="U12:U17" si="25">IF(G12=0,0,3600/G12/H12)</f>
        <v>0</v>
      </c>
      <c r="V12" s="283" t="str">
        <f>IF(M12="","",VLOOKUP(M12,'NO ACTIVO - Coste máquina'!$B$3:$E$10000,3,0))</f>
        <v/>
      </c>
      <c r="W12" s="284" t="str">
        <f>IF(M12="","",VLOOKUP(M12,'NO ACTIVO - Coste máquina'!$B$3:$E$10000,2,0))</f>
        <v/>
      </c>
      <c r="X12" s="285">
        <f t="shared" si="2"/>
        <v>0</v>
      </c>
      <c r="Y12" s="286">
        <f t="shared" si="10"/>
        <v>0</v>
      </c>
      <c r="Z12" s="286">
        <f t="shared" si="3"/>
        <v>0</v>
      </c>
      <c r="AA12" s="286">
        <f t="shared" si="4"/>
        <v>0</v>
      </c>
      <c r="AB12" s="286">
        <f t="shared" si="5"/>
        <v>0</v>
      </c>
      <c r="AC12" s="286">
        <f t="shared" si="15"/>
        <v>0</v>
      </c>
      <c r="AD12" s="286">
        <f t="shared" si="16"/>
        <v>0</v>
      </c>
      <c r="AE12" s="287">
        <f t="shared" si="17"/>
        <v>0</v>
      </c>
      <c r="AF12" s="603">
        <f t="shared" si="11"/>
        <v>0</v>
      </c>
      <c r="AG12" s="128"/>
      <c r="AH12" s="129"/>
      <c r="AI12" s="129"/>
      <c r="AJ12" s="129"/>
      <c r="AK12" s="130"/>
      <c r="BZ12" s="70"/>
    </row>
    <row r="13" spans="2:78" s="69" customFormat="1" ht="12.75" customHeight="1" x14ac:dyDescent="0.2">
      <c r="B13" s="115">
        <v>800</v>
      </c>
      <c r="C13" s="116"/>
      <c r="D13" s="117"/>
      <c r="E13" s="116"/>
      <c r="F13" s="116"/>
      <c r="G13" s="116"/>
      <c r="H13" s="118"/>
      <c r="I13" s="116"/>
      <c r="J13" s="119"/>
      <c r="K13" s="119"/>
      <c r="L13" s="116"/>
      <c r="M13" s="218"/>
      <c r="N13" s="221"/>
      <c r="O13" s="277">
        <f>+SUMIF('MOD+MOI+Overheads'!$D$7:$O$7,'1.2. Working plan'!L13,'MOD+MOI+Overheads'!$D$20:$O$20)</f>
        <v>0</v>
      </c>
      <c r="P13" s="278">
        <f>+SUMIF('MOD+MOI+Overheads'!$D$7:$O$7,'1.2. Working plan'!L13,'MOD+MOI+Overheads'!$D$19:$O$19)*O13</f>
        <v>0</v>
      </c>
      <c r="Q13" s="279">
        <f>+SUMIF('MOD+MOI+Overheads'!$D$7:$O$7,'1.2. Working plan'!L13,'MOD+MOI+Overheads'!$D$22:$O$22)*O13</f>
        <v>0</v>
      </c>
      <c r="R13" s="280">
        <f>+SUMIF('MOD+MOI+Overheads'!$D$7:$O$7,'1.2. Working plan'!L13,'MOD+MOI+Overheads'!$D$21:$O$21)*O13</f>
        <v>0</v>
      </c>
      <c r="S13" s="281">
        <f t="shared" si="23"/>
        <v>0</v>
      </c>
      <c r="T13" s="282">
        <f t="shared" si="24"/>
        <v>0</v>
      </c>
      <c r="U13" s="282">
        <f t="shared" si="25"/>
        <v>0</v>
      </c>
      <c r="V13" s="283" t="str">
        <f>IF(M13="","",VLOOKUP(M13,'NO ACTIVO - Coste máquina'!$B$3:$E$10000,3,0))</f>
        <v/>
      </c>
      <c r="W13" s="284" t="str">
        <f>IF(M13="","",VLOOKUP(M13,'NO ACTIVO - Coste máquina'!$B$3:$E$10000,2,0))</f>
        <v/>
      </c>
      <c r="X13" s="285">
        <f t="shared" si="2"/>
        <v>0</v>
      </c>
      <c r="Y13" s="286">
        <f t="shared" si="10"/>
        <v>0</v>
      </c>
      <c r="Z13" s="286">
        <f t="shared" si="3"/>
        <v>0</v>
      </c>
      <c r="AA13" s="286">
        <f t="shared" si="4"/>
        <v>0</v>
      </c>
      <c r="AB13" s="286">
        <f t="shared" si="5"/>
        <v>0</v>
      </c>
      <c r="AC13" s="286">
        <f t="shared" si="15"/>
        <v>0</v>
      </c>
      <c r="AD13" s="286">
        <f t="shared" si="16"/>
        <v>0</v>
      </c>
      <c r="AE13" s="287">
        <f t="shared" si="17"/>
        <v>0</v>
      </c>
      <c r="AF13" s="603">
        <f t="shared" si="11"/>
        <v>0</v>
      </c>
      <c r="AG13" s="128"/>
      <c r="AH13" s="129"/>
      <c r="AI13" s="129"/>
      <c r="AJ13" s="129"/>
      <c r="AK13" s="130"/>
      <c r="BZ13" s="70"/>
    </row>
    <row r="14" spans="2:78" s="69" customFormat="1" ht="12.75" customHeight="1" x14ac:dyDescent="0.2">
      <c r="B14" s="115">
        <v>900</v>
      </c>
      <c r="C14" s="116"/>
      <c r="D14" s="117"/>
      <c r="E14" s="116"/>
      <c r="F14" s="116"/>
      <c r="G14" s="116"/>
      <c r="H14" s="118"/>
      <c r="I14" s="116"/>
      <c r="J14" s="119"/>
      <c r="K14" s="119"/>
      <c r="L14" s="116"/>
      <c r="M14" s="218"/>
      <c r="N14" s="221"/>
      <c r="O14" s="277">
        <f>+SUMIF('MOD+MOI+Overheads'!$D$7:$O$7,'1.2. Working plan'!L14,'MOD+MOI+Overheads'!$D$20:$O$20)</f>
        <v>0</v>
      </c>
      <c r="P14" s="278">
        <f>+SUMIF('MOD+MOI+Overheads'!$D$7:$O$7,'1.2. Working plan'!L14,'MOD+MOI+Overheads'!$D$19:$O$19)*O14</f>
        <v>0</v>
      </c>
      <c r="Q14" s="279">
        <f>+SUMIF('MOD+MOI+Overheads'!$D$7:$O$7,'1.2. Working plan'!L14,'MOD+MOI+Overheads'!$D$22:$O$22)*O14</f>
        <v>0</v>
      </c>
      <c r="R14" s="280">
        <f>+SUMIF('MOD+MOI+Overheads'!$D$7:$O$7,'1.2. Working plan'!L14,'MOD+MOI+Overheads'!$D$21:$O$21)*O14</f>
        <v>0</v>
      </c>
      <c r="S14" s="281">
        <f t="shared" si="23"/>
        <v>0</v>
      </c>
      <c r="T14" s="282">
        <f t="shared" si="24"/>
        <v>0</v>
      </c>
      <c r="U14" s="282">
        <f t="shared" si="25"/>
        <v>0</v>
      </c>
      <c r="V14" s="283" t="str">
        <f>IF(M14="","",VLOOKUP(M14,'NO ACTIVO - Coste máquina'!$B$3:$E$10000,3,0))</f>
        <v/>
      </c>
      <c r="W14" s="284" t="str">
        <f>IF(M14="","",VLOOKUP(M14,'NO ACTIVO - Coste máquina'!$B$3:$E$10000,2,0))</f>
        <v/>
      </c>
      <c r="X14" s="285">
        <f t="shared" si="2"/>
        <v>0</v>
      </c>
      <c r="Y14" s="286">
        <f t="shared" si="10"/>
        <v>0</v>
      </c>
      <c r="Z14" s="286">
        <f t="shared" si="3"/>
        <v>0</v>
      </c>
      <c r="AA14" s="286">
        <f t="shared" si="4"/>
        <v>0</v>
      </c>
      <c r="AB14" s="286">
        <f t="shared" si="5"/>
        <v>0</v>
      </c>
      <c r="AC14" s="286">
        <f t="shared" si="15"/>
        <v>0</v>
      </c>
      <c r="AD14" s="286">
        <f t="shared" si="16"/>
        <v>0</v>
      </c>
      <c r="AE14" s="287">
        <f t="shared" si="17"/>
        <v>0</v>
      </c>
      <c r="AF14" s="603">
        <f t="shared" si="11"/>
        <v>0</v>
      </c>
      <c r="AG14" s="128"/>
      <c r="AH14" s="129"/>
      <c r="AI14" s="129"/>
      <c r="AJ14" s="129"/>
      <c r="AK14" s="130"/>
      <c r="BZ14" s="70"/>
    </row>
    <row r="15" spans="2:78" s="69" customFormat="1" ht="12.75" customHeight="1" x14ac:dyDescent="0.2">
      <c r="B15" s="115">
        <v>1000</v>
      </c>
      <c r="C15" s="116"/>
      <c r="D15" s="117"/>
      <c r="E15" s="116"/>
      <c r="F15" s="116"/>
      <c r="G15" s="116"/>
      <c r="H15" s="118"/>
      <c r="I15" s="116"/>
      <c r="J15" s="119"/>
      <c r="K15" s="119"/>
      <c r="L15" s="116"/>
      <c r="M15" s="218"/>
      <c r="N15" s="221"/>
      <c r="O15" s="277">
        <f>+SUMIF('MOD+MOI+Overheads'!$D$7:$O$7,'1.2. Working plan'!L15,'MOD+MOI+Overheads'!$D$20:$O$20)</f>
        <v>0</v>
      </c>
      <c r="P15" s="278">
        <f>+SUMIF('MOD+MOI+Overheads'!$D$7:$O$7,'1.2. Working plan'!L15,'MOD+MOI+Overheads'!$D$19:$O$19)*O15</f>
        <v>0</v>
      </c>
      <c r="Q15" s="279">
        <f>+SUMIF('MOD+MOI+Overheads'!$D$7:$O$7,'1.2. Working plan'!L15,'MOD+MOI+Overheads'!$D$22:$O$22)*O15</f>
        <v>0</v>
      </c>
      <c r="R15" s="280">
        <f>+SUMIF('MOD+MOI+Overheads'!$D$7:$O$7,'1.2. Working plan'!L15,'MOD+MOI+Overheads'!$D$21:$O$21)*O15</f>
        <v>0</v>
      </c>
      <c r="S15" s="281">
        <f t="shared" si="23"/>
        <v>0</v>
      </c>
      <c r="T15" s="282">
        <f t="shared" si="24"/>
        <v>0</v>
      </c>
      <c r="U15" s="282">
        <f t="shared" si="25"/>
        <v>0</v>
      </c>
      <c r="V15" s="283" t="str">
        <f>IF(M15="","",VLOOKUP(M15,'NO ACTIVO - Coste máquina'!$B$3:$E$10000,3,0))</f>
        <v/>
      </c>
      <c r="W15" s="284" t="str">
        <f>IF(M15="","",VLOOKUP(M15,'NO ACTIVO - Coste máquina'!$B$3:$E$10000,2,0))</f>
        <v/>
      </c>
      <c r="X15" s="285">
        <f t="shared" si="2"/>
        <v>0</v>
      </c>
      <c r="Y15" s="286">
        <f t="shared" si="10"/>
        <v>0</v>
      </c>
      <c r="Z15" s="286">
        <f t="shared" si="3"/>
        <v>0</v>
      </c>
      <c r="AA15" s="286">
        <f t="shared" si="4"/>
        <v>0</v>
      </c>
      <c r="AB15" s="286">
        <f t="shared" si="5"/>
        <v>0</v>
      </c>
      <c r="AC15" s="286">
        <f t="shared" si="15"/>
        <v>0</v>
      </c>
      <c r="AD15" s="286">
        <f t="shared" si="16"/>
        <v>0</v>
      </c>
      <c r="AE15" s="287">
        <f t="shared" si="17"/>
        <v>0</v>
      </c>
      <c r="AF15" s="603">
        <f t="shared" si="11"/>
        <v>0</v>
      </c>
      <c r="AG15" s="128"/>
      <c r="AH15" s="129"/>
      <c r="AI15" s="129"/>
      <c r="AJ15" s="129"/>
      <c r="AK15" s="131"/>
      <c r="BZ15" s="70"/>
    </row>
    <row r="16" spans="2:78" s="69" customFormat="1" ht="12.75" customHeight="1" x14ac:dyDescent="0.2">
      <c r="B16" s="115">
        <v>1100</v>
      </c>
      <c r="C16" s="116"/>
      <c r="D16" s="117"/>
      <c r="E16" s="116"/>
      <c r="F16" s="116"/>
      <c r="G16" s="116"/>
      <c r="H16" s="118"/>
      <c r="I16" s="116"/>
      <c r="J16" s="119"/>
      <c r="K16" s="119"/>
      <c r="L16" s="116"/>
      <c r="M16" s="218"/>
      <c r="N16" s="221"/>
      <c r="O16" s="277">
        <f>+SUMIF('MOD+MOI+Overheads'!$D$7:$O$7,'1.2. Working plan'!L16,'MOD+MOI+Overheads'!$D$20:$O$20)</f>
        <v>0</v>
      </c>
      <c r="P16" s="278">
        <f>+SUMIF('MOD+MOI+Overheads'!$D$7:$O$7,'1.2. Working plan'!L16,'MOD+MOI+Overheads'!$D$19:$O$19)*O16</f>
        <v>0</v>
      </c>
      <c r="Q16" s="279">
        <f>+SUMIF('MOD+MOI+Overheads'!$D$7:$O$7,'1.2. Working plan'!L16,'MOD+MOI+Overheads'!$D$22:$O$22)*O16</f>
        <v>0</v>
      </c>
      <c r="R16" s="280">
        <f>+SUMIF('MOD+MOI+Overheads'!$D$7:$O$7,'1.2. Working plan'!L16,'MOD+MOI+Overheads'!$D$21:$O$21)*O16</f>
        <v>0</v>
      </c>
      <c r="S16" s="281">
        <f t="shared" si="23"/>
        <v>0</v>
      </c>
      <c r="T16" s="282">
        <f t="shared" si="24"/>
        <v>0</v>
      </c>
      <c r="U16" s="282">
        <f t="shared" si="25"/>
        <v>0</v>
      </c>
      <c r="V16" s="283" t="str">
        <f>IF(M16="","",VLOOKUP(M16,'NO ACTIVO - Coste máquina'!$B$3:$E$10000,3,0))</f>
        <v/>
      </c>
      <c r="W16" s="284" t="str">
        <f>IF(M16="","",VLOOKUP(M16,'NO ACTIVO - Coste máquina'!$B$3:$E$10000,2,0))</f>
        <v/>
      </c>
      <c r="X16" s="285">
        <f t="shared" si="2"/>
        <v>0</v>
      </c>
      <c r="Y16" s="286">
        <f t="shared" si="10"/>
        <v>0</v>
      </c>
      <c r="Z16" s="286">
        <f t="shared" si="3"/>
        <v>0</v>
      </c>
      <c r="AA16" s="286">
        <f t="shared" si="4"/>
        <v>0</v>
      </c>
      <c r="AB16" s="286">
        <f t="shared" si="5"/>
        <v>0</v>
      </c>
      <c r="AC16" s="286">
        <f t="shared" si="15"/>
        <v>0</v>
      </c>
      <c r="AD16" s="286">
        <f t="shared" si="16"/>
        <v>0</v>
      </c>
      <c r="AE16" s="287">
        <f t="shared" si="17"/>
        <v>0</v>
      </c>
      <c r="AF16" s="603">
        <f t="shared" si="11"/>
        <v>0</v>
      </c>
      <c r="AG16" s="128"/>
      <c r="AH16" s="129"/>
      <c r="AI16" s="129"/>
      <c r="AJ16" s="129"/>
      <c r="AK16" s="130"/>
      <c r="BZ16" s="70"/>
    </row>
    <row r="17" spans="2:78" s="69" customFormat="1" ht="12.75" customHeight="1" x14ac:dyDescent="0.2">
      <c r="B17" s="115">
        <v>1200</v>
      </c>
      <c r="C17" s="116"/>
      <c r="D17" s="117"/>
      <c r="E17" s="116"/>
      <c r="F17" s="116"/>
      <c r="G17" s="116"/>
      <c r="H17" s="118"/>
      <c r="I17" s="116"/>
      <c r="J17" s="119"/>
      <c r="K17" s="119"/>
      <c r="L17" s="116"/>
      <c r="M17" s="218"/>
      <c r="N17" s="221"/>
      <c r="O17" s="277">
        <f>+SUMIF('MOD+MOI+Overheads'!$D$7:$O$7,'1.2. Working plan'!L17,'MOD+MOI+Overheads'!$D$20:$O$20)</f>
        <v>0</v>
      </c>
      <c r="P17" s="278">
        <f>+SUMIF('MOD+MOI+Overheads'!$D$7:$O$7,'1.2. Working plan'!L17,'MOD+MOI+Overheads'!$D$19:$O$19)*O17</f>
        <v>0</v>
      </c>
      <c r="Q17" s="279">
        <f>+SUMIF('MOD+MOI+Overheads'!$D$7:$O$7,'1.2. Working plan'!L17,'MOD+MOI+Overheads'!$D$22:$O$22)*O17</f>
        <v>0</v>
      </c>
      <c r="R17" s="280">
        <f>+SUMIF('MOD+MOI+Overheads'!$D$7:$O$7,'1.2. Working plan'!L17,'MOD+MOI+Overheads'!$D$21:$O$21)*O17</f>
        <v>0</v>
      </c>
      <c r="S17" s="281">
        <f t="shared" si="23"/>
        <v>0</v>
      </c>
      <c r="T17" s="282">
        <f t="shared" si="24"/>
        <v>0</v>
      </c>
      <c r="U17" s="282">
        <f t="shared" si="25"/>
        <v>0</v>
      </c>
      <c r="V17" s="283" t="str">
        <f>IF(M17="","",VLOOKUP(M17,'NO ACTIVO - Coste máquina'!$B$3:$E$10000,3,0))</f>
        <v/>
      </c>
      <c r="W17" s="284" t="str">
        <f>IF(M17="","",VLOOKUP(M17,'NO ACTIVO - Coste máquina'!$B$3:$E$10000,2,0))</f>
        <v/>
      </c>
      <c r="X17" s="285">
        <f t="shared" si="2"/>
        <v>0</v>
      </c>
      <c r="Y17" s="286">
        <f t="shared" si="10"/>
        <v>0</v>
      </c>
      <c r="Z17" s="286">
        <f t="shared" si="3"/>
        <v>0</v>
      </c>
      <c r="AA17" s="286">
        <f t="shared" si="4"/>
        <v>0</v>
      </c>
      <c r="AB17" s="286">
        <f t="shared" si="5"/>
        <v>0</v>
      </c>
      <c r="AC17" s="286">
        <f t="shared" si="15"/>
        <v>0</v>
      </c>
      <c r="AD17" s="286">
        <f t="shared" si="16"/>
        <v>0</v>
      </c>
      <c r="AE17" s="287">
        <f t="shared" si="17"/>
        <v>0</v>
      </c>
      <c r="AF17" s="603">
        <f t="shared" si="11"/>
        <v>0</v>
      </c>
      <c r="AG17" s="128"/>
      <c r="AH17" s="129"/>
      <c r="AI17" s="129"/>
      <c r="AJ17" s="129"/>
      <c r="AK17" s="131"/>
      <c r="BZ17" s="70"/>
    </row>
    <row r="18" spans="2:78" s="69" customFormat="1" ht="12.75" customHeight="1" x14ac:dyDescent="0.2">
      <c r="B18" s="115">
        <v>1300</v>
      </c>
      <c r="C18" s="116"/>
      <c r="D18" s="117"/>
      <c r="E18" s="116"/>
      <c r="F18" s="116"/>
      <c r="G18" s="116"/>
      <c r="H18" s="118"/>
      <c r="I18" s="116"/>
      <c r="J18" s="119"/>
      <c r="K18" s="119"/>
      <c r="L18" s="116"/>
      <c r="M18" s="218"/>
      <c r="N18" s="221"/>
      <c r="O18" s="277">
        <f>+SUMIF('MOD+MOI+Overheads'!$D$7:$O$7,'1.2. Working plan'!L18,'MOD+MOI+Overheads'!$D$20:$O$20)</f>
        <v>0</v>
      </c>
      <c r="P18" s="278">
        <f>+SUMIF('MOD+MOI+Overheads'!$D$7:$O$7,'1.2. Working plan'!L18,'MOD+MOI+Overheads'!$D$19:$O$19)*O18</f>
        <v>0</v>
      </c>
      <c r="Q18" s="279">
        <f>+SUMIF('MOD+MOI+Overheads'!$D$7:$O$7,'1.2. Working plan'!L18,'MOD+MOI+Overheads'!$D$22:$O$22)*O18</f>
        <v>0</v>
      </c>
      <c r="R18" s="280">
        <f>+SUMIF('MOD+MOI+Overheads'!$D$7:$O$7,'1.2. Working plan'!L18,'MOD+MOI+Overheads'!$D$21:$O$21)*O18</f>
        <v>0</v>
      </c>
      <c r="S18" s="281">
        <f t="shared" si="9"/>
        <v>0</v>
      </c>
      <c r="T18" s="282">
        <f t="shared" si="0"/>
        <v>0</v>
      </c>
      <c r="U18" s="282">
        <f t="shared" si="1"/>
        <v>0</v>
      </c>
      <c r="V18" s="283" t="str">
        <f>IF(M18="","",VLOOKUP(M18,'NO ACTIVO - Coste máquina'!$B$3:$E$10000,3,0))</f>
        <v/>
      </c>
      <c r="W18" s="284" t="str">
        <f>IF(M18="","",VLOOKUP(M18,'NO ACTIVO - Coste máquina'!$B$3:$E$10000,2,0))</f>
        <v/>
      </c>
      <c r="X18" s="285">
        <f t="shared" si="2"/>
        <v>0</v>
      </c>
      <c r="Y18" s="286">
        <f t="shared" si="10"/>
        <v>0</v>
      </c>
      <c r="Z18" s="286">
        <f t="shared" si="3"/>
        <v>0</v>
      </c>
      <c r="AA18" s="286">
        <f t="shared" si="4"/>
        <v>0</v>
      </c>
      <c r="AB18" s="286">
        <f t="shared" si="5"/>
        <v>0</v>
      </c>
      <c r="AC18" s="286">
        <f t="shared" si="6"/>
        <v>0</v>
      </c>
      <c r="AD18" s="286">
        <f t="shared" si="7"/>
        <v>0</v>
      </c>
      <c r="AE18" s="287">
        <f t="shared" si="8"/>
        <v>0</v>
      </c>
      <c r="AF18" s="603">
        <f t="shared" si="11"/>
        <v>0</v>
      </c>
      <c r="AG18" s="128"/>
      <c r="AH18" s="129"/>
      <c r="AI18" s="129"/>
      <c r="AJ18" s="129"/>
      <c r="AK18" s="131"/>
      <c r="BZ18" s="70"/>
    </row>
    <row r="19" spans="2:78" s="69" customFormat="1" ht="12.75" customHeight="1" x14ac:dyDescent="0.2">
      <c r="B19" s="115">
        <v>1400</v>
      </c>
      <c r="C19" s="116"/>
      <c r="D19" s="117"/>
      <c r="E19" s="116"/>
      <c r="F19" s="116"/>
      <c r="G19" s="116"/>
      <c r="H19" s="118"/>
      <c r="I19" s="116"/>
      <c r="J19" s="119"/>
      <c r="K19" s="119"/>
      <c r="L19" s="116"/>
      <c r="M19" s="218"/>
      <c r="N19" s="221"/>
      <c r="O19" s="277">
        <f>+SUMIF('MOD+MOI+Overheads'!$D$7:$O$7,'1.2. Working plan'!L19,'MOD+MOI+Overheads'!$D$20:$O$20)</f>
        <v>0</v>
      </c>
      <c r="P19" s="278">
        <f>+SUMIF('MOD+MOI+Overheads'!$D$7:$O$7,'1.2. Working plan'!L19,'MOD+MOI+Overheads'!$D$19:$O$19)*O19</f>
        <v>0</v>
      </c>
      <c r="Q19" s="279">
        <f>+SUMIF('MOD+MOI+Overheads'!$D$7:$O$7,'1.2. Working plan'!L19,'MOD+MOI+Overheads'!$D$22:$O$22)*O19</f>
        <v>0</v>
      </c>
      <c r="R19" s="280">
        <f>+SUMIF('MOD+MOI+Overheads'!$D$7:$O$7,'1.2. Working plan'!L19,'MOD+MOI+Overheads'!$D$21:$O$21)*O19</f>
        <v>0</v>
      </c>
      <c r="S19" s="281">
        <f t="shared" si="9"/>
        <v>0</v>
      </c>
      <c r="T19" s="282">
        <f t="shared" si="0"/>
        <v>0</v>
      </c>
      <c r="U19" s="282">
        <f t="shared" si="1"/>
        <v>0</v>
      </c>
      <c r="V19" s="283" t="str">
        <f>IF(M19="","",VLOOKUP(M19,'NO ACTIVO - Coste máquina'!$B$3:$E$10000,3,0))</f>
        <v/>
      </c>
      <c r="W19" s="284" t="str">
        <f>IF(M19="","",VLOOKUP(M19,'NO ACTIVO - Coste máquina'!$B$3:$E$10000,2,0))</f>
        <v/>
      </c>
      <c r="X19" s="285">
        <f t="shared" si="2"/>
        <v>0</v>
      </c>
      <c r="Y19" s="286">
        <f t="shared" si="10"/>
        <v>0</v>
      </c>
      <c r="Z19" s="286">
        <f t="shared" si="3"/>
        <v>0</v>
      </c>
      <c r="AA19" s="286">
        <f t="shared" si="4"/>
        <v>0</v>
      </c>
      <c r="AB19" s="286">
        <f t="shared" si="5"/>
        <v>0</v>
      </c>
      <c r="AC19" s="286">
        <f t="shared" si="6"/>
        <v>0</v>
      </c>
      <c r="AD19" s="286">
        <f t="shared" si="7"/>
        <v>0</v>
      </c>
      <c r="AE19" s="287">
        <f t="shared" si="8"/>
        <v>0</v>
      </c>
      <c r="AF19" s="603">
        <f t="shared" si="11"/>
        <v>0</v>
      </c>
      <c r="AG19" s="128"/>
      <c r="AH19" s="129"/>
      <c r="AI19" s="129"/>
      <c r="AJ19" s="129"/>
      <c r="AK19" s="130"/>
      <c r="BZ19" s="70"/>
    </row>
    <row r="20" spans="2:78" s="69" customFormat="1" ht="12.75" customHeight="1" x14ac:dyDescent="0.2">
      <c r="B20" s="115"/>
      <c r="C20" s="116"/>
      <c r="D20" s="117"/>
      <c r="E20" s="116"/>
      <c r="F20" s="116"/>
      <c r="G20" s="116"/>
      <c r="H20" s="118"/>
      <c r="I20" s="116"/>
      <c r="J20" s="119"/>
      <c r="K20" s="119"/>
      <c r="L20" s="116"/>
      <c r="M20" s="218"/>
      <c r="N20" s="221"/>
      <c r="O20" s="277">
        <f>+SUMIF('MOD+MOI+Overheads'!$D$7:$O$7,'1.2. Working plan'!L20,'MOD+MOI+Overheads'!$D$20:$O$20)</f>
        <v>0</v>
      </c>
      <c r="P20" s="278">
        <f>+SUMIF('MOD+MOI+Overheads'!$D$7:$O$7,'1.2. Working plan'!L20,'MOD+MOI+Overheads'!$D$19:$O$19)*O20</f>
        <v>0</v>
      </c>
      <c r="Q20" s="279">
        <f>+SUMIF('MOD+MOI+Overheads'!$D$7:$O$7,'1.2. Working plan'!L20,'MOD+MOI+Overheads'!$D$22:$O$22)*O20</f>
        <v>0</v>
      </c>
      <c r="R20" s="280">
        <f>+SUMIF('MOD+MOI+Overheads'!$D$7:$O$7,'1.2. Working plan'!L20,'MOD+MOI+Overheads'!$D$21:$O$21)*O20</f>
        <v>0</v>
      </c>
      <c r="S20" s="281">
        <f t="shared" si="9"/>
        <v>0</v>
      </c>
      <c r="T20" s="282">
        <f t="shared" si="0"/>
        <v>0</v>
      </c>
      <c r="U20" s="282">
        <f t="shared" si="1"/>
        <v>0</v>
      </c>
      <c r="V20" s="283" t="str">
        <f>IF(M20="","",VLOOKUP(M20,'NO ACTIVO - Coste máquina'!$B$3:$E$10000,3,0))</f>
        <v/>
      </c>
      <c r="W20" s="284" t="str">
        <f>IF(M20="","",VLOOKUP(M20,'NO ACTIVO - Coste máquina'!$B$3:$E$10000,2,0))</f>
        <v/>
      </c>
      <c r="X20" s="285">
        <f t="shared" si="2"/>
        <v>0</v>
      </c>
      <c r="Y20" s="286">
        <f t="shared" si="10"/>
        <v>0</v>
      </c>
      <c r="Z20" s="286">
        <f t="shared" si="3"/>
        <v>0</v>
      </c>
      <c r="AA20" s="286">
        <f t="shared" si="4"/>
        <v>0</v>
      </c>
      <c r="AB20" s="286">
        <f t="shared" si="5"/>
        <v>0</v>
      </c>
      <c r="AC20" s="286">
        <f t="shared" si="6"/>
        <v>0</v>
      </c>
      <c r="AD20" s="286">
        <f t="shared" si="7"/>
        <v>0</v>
      </c>
      <c r="AE20" s="287">
        <f t="shared" si="8"/>
        <v>0</v>
      </c>
      <c r="AF20" s="603">
        <f t="shared" si="11"/>
        <v>0</v>
      </c>
      <c r="AG20" s="128"/>
      <c r="AH20" s="129"/>
      <c r="AI20" s="129"/>
      <c r="AJ20" s="129"/>
      <c r="AK20" s="130"/>
      <c r="BZ20" s="70"/>
    </row>
    <row r="21" spans="2:78" s="69" customFormat="1" ht="12.75" customHeight="1" x14ac:dyDescent="0.2">
      <c r="B21" s="115"/>
      <c r="C21" s="116"/>
      <c r="D21" s="117"/>
      <c r="E21" s="116"/>
      <c r="F21" s="116"/>
      <c r="G21" s="116"/>
      <c r="H21" s="118"/>
      <c r="I21" s="116"/>
      <c r="J21" s="119"/>
      <c r="K21" s="119"/>
      <c r="L21" s="116"/>
      <c r="M21" s="218"/>
      <c r="N21" s="221"/>
      <c r="O21" s="277">
        <f>+SUMIF('MOD+MOI+Overheads'!$D$7:$O$7,'1.2. Working plan'!L21,'MOD+MOI+Overheads'!$D$20:$O$20)</f>
        <v>0</v>
      </c>
      <c r="P21" s="278">
        <f>+SUMIF('MOD+MOI+Overheads'!$D$7:$O$7,'1.2. Working plan'!L21,'MOD+MOI+Overheads'!$D$19:$O$19)*O21</f>
        <v>0</v>
      </c>
      <c r="Q21" s="279">
        <f>+SUMIF('MOD+MOI+Overheads'!$D$7:$O$7,'1.2. Working plan'!L21,'MOD+MOI+Overheads'!$D$22:$O$22)*O21</f>
        <v>0</v>
      </c>
      <c r="R21" s="280">
        <f>+SUMIF('MOD+MOI+Overheads'!$D$7:$O$7,'1.2. Working plan'!L21,'MOD+MOI+Overheads'!$D$21:$O$21)*O21</f>
        <v>0</v>
      </c>
      <c r="S21" s="281">
        <f t="shared" si="9"/>
        <v>0</v>
      </c>
      <c r="T21" s="282">
        <f t="shared" si="0"/>
        <v>0</v>
      </c>
      <c r="U21" s="282">
        <f t="shared" si="1"/>
        <v>0</v>
      </c>
      <c r="V21" s="283" t="str">
        <f>IF(M21="","",VLOOKUP(M21,'NO ACTIVO - Coste máquina'!$B$3:$E$10000,3,0))</f>
        <v/>
      </c>
      <c r="W21" s="284" t="str">
        <f>IF(M21="","",VLOOKUP(M21,'NO ACTIVO - Coste máquina'!$B$3:$E$10000,2,0))</f>
        <v/>
      </c>
      <c r="X21" s="285">
        <f t="shared" si="2"/>
        <v>0</v>
      </c>
      <c r="Y21" s="286">
        <f t="shared" si="10"/>
        <v>0</v>
      </c>
      <c r="Z21" s="286">
        <f t="shared" si="3"/>
        <v>0</v>
      </c>
      <c r="AA21" s="286">
        <f t="shared" si="4"/>
        <v>0</v>
      </c>
      <c r="AB21" s="286">
        <f t="shared" si="5"/>
        <v>0</v>
      </c>
      <c r="AC21" s="286">
        <f t="shared" si="6"/>
        <v>0</v>
      </c>
      <c r="AD21" s="286">
        <f t="shared" si="7"/>
        <v>0</v>
      </c>
      <c r="AE21" s="287">
        <f t="shared" si="8"/>
        <v>0</v>
      </c>
      <c r="AF21" s="603">
        <f t="shared" si="11"/>
        <v>0</v>
      </c>
      <c r="AG21" s="128"/>
      <c r="AH21" s="129"/>
      <c r="AI21" s="129"/>
      <c r="AJ21" s="129"/>
      <c r="AK21" s="130"/>
      <c r="BZ21" s="70"/>
    </row>
    <row r="22" spans="2:78" s="69" customFormat="1" ht="12.75" customHeight="1" x14ac:dyDescent="0.2">
      <c r="B22" s="115"/>
      <c r="C22" s="116"/>
      <c r="D22" s="117"/>
      <c r="E22" s="116"/>
      <c r="F22" s="116"/>
      <c r="G22" s="116"/>
      <c r="H22" s="118"/>
      <c r="I22" s="116"/>
      <c r="J22" s="119"/>
      <c r="K22" s="119"/>
      <c r="L22" s="116"/>
      <c r="M22" s="218"/>
      <c r="N22" s="221"/>
      <c r="O22" s="277">
        <f>+SUMIF('MOD+MOI+Overheads'!$D$7:$O$7,'1.2. Working plan'!L22,'MOD+MOI+Overheads'!$D$20:$O$20)</f>
        <v>0</v>
      </c>
      <c r="P22" s="278">
        <f>+SUMIF('MOD+MOI+Overheads'!$D$7:$O$7,'1.2. Working plan'!L22,'MOD+MOI+Overheads'!$D$19:$O$19)*O22</f>
        <v>0</v>
      </c>
      <c r="Q22" s="279">
        <f>+SUMIF('MOD+MOI+Overheads'!$D$7:$O$7,'1.2. Working plan'!L22,'MOD+MOI+Overheads'!$D$22:$O$22)*O22</f>
        <v>0</v>
      </c>
      <c r="R22" s="280">
        <f>+SUMIF('MOD+MOI+Overheads'!$D$7:$O$7,'1.2. Working plan'!L22,'MOD+MOI+Overheads'!$D$21:$O$21)*O22</f>
        <v>0</v>
      </c>
      <c r="S22" s="281">
        <f t="shared" si="9"/>
        <v>0</v>
      </c>
      <c r="T22" s="282">
        <f t="shared" si="0"/>
        <v>0</v>
      </c>
      <c r="U22" s="282">
        <f t="shared" si="1"/>
        <v>0</v>
      </c>
      <c r="V22" s="283" t="str">
        <f>IF(M22="","",VLOOKUP(M22,'NO ACTIVO - Coste máquina'!$B$3:$E$10000,3,0))</f>
        <v/>
      </c>
      <c r="W22" s="284" t="str">
        <f>IF(M22="","",VLOOKUP(M22,'NO ACTIVO - Coste máquina'!$B$3:$E$10000,2,0))</f>
        <v/>
      </c>
      <c r="X22" s="285">
        <f t="shared" si="2"/>
        <v>0</v>
      </c>
      <c r="Y22" s="286">
        <f t="shared" si="10"/>
        <v>0</v>
      </c>
      <c r="Z22" s="286">
        <f t="shared" si="3"/>
        <v>0</v>
      </c>
      <c r="AA22" s="286">
        <f t="shared" si="4"/>
        <v>0</v>
      </c>
      <c r="AB22" s="286">
        <f t="shared" si="5"/>
        <v>0</v>
      </c>
      <c r="AC22" s="286">
        <f t="shared" si="6"/>
        <v>0</v>
      </c>
      <c r="AD22" s="286">
        <f t="shared" si="7"/>
        <v>0</v>
      </c>
      <c r="AE22" s="287">
        <f t="shared" si="8"/>
        <v>0</v>
      </c>
      <c r="AF22" s="603">
        <f t="shared" si="11"/>
        <v>0</v>
      </c>
      <c r="AG22" s="128"/>
      <c r="AH22" s="129"/>
      <c r="AI22" s="129"/>
      <c r="AJ22" s="129"/>
      <c r="AK22" s="130"/>
      <c r="BZ22" s="70"/>
    </row>
    <row r="23" spans="2:78" s="69" customFormat="1" ht="12.75" customHeight="1" x14ac:dyDescent="0.2">
      <c r="B23" s="115"/>
      <c r="C23" s="116"/>
      <c r="D23" s="117"/>
      <c r="E23" s="116"/>
      <c r="F23" s="116"/>
      <c r="G23" s="116"/>
      <c r="H23" s="118"/>
      <c r="I23" s="116"/>
      <c r="J23" s="119"/>
      <c r="K23" s="119"/>
      <c r="L23" s="116"/>
      <c r="M23" s="218"/>
      <c r="N23" s="221"/>
      <c r="O23" s="277">
        <f>+SUMIF('MOD+MOI+Overheads'!$D$7:$O$7,'1.2. Working plan'!L23,'MOD+MOI+Overheads'!$D$20:$O$20)</f>
        <v>0</v>
      </c>
      <c r="P23" s="278">
        <f>+SUMIF('MOD+MOI+Overheads'!$D$7:$O$7,'1.2. Working plan'!L23,'MOD+MOI+Overheads'!$D$19:$O$19)*O23</f>
        <v>0</v>
      </c>
      <c r="Q23" s="279">
        <f>+SUMIF('MOD+MOI+Overheads'!$D$7:$O$7,'1.2. Working plan'!L23,'MOD+MOI+Overheads'!$D$22:$O$22)*O23</f>
        <v>0</v>
      </c>
      <c r="R23" s="280">
        <f>+SUMIF('MOD+MOI+Overheads'!$D$7:$O$7,'1.2. Working plan'!L23,'MOD+MOI+Overheads'!$D$21:$O$21)*O23</f>
        <v>0</v>
      </c>
      <c r="S23" s="281">
        <f t="shared" si="9"/>
        <v>0</v>
      </c>
      <c r="T23" s="282">
        <f t="shared" si="0"/>
        <v>0</v>
      </c>
      <c r="U23" s="282">
        <f t="shared" si="1"/>
        <v>0</v>
      </c>
      <c r="V23" s="283" t="str">
        <f>IF(M23="","",VLOOKUP(M23,'NO ACTIVO - Coste máquina'!$B$3:$E$10000,3,0))</f>
        <v/>
      </c>
      <c r="W23" s="284" t="str">
        <f>IF(M23="","",VLOOKUP(M23,'NO ACTIVO - Coste máquina'!$B$3:$E$10000,2,0))</f>
        <v/>
      </c>
      <c r="X23" s="285">
        <f t="shared" si="2"/>
        <v>0</v>
      </c>
      <c r="Y23" s="286">
        <f t="shared" si="10"/>
        <v>0</v>
      </c>
      <c r="Z23" s="286">
        <f t="shared" si="3"/>
        <v>0</v>
      </c>
      <c r="AA23" s="286">
        <f t="shared" si="4"/>
        <v>0</v>
      </c>
      <c r="AB23" s="286">
        <f t="shared" si="5"/>
        <v>0</v>
      </c>
      <c r="AC23" s="286">
        <f t="shared" si="6"/>
        <v>0</v>
      </c>
      <c r="AD23" s="286">
        <f t="shared" si="7"/>
        <v>0</v>
      </c>
      <c r="AE23" s="287">
        <f t="shared" si="8"/>
        <v>0</v>
      </c>
      <c r="AF23" s="603">
        <f t="shared" si="11"/>
        <v>0</v>
      </c>
      <c r="AG23" s="128"/>
      <c r="AH23" s="129"/>
      <c r="AI23" s="129"/>
      <c r="AJ23" s="129"/>
      <c r="AK23" s="130"/>
      <c r="BZ23" s="70"/>
    </row>
    <row r="24" spans="2:78" s="69" customFormat="1" ht="12.75" customHeight="1" x14ac:dyDescent="0.2">
      <c r="B24" s="115"/>
      <c r="C24" s="116"/>
      <c r="D24" s="117"/>
      <c r="E24" s="116"/>
      <c r="F24" s="116"/>
      <c r="G24" s="116"/>
      <c r="H24" s="118"/>
      <c r="I24" s="116"/>
      <c r="J24" s="119"/>
      <c r="K24" s="119"/>
      <c r="L24" s="116"/>
      <c r="M24" s="218"/>
      <c r="N24" s="221"/>
      <c r="O24" s="277">
        <f>+SUMIF('MOD+MOI+Overheads'!$D$7:$O$7,'1.2. Working plan'!L24,'MOD+MOI+Overheads'!$D$20:$O$20)</f>
        <v>0</v>
      </c>
      <c r="P24" s="278">
        <f>+SUMIF('MOD+MOI+Overheads'!$D$7:$O$7,'1.2. Working plan'!L24,'MOD+MOI+Overheads'!$D$19:$O$19)*O24</f>
        <v>0</v>
      </c>
      <c r="Q24" s="279">
        <f>+SUMIF('MOD+MOI+Overheads'!$D$7:$O$7,'1.2. Working plan'!L24,'MOD+MOI+Overheads'!$D$22:$O$22)*O24</f>
        <v>0</v>
      </c>
      <c r="R24" s="280">
        <f>+SUMIF('MOD+MOI+Overheads'!$D$7:$O$7,'1.2. Working plan'!L24,'MOD+MOI+Overheads'!$D$21:$O$21)*O24</f>
        <v>0</v>
      </c>
      <c r="S24" s="281">
        <f t="shared" si="9"/>
        <v>0</v>
      </c>
      <c r="T24" s="282">
        <f t="shared" si="0"/>
        <v>0</v>
      </c>
      <c r="U24" s="282">
        <f t="shared" si="1"/>
        <v>0</v>
      </c>
      <c r="V24" s="283" t="str">
        <f>IF(M24="","",VLOOKUP(M24,'NO ACTIVO - Coste máquina'!$B$3:$E$10000,3,0))</f>
        <v/>
      </c>
      <c r="W24" s="284" t="str">
        <f>IF(M24="","",VLOOKUP(M24,'NO ACTIVO - Coste máquina'!$B$3:$E$10000,2,0))</f>
        <v/>
      </c>
      <c r="X24" s="285">
        <f t="shared" si="2"/>
        <v>0</v>
      </c>
      <c r="Y24" s="286">
        <f t="shared" si="10"/>
        <v>0</v>
      </c>
      <c r="Z24" s="286">
        <f t="shared" si="3"/>
        <v>0</v>
      </c>
      <c r="AA24" s="286">
        <f t="shared" si="4"/>
        <v>0</v>
      </c>
      <c r="AB24" s="286">
        <f t="shared" si="5"/>
        <v>0</v>
      </c>
      <c r="AC24" s="286">
        <f t="shared" si="6"/>
        <v>0</v>
      </c>
      <c r="AD24" s="286">
        <f t="shared" si="7"/>
        <v>0</v>
      </c>
      <c r="AE24" s="287">
        <f t="shared" si="8"/>
        <v>0</v>
      </c>
      <c r="AF24" s="603">
        <f t="shared" si="11"/>
        <v>0</v>
      </c>
      <c r="AG24" s="128"/>
      <c r="AH24" s="129"/>
      <c r="AI24" s="129"/>
      <c r="AJ24" s="129"/>
      <c r="AK24" s="130"/>
      <c r="BZ24" s="70"/>
    </row>
    <row r="25" spans="2:78" s="69" customFormat="1" ht="12.75" customHeight="1" x14ac:dyDescent="0.2">
      <c r="B25" s="115"/>
      <c r="C25" s="116"/>
      <c r="D25" s="117"/>
      <c r="E25" s="116"/>
      <c r="F25" s="116"/>
      <c r="G25" s="116"/>
      <c r="H25" s="118"/>
      <c r="I25" s="116"/>
      <c r="J25" s="119"/>
      <c r="K25" s="119"/>
      <c r="L25" s="116"/>
      <c r="M25" s="218"/>
      <c r="N25" s="221"/>
      <c r="O25" s="277">
        <f>+SUMIF('MOD+MOI+Overheads'!$D$7:$O$7,'1.2. Working plan'!L25,'MOD+MOI+Overheads'!$D$20:$O$20)</f>
        <v>0</v>
      </c>
      <c r="P25" s="278">
        <f>+SUMIF('MOD+MOI+Overheads'!$D$7:$O$7,'1.2. Working plan'!L25,'MOD+MOI+Overheads'!$D$19:$O$19)*O25</f>
        <v>0</v>
      </c>
      <c r="Q25" s="279">
        <f>+SUMIF('MOD+MOI+Overheads'!$D$7:$O$7,'1.2. Working plan'!L25,'MOD+MOI+Overheads'!$D$22:$O$22)*O25</f>
        <v>0</v>
      </c>
      <c r="R25" s="280">
        <f>+SUMIF('MOD+MOI+Overheads'!$D$7:$O$7,'1.2. Working plan'!L25,'MOD+MOI+Overheads'!$D$21:$O$21)*O25</f>
        <v>0</v>
      </c>
      <c r="S25" s="281">
        <f t="shared" si="9"/>
        <v>0</v>
      </c>
      <c r="T25" s="282">
        <f t="shared" si="0"/>
        <v>0</v>
      </c>
      <c r="U25" s="282">
        <f t="shared" si="1"/>
        <v>0</v>
      </c>
      <c r="V25" s="283" t="str">
        <f>IF(M25="","",VLOOKUP(M25,'NO ACTIVO - Coste máquina'!$B$3:$E$10000,3,0))</f>
        <v/>
      </c>
      <c r="W25" s="284" t="str">
        <f>IF(M25="","",VLOOKUP(M25,'NO ACTIVO - Coste máquina'!$B$3:$E$10000,2,0))</f>
        <v/>
      </c>
      <c r="X25" s="285">
        <f t="shared" si="2"/>
        <v>0</v>
      </c>
      <c r="Y25" s="286">
        <f t="shared" si="10"/>
        <v>0</v>
      </c>
      <c r="Z25" s="286">
        <f t="shared" si="3"/>
        <v>0</v>
      </c>
      <c r="AA25" s="286">
        <f t="shared" si="4"/>
        <v>0</v>
      </c>
      <c r="AB25" s="286">
        <f t="shared" si="5"/>
        <v>0</v>
      </c>
      <c r="AC25" s="286">
        <f t="shared" si="6"/>
        <v>0</v>
      </c>
      <c r="AD25" s="286">
        <f t="shared" si="7"/>
        <v>0</v>
      </c>
      <c r="AE25" s="287">
        <f t="shared" si="8"/>
        <v>0</v>
      </c>
      <c r="AF25" s="603">
        <f t="shared" si="11"/>
        <v>0</v>
      </c>
      <c r="AG25" s="128"/>
      <c r="AH25" s="129"/>
      <c r="AI25" s="129"/>
      <c r="AJ25" s="129"/>
      <c r="AK25" s="130"/>
      <c r="BZ25" s="70"/>
    </row>
    <row r="26" spans="2:78" s="69" customFormat="1" ht="12.75" customHeight="1" x14ac:dyDescent="0.2">
      <c r="B26" s="115"/>
      <c r="C26" s="116"/>
      <c r="D26" s="117"/>
      <c r="E26" s="116"/>
      <c r="F26" s="116"/>
      <c r="G26" s="116"/>
      <c r="H26" s="118"/>
      <c r="I26" s="116"/>
      <c r="J26" s="119"/>
      <c r="K26" s="119"/>
      <c r="L26" s="116"/>
      <c r="M26" s="218"/>
      <c r="N26" s="221"/>
      <c r="O26" s="277">
        <f>+SUMIF('MOD+MOI+Overheads'!$D$7:$O$7,'1.2. Working plan'!L26,'MOD+MOI+Overheads'!$D$20:$O$20)</f>
        <v>0</v>
      </c>
      <c r="P26" s="278">
        <f>+SUMIF('MOD+MOI+Overheads'!$D$7:$O$7,'1.2. Working plan'!L26,'MOD+MOI+Overheads'!$D$19:$O$19)*O26</f>
        <v>0</v>
      </c>
      <c r="Q26" s="279">
        <f>+SUMIF('MOD+MOI+Overheads'!$D$7:$O$7,'1.2. Working plan'!L26,'MOD+MOI+Overheads'!$D$22:$O$22)*O26</f>
        <v>0</v>
      </c>
      <c r="R26" s="280">
        <f>+SUMIF('MOD+MOI+Overheads'!$D$7:$O$7,'1.2. Working plan'!L26,'MOD+MOI+Overheads'!$D$21:$O$21)*O26</f>
        <v>0</v>
      </c>
      <c r="S26" s="281">
        <f t="shared" si="9"/>
        <v>0</v>
      </c>
      <c r="T26" s="282">
        <f t="shared" si="0"/>
        <v>0</v>
      </c>
      <c r="U26" s="282">
        <f t="shared" si="1"/>
        <v>0</v>
      </c>
      <c r="V26" s="283" t="str">
        <f>IF(M26="","",VLOOKUP(M26,'NO ACTIVO - Coste máquina'!$B$3:$E$10000,3,0))</f>
        <v/>
      </c>
      <c r="W26" s="284" t="str">
        <f>IF(M26="","",VLOOKUP(M26,'NO ACTIVO - Coste máquina'!$B$3:$E$10000,2,0))</f>
        <v/>
      </c>
      <c r="X26" s="285">
        <f t="shared" si="2"/>
        <v>0</v>
      </c>
      <c r="Y26" s="286">
        <f t="shared" si="10"/>
        <v>0</v>
      </c>
      <c r="Z26" s="286">
        <f t="shared" si="3"/>
        <v>0</v>
      </c>
      <c r="AA26" s="286">
        <f t="shared" si="4"/>
        <v>0</v>
      </c>
      <c r="AB26" s="286">
        <f t="shared" si="5"/>
        <v>0</v>
      </c>
      <c r="AC26" s="286">
        <f t="shared" si="6"/>
        <v>0</v>
      </c>
      <c r="AD26" s="286">
        <f t="shared" si="7"/>
        <v>0</v>
      </c>
      <c r="AE26" s="287">
        <f t="shared" si="8"/>
        <v>0</v>
      </c>
      <c r="AF26" s="603">
        <f t="shared" si="11"/>
        <v>0</v>
      </c>
      <c r="AG26" s="128"/>
      <c r="AH26" s="129"/>
      <c r="AI26" s="129"/>
      <c r="AJ26" s="129"/>
      <c r="AK26" s="130"/>
      <c r="BZ26" s="70"/>
    </row>
    <row r="27" spans="2:78" s="69" customFormat="1" ht="12.75" customHeight="1" x14ac:dyDescent="0.2">
      <c r="B27" s="115"/>
      <c r="C27" s="116"/>
      <c r="D27" s="117"/>
      <c r="E27" s="116"/>
      <c r="F27" s="116"/>
      <c r="G27" s="116"/>
      <c r="H27" s="118"/>
      <c r="I27" s="116"/>
      <c r="J27" s="119"/>
      <c r="K27" s="119"/>
      <c r="L27" s="116"/>
      <c r="M27" s="218"/>
      <c r="N27" s="221"/>
      <c r="O27" s="277">
        <f>+SUMIF('MOD+MOI+Overheads'!$D$7:$O$7,'1.2. Working plan'!L27,'MOD+MOI+Overheads'!$D$20:$O$20)</f>
        <v>0</v>
      </c>
      <c r="P27" s="278">
        <f>+SUMIF('MOD+MOI+Overheads'!$D$7:$O$7,'1.2. Working plan'!L27,'MOD+MOI+Overheads'!$D$19:$O$19)*O27</f>
        <v>0</v>
      </c>
      <c r="Q27" s="279">
        <f>+SUMIF('MOD+MOI+Overheads'!$D$7:$O$7,'1.2. Working plan'!L27,'MOD+MOI+Overheads'!$D$22:$O$22)*O27</f>
        <v>0</v>
      </c>
      <c r="R27" s="280">
        <f>+SUMIF('MOD+MOI+Overheads'!$D$7:$O$7,'1.2. Working plan'!L27,'MOD+MOI+Overheads'!$D$21:$O$21)*O27</f>
        <v>0</v>
      </c>
      <c r="S27" s="281">
        <f t="shared" si="9"/>
        <v>0</v>
      </c>
      <c r="T27" s="282">
        <f t="shared" si="0"/>
        <v>0</v>
      </c>
      <c r="U27" s="282">
        <f t="shared" si="1"/>
        <v>0</v>
      </c>
      <c r="V27" s="283" t="str">
        <f>IF(M27="","",VLOOKUP(M27,'NO ACTIVO - Coste máquina'!$B$3:$E$10000,3,0))</f>
        <v/>
      </c>
      <c r="W27" s="284" t="str">
        <f>IF(M27="","",VLOOKUP(M27,'NO ACTIVO - Coste máquina'!$B$3:$E$10000,2,0))</f>
        <v/>
      </c>
      <c r="X27" s="285">
        <f t="shared" si="2"/>
        <v>0</v>
      </c>
      <c r="Y27" s="286">
        <f t="shared" si="10"/>
        <v>0</v>
      </c>
      <c r="Z27" s="286">
        <f t="shared" si="3"/>
        <v>0</v>
      </c>
      <c r="AA27" s="286">
        <f t="shared" si="4"/>
        <v>0</v>
      </c>
      <c r="AB27" s="286">
        <f t="shared" si="5"/>
        <v>0</v>
      </c>
      <c r="AC27" s="286">
        <f t="shared" si="6"/>
        <v>0</v>
      </c>
      <c r="AD27" s="286">
        <f t="shared" si="7"/>
        <v>0</v>
      </c>
      <c r="AE27" s="287">
        <f t="shared" si="8"/>
        <v>0</v>
      </c>
      <c r="AF27" s="603">
        <f t="shared" si="11"/>
        <v>0</v>
      </c>
      <c r="AG27" s="128"/>
      <c r="AH27" s="129"/>
      <c r="AI27" s="129"/>
      <c r="AJ27" s="129"/>
      <c r="AK27" s="130"/>
      <c r="BZ27" s="70"/>
    </row>
    <row r="28" spans="2:78" s="69" customFormat="1" ht="12.75" customHeight="1" x14ac:dyDescent="0.2">
      <c r="B28" s="115"/>
      <c r="C28" s="116"/>
      <c r="D28" s="117"/>
      <c r="E28" s="116"/>
      <c r="F28" s="116"/>
      <c r="G28" s="116"/>
      <c r="H28" s="118"/>
      <c r="I28" s="116"/>
      <c r="J28" s="119"/>
      <c r="K28" s="119"/>
      <c r="L28" s="116"/>
      <c r="M28" s="218"/>
      <c r="N28" s="221"/>
      <c r="O28" s="277">
        <f>+SUMIF('MOD+MOI+Overheads'!$D$7:$O$7,'1.2. Working plan'!L28,'MOD+MOI+Overheads'!$D$20:$O$20)</f>
        <v>0</v>
      </c>
      <c r="P28" s="278">
        <f>+SUMIF('MOD+MOI+Overheads'!$D$7:$O$7,'1.2. Working plan'!L28,'MOD+MOI+Overheads'!$D$19:$O$19)*O28</f>
        <v>0</v>
      </c>
      <c r="Q28" s="279">
        <f>+SUMIF('MOD+MOI+Overheads'!$D$7:$O$7,'1.2. Working plan'!L28,'MOD+MOI+Overheads'!$D$22:$O$22)*O28</f>
        <v>0</v>
      </c>
      <c r="R28" s="280">
        <f>+SUMIF('MOD+MOI+Overheads'!$D$7:$O$7,'1.2. Working plan'!L28,'MOD+MOI+Overheads'!$D$21:$O$21)*O28</f>
        <v>0</v>
      </c>
      <c r="S28" s="281">
        <f t="shared" si="9"/>
        <v>0</v>
      </c>
      <c r="T28" s="282">
        <f t="shared" si="0"/>
        <v>0</v>
      </c>
      <c r="U28" s="282">
        <f t="shared" si="1"/>
        <v>0</v>
      </c>
      <c r="V28" s="283" t="str">
        <f>IF(M28="","",VLOOKUP(M28,'NO ACTIVO - Coste máquina'!$B$3:$E$10000,3,0))</f>
        <v/>
      </c>
      <c r="W28" s="284" t="str">
        <f>IF(M28="","",VLOOKUP(M28,'NO ACTIVO - Coste máquina'!$B$3:$E$10000,2,0))</f>
        <v/>
      </c>
      <c r="X28" s="285">
        <f t="shared" si="2"/>
        <v>0</v>
      </c>
      <c r="Y28" s="286">
        <f t="shared" si="10"/>
        <v>0</v>
      </c>
      <c r="Z28" s="286">
        <f t="shared" si="3"/>
        <v>0</v>
      </c>
      <c r="AA28" s="286">
        <f t="shared" si="4"/>
        <v>0</v>
      </c>
      <c r="AB28" s="286">
        <f t="shared" si="5"/>
        <v>0</v>
      </c>
      <c r="AC28" s="286">
        <f t="shared" si="6"/>
        <v>0</v>
      </c>
      <c r="AD28" s="286">
        <f t="shared" si="7"/>
        <v>0</v>
      </c>
      <c r="AE28" s="287">
        <f t="shared" si="8"/>
        <v>0</v>
      </c>
      <c r="AF28" s="603">
        <f t="shared" si="11"/>
        <v>0</v>
      </c>
      <c r="AG28" s="128"/>
      <c r="AH28" s="129"/>
      <c r="AI28" s="129"/>
      <c r="AJ28" s="129"/>
      <c r="AK28" s="130"/>
      <c r="BZ28" s="70"/>
    </row>
    <row r="29" spans="2:78" s="69" customFormat="1" ht="12.75" customHeight="1" x14ac:dyDescent="0.2">
      <c r="B29" s="115"/>
      <c r="C29" s="116"/>
      <c r="D29" s="117"/>
      <c r="E29" s="116"/>
      <c r="F29" s="116"/>
      <c r="G29" s="116"/>
      <c r="H29" s="118"/>
      <c r="I29" s="116"/>
      <c r="J29" s="119"/>
      <c r="K29" s="119"/>
      <c r="L29" s="116"/>
      <c r="M29" s="218"/>
      <c r="N29" s="221"/>
      <c r="O29" s="277">
        <f>+SUMIF('MOD+MOI+Overheads'!$D$7:$O$7,'1.2. Working plan'!L29,'MOD+MOI+Overheads'!$D$20:$O$20)</f>
        <v>0</v>
      </c>
      <c r="P29" s="278">
        <f>+SUMIF('MOD+MOI+Overheads'!$D$7:$O$7,'1.2. Working plan'!L29,'MOD+MOI+Overheads'!$D$19:$O$19)*O29</f>
        <v>0</v>
      </c>
      <c r="Q29" s="279">
        <f>+SUMIF('MOD+MOI+Overheads'!$D$7:$O$7,'1.2. Working plan'!L29,'MOD+MOI+Overheads'!$D$22:$O$22)*O29</f>
        <v>0</v>
      </c>
      <c r="R29" s="280">
        <f>+SUMIF('MOD+MOI+Overheads'!$D$7:$O$7,'1.2. Working plan'!L29,'MOD+MOI+Overheads'!$D$21:$O$21)*O29</f>
        <v>0</v>
      </c>
      <c r="S29" s="281">
        <f t="shared" si="9"/>
        <v>0</v>
      </c>
      <c r="T29" s="282">
        <f t="shared" si="0"/>
        <v>0</v>
      </c>
      <c r="U29" s="282">
        <f t="shared" si="1"/>
        <v>0</v>
      </c>
      <c r="V29" s="283" t="str">
        <f>IF(M29="","",VLOOKUP(M29,'NO ACTIVO - Coste máquina'!$B$3:$E$10000,3,0))</f>
        <v/>
      </c>
      <c r="W29" s="284" t="str">
        <f>IF(M29="","",VLOOKUP(M29,'NO ACTIVO - Coste máquina'!$B$3:$E$10000,2,0))</f>
        <v/>
      </c>
      <c r="X29" s="285">
        <f t="shared" si="2"/>
        <v>0</v>
      </c>
      <c r="Y29" s="286">
        <f t="shared" si="10"/>
        <v>0</v>
      </c>
      <c r="Z29" s="286">
        <f t="shared" si="3"/>
        <v>0</v>
      </c>
      <c r="AA29" s="286">
        <f t="shared" si="4"/>
        <v>0</v>
      </c>
      <c r="AB29" s="286">
        <f t="shared" si="5"/>
        <v>0</v>
      </c>
      <c r="AC29" s="286">
        <f t="shared" si="6"/>
        <v>0</v>
      </c>
      <c r="AD29" s="286">
        <f t="shared" si="7"/>
        <v>0</v>
      </c>
      <c r="AE29" s="287">
        <f t="shared" si="8"/>
        <v>0</v>
      </c>
      <c r="AF29" s="603">
        <f t="shared" si="11"/>
        <v>0</v>
      </c>
      <c r="AG29" s="128"/>
      <c r="AH29" s="129"/>
      <c r="AI29" s="129"/>
      <c r="AJ29" s="129"/>
      <c r="AK29" s="130"/>
      <c r="BZ29" s="70"/>
    </row>
    <row r="30" spans="2:78" s="69" customFormat="1" ht="12.75" customHeight="1" x14ac:dyDescent="0.2">
      <c r="B30" s="115"/>
      <c r="C30" s="116"/>
      <c r="D30" s="117"/>
      <c r="E30" s="116"/>
      <c r="F30" s="116"/>
      <c r="G30" s="116"/>
      <c r="H30" s="118"/>
      <c r="I30" s="116"/>
      <c r="J30" s="119"/>
      <c r="K30" s="119"/>
      <c r="L30" s="116"/>
      <c r="M30" s="218"/>
      <c r="N30" s="221"/>
      <c r="O30" s="277">
        <f>+SUMIF('MOD+MOI+Overheads'!$D$7:$O$7,'1.2. Working plan'!L30,'MOD+MOI+Overheads'!$D$20:$O$20)</f>
        <v>0</v>
      </c>
      <c r="P30" s="278">
        <f>+SUMIF('MOD+MOI+Overheads'!$D$7:$O$7,'1.2. Working plan'!L30,'MOD+MOI+Overheads'!$D$19:$O$19)*O30</f>
        <v>0</v>
      </c>
      <c r="Q30" s="279">
        <f>+SUMIF('MOD+MOI+Overheads'!$D$7:$O$7,'1.2. Working plan'!L30,'MOD+MOI+Overheads'!$D$22:$O$22)*O30</f>
        <v>0</v>
      </c>
      <c r="R30" s="280">
        <f>+SUMIF('MOD+MOI+Overheads'!$D$7:$O$7,'1.2. Working plan'!L30,'MOD+MOI+Overheads'!$D$21:$O$21)*O30</f>
        <v>0</v>
      </c>
      <c r="S30" s="281">
        <f t="shared" si="9"/>
        <v>0</v>
      </c>
      <c r="T30" s="282">
        <f t="shared" si="0"/>
        <v>0</v>
      </c>
      <c r="U30" s="282">
        <f t="shared" si="1"/>
        <v>0</v>
      </c>
      <c r="V30" s="283" t="str">
        <f>IF(M30="","",VLOOKUP(M30,'NO ACTIVO - Coste máquina'!$B$3:$E$10000,3,0))</f>
        <v/>
      </c>
      <c r="W30" s="284" t="str">
        <f>IF(M30="","",VLOOKUP(M30,'NO ACTIVO - Coste máquina'!$B$3:$E$10000,2,0))</f>
        <v/>
      </c>
      <c r="X30" s="285">
        <f t="shared" si="2"/>
        <v>0</v>
      </c>
      <c r="Y30" s="286">
        <f t="shared" si="10"/>
        <v>0</v>
      </c>
      <c r="Z30" s="286">
        <f t="shared" si="3"/>
        <v>0</v>
      </c>
      <c r="AA30" s="286">
        <f t="shared" si="4"/>
        <v>0</v>
      </c>
      <c r="AB30" s="286">
        <f t="shared" si="5"/>
        <v>0</v>
      </c>
      <c r="AC30" s="286">
        <f t="shared" si="6"/>
        <v>0</v>
      </c>
      <c r="AD30" s="286">
        <f t="shared" si="7"/>
        <v>0</v>
      </c>
      <c r="AE30" s="287">
        <f t="shared" si="8"/>
        <v>0</v>
      </c>
      <c r="AF30" s="603">
        <f t="shared" si="11"/>
        <v>0</v>
      </c>
      <c r="AG30" s="128"/>
      <c r="AH30" s="129"/>
      <c r="AI30" s="129"/>
      <c r="AJ30" s="129"/>
      <c r="AK30" s="130"/>
      <c r="BZ30" s="70"/>
    </row>
    <row r="31" spans="2:78" s="69" customFormat="1" ht="12.75" customHeight="1" x14ac:dyDescent="0.2">
      <c r="B31" s="115"/>
      <c r="C31" s="116"/>
      <c r="D31" s="117"/>
      <c r="E31" s="116"/>
      <c r="F31" s="116"/>
      <c r="G31" s="116"/>
      <c r="H31" s="118"/>
      <c r="I31" s="116"/>
      <c r="J31" s="119"/>
      <c r="K31" s="119"/>
      <c r="L31" s="116"/>
      <c r="M31" s="218"/>
      <c r="N31" s="221"/>
      <c r="O31" s="277">
        <f>+SUMIF('MOD+MOI+Overheads'!$D$7:$O$7,'1.2. Working plan'!L31,'MOD+MOI+Overheads'!$D$20:$O$20)</f>
        <v>0</v>
      </c>
      <c r="P31" s="278">
        <f>+SUMIF('MOD+MOI+Overheads'!$D$7:$O$7,'1.2. Working plan'!L31,'MOD+MOI+Overheads'!$D$19:$O$19)*O31</f>
        <v>0</v>
      </c>
      <c r="Q31" s="279">
        <f>+SUMIF('MOD+MOI+Overheads'!$D$7:$O$7,'1.2. Working plan'!L31,'MOD+MOI+Overheads'!$D$22:$O$22)*O31</f>
        <v>0</v>
      </c>
      <c r="R31" s="280">
        <f>+SUMIF('MOD+MOI+Overheads'!$D$7:$O$7,'1.2. Working plan'!L31,'MOD+MOI+Overheads'!$D$21:$O$21)*O31</f>
        <v>0</v>
      </c>
      <c r="S31" s="281">
        <f t="shared" si="9"/>
        <v>0</v>
      </c>
      <c r="T31" s="282">
        <f t="shared" si="0"/>
        <v>0</v>
      </c>
      <c r="U31" s="282">
        <f t="shared" si="1"/>
        <v>0</v>
      </c>
      <c r="V31" s="283" t="str">
        <f>IF(M31="","",VLOOKUP(M31,'NO ACTIVO - Coste máquina'!$B$3:$E$10000,3,0))</f>
        <v/>
      </c>
      <c r="W31" s="284" t="str">
        <f>IF(M31="","",VLOOKUP(M31,'NO ACTIVO - Coste máquina'!$B$3:$E$10000,2,0))</f>
        <v/>
      </c>
      <c r="X31" s="285">
        <f t="shared" si="2"/>
        <v>0</v>
      </c>
      <c r="Y31" s="286">
        <f t="shared" si="10"/>
        <v>0</v>
      </c>
      <c r="Z31" s="286">
        <f t="shared" si="3"/>
        <v>0</v>
      </c>
      <c r="AA31" s="286">
        <f t="shared" si="4"/>
        <v>0</v>
      </c>
      <c r="AB31" s="286">
        <f t="shared" si="5"/>
        <v>0</v>
      </c>
      <c r="AC31" s="286">
        <f t="shared" si="6"/>
        <v>0</v>
      </c>
      <c r="AD31" s="286">
        <f t="shared" si="7"/>
        <v>0</v>
      </c>
      <c r="AE31" s="287">
        <f t="shared" si="8"/>
        <v>0</v>
      </c>
      <c r="AF31" s="603">
        <f t="shared" si="11"/>
        <v>0</v>
      </c>
      <c r="AG31" s="128"/>
      <c r="AH31" s="129"/>
      <c r="AI31" s="129"/>
      <c r="AJ31" s="129"/>
      <c r="AK31" s="130"/>
      <c r="BZ31" s="70"/>
    </row>
    <row r="32" spans="2:78" s="69" customFormat="1" ht="12.75" customHeight="1" x14ac:dyDescent="0.2">
      <c r="B32" s="115"/>
      <c r="C32" s="116"/>
      <c r="D32" s="117"/>
      <c r="E32" s="116"/>
      <c r="F32" s="116"/>
      <c r="G32" s="116"/>
      <c r="H32" s="118"/>
      <c r="I32" s="116"/>
      <c r="J32" s="119"/>
      <c r="K32" s="119"/>
      <c r="L32" s="116"/>
      <c r="M32" s="218"/>
      <c r="N32" s="221"/>
      <c r="O32" s="277">
        <f>+SUMIF('MOD+MOI+Overheads'!$D$7:$O$7,'1.2. Working plan'!L32,'MOD+MOI+Overheads'!$D$20:$O$20)</f>
        <v>0</v>
      </c>
      <c r="P32" s="278">
        <f>+SUMIF('MOD+MOI+Overheads'!$D$7:$O$7,'1.2. Working plan'!L32,'MOD+MOI+Overheads'!$D$19:$O$19)*O32</f>
        <v>0</v>
      </c>
      <c r="Q32" s="279">
        <f>+SUMIF('MOD+MOI+Overheads'!$D$7:$O$7,'1.2. Working plan'!L32,'MOD+MOI+Overheads'!$D$22:$O$22)*O32</f>
        <v>0</v>
      </c>
      <c r="R32" s="280">
        <f>+SUMIF('MOD+MOI+Overheads'!$D$7:$O$7,'1.2. Working plan'!L32,'MOD+MOI+Overheads'!$D$21:$O$21)*O32</f>
        <v>0</v>
      </c>
      <c r="S32" s="281">
        <f t="shared" si="9"/>
        <v>0</v>
      </c>
      <c r="T32" s="282">
        <f t="shared" si="0"/>
        <v>0</v>
      </c>
      <c r="U32" s="282">
        <f t="shared" si="1"/>
        <v>0</v>
      </c>
      <c r="V32" s="283" t="str">
        <f>IF(M32="","",VLOOKUP(M32,'NO ACTIVO - Coste máquina'!$B$3:$E$10000,3,0))</f>
        <v/>
      </c>
      <c r="W32" s="284" t="str">
        <f>IF(M32="","",VLOOKUP(M32,'NO ACTIVO - Coste máquina'!$B$3:$E$10000,2,0))</f>
        <v/>
      </c>
      <c r="X32" s="285">
        <f t="shared" si="2"/>
        <v>0</v>
      </c>
      <c r="Y32" s="286">
        <f t="shared" si="10"/>
        <v>0</v>
      </c>
      <c r="Z32" s="286">
        <f t="shared" si="3"/>
        <v>0</v>
      </c>
      <c r="AA32" s="286">
        <f t="shared" si="4"/>
        <v>0</v>
      </c>
      <c r="AB32" s="286">
        <f t="shared" si="5"/>
        <v>0</v>
      </c>
      <c r="AC32" s="286">
        <f t="shared" si="6"/>
        <v>0</v>
      </c>
      <c r="AD32" s="286">
        <f t="shared" si="7"/>
        <v>0</v>
      </c>
      <c r="AE32" s="287">
        <f t="shared" si="8"/>
        <v>0</v>
      </c>
      <c r="AF32" s="603">
        <f t="shared" si="11"/>
        <v>0</v>
      </c>
      <c r="AG32" s="128"/>
      <c r="AH32" s="129"/>
      <c r="AI32" s="129"/>
      <c r="AJ32" s="129"/>
      <c r="AK32" s="130"/>
      <c r="BZ32" s="70"/>
    </row>
    <row r="33" spans="2:78" s="69" customFormat="1" ht="12.75" customHeight="1" x14ac:dyDescent="0.2">
      <c r="B33" s="115"/>
      <c r="C33" s="116"/>
      <c r="D33" s="117"/>
      <c r="E33" s="116"/>
      <c r="F33" s="116"/>
      <c r="G33" s="116"/>
      <c r="H33" s="118"/>
      <c r="I33" s="116"/>
      <c r="J33" s="119"/>
      <c r="K33" s="119"/>
      <c r="L33" s="116"/>
      <c r="M33" s="218"/>
      <c r="N33" s="221"/>
      <c r="O33" s="277">
        <f>+SUMIF('MOD+MOI+Overheads'!$D$7:$O$7,'1.2. Working plan'!L33,'MOD+MOI+Overheads'!$D$20:$O$20)</f>
        <v>0</v>
      </c>
      <c r="P33" s="278">
        <f>+SUMIF('MOD+MOI+Overheads'!$D$7:$O$7,'1.2. Working plan'!L33,'MOD+MOI+Overheads'!$D$19:$O$19)*O33</f>
        <v>0</v>
      </c>
      <c r="Q33" s="279">
        <f>+SUMIF('MOD+MOI+Overheads'!$D$7:$O$7,'1.2. Working plan'!L33,'MOD+MOI+Overheads'!$D$22:$O$22)*O33</f>
        <v>0</v>
      </c>
      <c r="R33" s="280">
        <f>+SUMIF('MOD+MOI+Overheads'!$D$7:$O$7,'1.2. Working plan'!L33,'MOD+MOI+Overheads'!$D$21:$O$21)*O33</f>
        <v>0</v>
      </c>
      <c r="S33" s="281">
        <f t="shared" si="9"/>
        <v>0</v>
      </c>
      <c r="T33" s="282">
        <f t="shared" si="0"/>
        <v>0</v>
      </c>
      <c r="U33" s="282">
        <f t="shared" si="1"/>
        <v>0</v>
      </c>
      <c r="V33" s="283" t="str">
        <f>IF(M33="","",VLOOKUP(M33,'NO ACTIVO - Coste máquina'!$B$3:$E$10000,3,0))</f>
        <v/>
      </c>
      <c r="W33" s="284" t="str">
        <f>IF(M33="","",VLOOKUP(M33,'NO ACTIVO - Coste máquina'!$B$3:$E$10000,2,0))</f>
        <v/>
      </c>
      <c r="X33" s="285">
        <f t="shared" si="2"/>
        <v>0</v>
      </c>
      <c r="Y33" s="286">
        <f t="shared" si="10"/>
        <v>0</v>
      </c>
      <c r="Z33" s="286">
        <f t="shared" si="3"/>
        <v>0</v>
      </c>
      <c r="AA33" s="286">
        <f t="shared" si="4"/>
        <v>0</v>
      </c>
      <c r="AB33" s="286">
        <f t="shared" si="5"/>
        <v>0</v>
      </c>
      <c r="AC33" s="286">
        <f t="shared" si="6"/>
        <v>0</v>
      </c>
      <c r="AD33" s="286">
        <f t="shared" si="7"/>
        <v>0</v>
      </c>
      <c r="AE33" s="287">
        <f t="shared" si="8"/>
        <v>0</v>
      </c>
      <c r="AF33" s="603">
        <f t="shared" si="11"/>
        <v>0</v>
      </c>
      <c r="AG33" s="128"/>
      <c r="AH33" s="129"/>
      <c r="AI33" s="129"/>
      <c r="AJ33" s="129"/>
      <c r="AK33" s="130"/>
      <c r="BZ33" s="70"/>
    </row>
    <row r="34" spans="2:78" s="69" customFormat="1" ht="12.75" customHeight="1" x14ac:dyDescent="0.2">
      <c r="B34" s="115"/>
      <c r="C34" s="116"/>
      <c r="D34" s="117"/>
      <c r="E34" s="116"/>
      <c r="F34" s="116"/>
      <c r="G34" s="116"/>
      <c r="H34" s="118"/>
      <c r="I34" s="116"/>
      <c r="J34" s="119"/>
      <c r="K34" s="119"/>
      <c r="L34" s="116"/>
      <c r="M34" s="218"/>
      <c r="N34" s="221"/>
      <c r="O34" s="277">
        <f>+SUMIF('MOD+MOI+Overheads'!$D$7:$O$7,'1.2. Working plan'!L34,'MOD+MOI+Overheads'!$D$20:$O$20)</f>
        <v>0</v>
      </c>
      <c r="P34" s="278">
        <f>+SUMIF('MOD+MOI+Overheads'!$D$7:$O$7,'1.2. Working plan'!L34,'MOD+MOI+Overheads'!$D$19:$O$19)*O34</f>
        <v>0</v>
      </c>
      <c r="Q34" s="279">
        <f>+SUMIF('MOD+MOI+Overheads'!$D$7:$O$7,'1.2. Working plan'!L34,'MOD+MOI+Overheads'!$D$22:$O$22)*O34</f>
        <v>0</v>
      </c>
      <c r="R34" s="280">
        <f>+SUMIF('MOD+MOI+Overheads'!$D$7:$O$7,'1.2. Working plan'!L34,'MOD+MOI+Overheads'!$D$21:$O$21)*O34</f>
        <v>0</v>
      </c>
      <c r="S34" s="281">
        <f t="shared" si="9"/>
        <v>0</v>
      </c>
      <c r="T34" s="282">
        <f t="shared" si="0"/>
        <v>0</v>
      </c>
      <c r="U34" s="282">
        <f t="shared" si="1"/>
        <v>0</v>
      </c>
      <c r="V34" s="283" t="str">
        <f>IF(M34="","",VLOOKUP(M34,'NO ACTIVO - Coste máquina'!$B$3:$E$10000,3,0))</f>
        <v/>
      </c>
      <c r="W34" s="284" t="str">
        <f>IF(M34="","",VLOOKUP(M34,'NO ACTIVO - Coste máquina'!$B$3:$E$10000,2,0))</f>
        <v/>
      </c>
      <c r="X34" s="285">
        <f t="shared" si="2"/>
        <v>0</v>
      </c>
      <c r="Y34" s="286">
        <f t="shared" si="10"/>
        <v>0</v>
      </c>
      <c r="Z34" s="286">
        <f t="shared" si="3"/>
        <v>0</v>
      </c>
      <c r="AA34" s="286">
        <f t="shared" si="4"/>
        <v>0</v>
      </c>
      <c r="AB34" s="286">
        <f t="shared" si="5"/>
        <v>0</v>
      </c>
      <c r="AC34" s="286">
        <f t="shared" si="6"/>
        <v>0</v>
      </c>
      <c r="AD34" s="286">
        <f t="shared" si="7"/>
        <v>0</v>
      </c>
      <c r="AE34" s="287">
        <f t="shared" si="8"/>
        <v>0</v>
      </c>
      <c r="AF34" s="603">
        <f t="shared" si="11"/>
        <v>0</v>
      </c>
      <c r="AG34" s="128"/>
      <c r="AH34" s="129"/>
      <c r="AI34" s="129"/>
      <c r="AJ34" s="129"/>
      <c r="AK34" s="130"/>
      <c r="BZ34" s="70"/>
    </row>
    <row r="35" spans="2:78" s="80" customFormat="1" ht="12.75" customHeight="1" x14ac:dyDescent="0.2">
      <c r="B35" s="115"/>
      <c r="C35" s="116"/>
      <c r="D35" s="117"/>
      <c r="E35" s="116"/>
      <c r="F35" s="116"/>
      <c r="G35" s="116"/>
      <c r="H35" s="118"/>
      <c r="I35" s="116"/>
      <c r="J35" s="119"/>
      <c r="K35" s="119"/>
      <c r="L35" s="116"/>
      <c r="M35" s="218"/>
      <c r="N35" s="221"/>
      <c r="O35" s="277">
        <f>+SUMIF('MOD+MOI+Overheads'!$D$7:$O$7,'1.2. Working plan'!L35,'MOD+MOI+Overheads'!$D$20:$O$20)</f>
        <v>0</v>
      </c>
      <c r="P35" s="278">
        <f>+SUMIF('MOD+MOI+Overheads'!$D$7:$O$7,'1.2. Working plan'!L35,'MOD+MOI+Overheads'!$D$19:$O$19)*O35</f>
        <v>0</v>
      </c>
      <c r="Q35" s="279">
        <f>+SUMIF('MOD+MOI+Overheads'!$D$7:$O$7,'1.2. Working plan'!L35,'MOD+MOI+Overheads'!$D$22:$O$22)*O35</f>
        <v>0</v>
      </c>
      <c r="R35" s="280">
        <f>+SUMIF('MOD+MOI+Overheads'!$D$7:$O$7,'1.2. Working plan'!L35,'MOD+MOI+Overheads'!$D$21:$O$21)*O35</f>
        <v>0</v>
      </c>
      <c r="S35" s="281">
        <f t="shared" si="9"/>
        <v>0</v>
      </c>
      <c r="T35" s="282">
        <f t="shared" si="0"/>
        <v>0</v>
      </c>
      <c r="U35" s="282">
        <f t="shared" si="1"/>
        <v>0</v>
      </c>
      <c r="V35" s="283" t="str">
        <f>IF(M35="","",VLOOKUP(M35,'NO ACTIVO - Coste máquina'!$B$3:$E$10000,3,0))</f>
        <v/>
      </c>
      <c r="W35" s="284" t="str">
        <f>IF(M35="","",VLOOKUP(M35,'NO ACTIVO - Coste máquina'!$B$3:$E$10000,2,0))</f>
        <v/>
      </c>
      <c r="X35" s="285">
        <f t="shared" si="2"/>
        <v>0</v>
      </c>
      <c r="Y35" s="286">
        <f t="shared" si="10"/>
        <v>0</v>
      </c>
      <c r="Z35" s="286">
        <f t="shared" si="3"/>
        <v>0</v>
      </c>
      <c r="AA35" s="286">
        <f t="shared" si="4"/>
        <v>0</v>
      </c>
      <c r="AB35" s="286">
        <f t="shared" si="5"/>
        <v>0</v>
      </c>
      <c r="AC35" s="286">
        <f t="shared" si="6"/>
        <v>0</v>
      </c>
      <c r="AD35" s="286">
        <f t="shared" si="7"/>
        <v>0</v>
      </c>
      <c r="AE35" s="287">
        <f t="shared" si="8"/>
        <v>0</v>
      </c>
      <c r="AF35" s="603">
        <f t="shared" si="11"/>
        <v>0</v>
      </c>
      <c r="AG35" s="128"/>
      <c r="AH35" s="129"/>
      <c r="AI35" s="129"/>
      <c r="AJ35" s="129"/>
      <c r="AK35" s="130"/>
      <c r="BZ35" s="81"/>
    </row>
    <row r="36" spans="2:78" s="69" customFormat="1" ht="12.75" customHeight="1" x14ac:dyDescent="0.2">
      <c r="B36" s="115"/>
      <c r="C36" s="116"/>
      <c r="D36" s="117"/>
      <c r="E36" s="116"/>
      <c r="F36" s="116"/>
      <c r="G36" s="116"/>
      <c r="H36" s="118"/>
      <c r="I36" s="116"/>
      <c r="J36" s="119"/>
      <c r="K36" s="119"/>
      <c r="L36" s="116"/>
      <c r="M36" s="218"/>
      <c r="N36" s="221"/>
      <c r="O36" s="277">
        <f>+SUMIF('MOD+MOI+Overheads'!$D$7:$O$7,'1.2. Working plan'!L36,'MOD+MOI+Overheads'!$D$20:$O$20)</f>
        <v>0</v>
      </c>
      <c r="P36" s="278">
        <f>+SUMIF('MOD+MOI+Overheads'!$D$7:$O$7,'1.2. Working plan'!L36,'MOD+MOI+Overheads'!$D$19:$O$19)*O36</f>
        <v>0</v>
      </c>
      <c r="Q36" s="279">
        <f>+SUMIF('MOD+MOI+Overheads'!$D$7:$O$7,'1.2. Working plan'!L36,'MOD+MOI+Overheads'!$D$22:$O$22)*O36</f>
        <v>0</v>
      </c>
      <c r="R36" s="280">
        <f>+SUMIF('MOD+MOI+Overheads'!$D$7:$O$7,'1.2. Working plan'!L36,'MOD+MOI+Overheads'!$D$21:$O$21)*O36</f>
        <v>0</v>
      </c>
      <c r="S36" s="281">
        <f t="shared" si="9"/>
        <v>0</v>
      </c>
      <c r="T36" s="282">
        <f t="shared" si="0"/>
        <v>0</v>
      </c>
      <c r="U36" s="282">
        <f t="shared" si="1"/>
        <v>0</v>
      </c>
      <c r="V36" s="283" t="str">
        <f>IF(M36="","",VLOOKUP(M36,'NO ACTIVO - Coste máquina'!$B$3:$E$10000,3,0))</f>
        <v/>
      </c>
      <c r="W36" s="284" t="str">
        <f>IF(M36="","",VLOOKUP(M36,'NO ACTIVO - Coste máquina'!$B$3:$E$10000,2,0))</f>
        <v/>
      </c>
      <c r="X36" s="285">
        <f t="shared" si="2"/>
        <v>0</v>
      </c>
      <c r="Y36" s="286">
        <f t="shared" si="10"/>
        <v>0</v>
      </c>
      <c r="Z36" s="286">
        <f t="shared" si="3"/>
        <v>0</v>
      </c>
      <c r="AA36" s="286">
        <f t="shared" si="4"/>
        <v>0</v>
      </c>
      <c r="AB36" s="286">
        <f t="shared" si="5"/>
        <v>0</v>
      </c>
      <c r="AC36" s="286">
        <f t="shared" si="6"/>
        <v>0</v>
      </c>
      <c r="AD36" s="286">
        <f t="shared" si="7"/>
        <v>0</v>
      </c>
      <c r="AE36" s="287">
        <f t="shared" si="8"/>
        <v>0</v>
      </c>
      <c r="AF36" s="603">
        <f t="shared" si="11"/>
        <v>0</v>
      </c>
      <c r="AG36" s="128"/>
      <c r="AH36" s="129"/>
      <c r="AI36" s="129"/>
      <c r="AJ36" s="129"/>
      <c r="AK36" s="132"/>
      <c r="BZ36" s="70"/>
    </row>
    <row r="37" spans="2:78" s="80" customFormat="1" ht="12.75" customHeight="1" x14ac:dyDescent="0.2">
      <c r="B37" s="115"/>
      <c r="C37" s="116"/>
      <c r="D37" s="117"/>
      <c r="E37" s="116"/>
      <c r="F37" s="116"/>
      <c r="G37" s="116"/>
      <c r="H37" s="118"/>
      <c r="I37" s="116"/>
      <c r="J37" s="119"/>
      <c r="K37" s="119"/>
      <c r="L37" s="116"/>
      <c r="M37" s="218"/>
      <c r="N37" s="221"/>
      <c r="O37" s="277">
        <f>+SUMIF('MOD+MOI+Overheads'!$D$7:$O$7,'1.2. Working plan'!L37,'MOD+MOI+Overheads'!$D$20:$O$20)</f>
        <v>0</v>
      </c>
      <c r="P37" s="278">
        <f>+SUMIF('MOD+MOI+Overheads'!$D$7:$O$7,'1.2. Working plan'!L37,'MOD+MOI+Overheads'!$D$19:$O$19)*O37</f>
        <v>0</v>
      </c>
      <c r="Q37" s="279">
        <f>+SUMIF('MOD+MOI+Overheads'!$D$7:$O$7,'1.2. Working plan'!L37,'MOD+MOI+Overheads'!$D$22:$O$22)*O37</f>
        <v>0</v>
      </c>
      <c r="R37" s="280">
        <f>+SUMIF('MOD+MOI+Overheads'!$D$7:$O$7,'1.2. Working plan'!L37,'MOD+MOI+Overheads'!$D$21:$O$21)*O37</f>
        <v>0</v>
      </c>
      <c r="S37" s="281">
        <f t="shared" si="9"/>
        <v>0</v>
      </c>
      <c r="T37" s="282">
        <f t="shared" si="0"/>
        <v>0</v>
      </c>
      <c r="U37" s="282">
        <f t="shared" si="1"/>
        <v>0</v>
      </c>
      <c r="V37" s="283" t="str">
        <f>IF(M37="","",VLOOKUP(M37,'NO ACTIVO - Coste máquina'!$B$3:$E$10000,3,0))</f>
        <v/>
      </c>
      <c r="W37" s="284" t="str">
        <f>IF(M37="","",VLOOKUP(M37,'NO ACTIVO - Coste máquina'!$B$3:$E$10000,2,0))</f>
        <v/>
      </c>
      <c r="X37" s="285">
        <f t="shared" si="2"/>
        <v>0</v>
      </c>
      <c r="Y37" s="286">
        <f t="shared" si="10"/>
        <v>0</v>
      </c>
      <c r="Z37" s="286">
        <f t="shared" si="3"/>
        <v>0</v>
      </c>
      <c r="AA37" s="286">
        <f t="shared" si="4"/>
        <v>0</v>
      </c>
      <c r="AB37" s="286">
        <f t="shared" si="5"/>
        <v>0</v>
      </c>
      <c r="AC37" s="286">
        <f t="shared" si="6"/>
        <v>0</v>
      </c>
      <c r="AD37" s="286">
        <f t="shared" si="7"/>
        <v>0</v>
      </c>
      <c r="AE37" s="287">
        <f t="shared" si="8"/>
        <v>0</v>
      </c>
      <c r="AF37" s="603">
        <f t="shared" si="11"/>
        <v>0</v>
      </c>
      <c r="AG37" s="128"/>
      <c r="AH37" s="129"/>
      <c r="AI37" s="129"/>
      <c r="AJ37" s="129"/>
      <c r="AK37" s="130"/>
      <c r="BZ37" s="81"/>
    </row>
    <row r="38" spans="2:78" s="69" customFormat="1" ht="12.75" customHeight="1" x14ac:dyDescent="0.2">
      <c r="B38" s="120"/>
      <c r="C38" s="121"/>
      <c r="D38" s="122"/>
      <c r="E38" s="121"/>
      <c r="F38" s="121"/>
      <c r="G38" s="121"/>
      <c r="H38" s="123"/>
      <c r="I38" s="121"/>
      <c r="J38" s="124"/>
      <c r="K38" s="124"/>
      <c r="L38" s="121"/>
      <c r="M38" s="219"/>
      <c r="N38" s="222"/>
      <c r="O38" s="288">
        <f>+SUMIF('MOD+MOI+Overheads'!$D$7:$O$7,'1.2. Working plan'!L38,'MOD+MOI+Overheads'!$D$20:$O$20)</f>
        <v>0</v>
      </c>
      <c r="P38" s="289">
        <f>+SUMIF('MOD+MOI+Overheads'!$D$7:$O$7,'1.2. Working plan'!L38,'MOD+MOI+Overheads'!$D$19:$O$19)*O38</f>
        <v>0</v>
      </c>
      <c r="Q38" s="290">
        <f>+SUMIF('MOD+MOI+Overheads'!$D$7:$O$7,'1.2. Working plan'!L38,'MOD+MOI+Overheads'!$D$22:$O$22)*O38</f>
        <v>0</v>
      </c>
      <c r="R38" s="291">
        <f>+SUMIF('MOD+MOI+Overheads'!$D$7:$O$7,'1.2. Working plan'!L38,'MOD+MOI+Overheads'!$D$21:$O$21)*O38</f>
        <v>0</v>
      </c>
      <c r="S38" s="292">
        <f t="shared" si="9"/>
        <v>0</v>
      </c>
      <c r="T38" s="293">
        <f t="shared" si="0"/>
        <v>0</v>
      </c>
      <c r="U38" s="293">
        <f t="shared" si="1"/>
        <v>0</v>
      </c>
      <c r="V38" s="294" t="str">
        <f>IF(M38="","",VLOOKUP(M38,'NO ACTIVO - Coste máquina'!$B$3:$E$10000,3,0))</f>
        <v/>
      </c>
      <c r="W38" s="295" t="str">
        <f>IF(M38="","",VLOOKUP(M38,'NO ACTIVO - Coste máquina'!$B$3:$E$10000,2,0))</f>
        <v/>
      </c>
      <c r="X38" s="296">
        <f t="shared" si="2"/>
        <v>0</v>
      </c>
      <c r="Y38" s="297">
        <f t="shared" si="10"/>
        <v>0</v>
      </c>
      <c r="Z38" s="297">
        <f t="shared" si="3"/>
        <v>0</v>
      </c>
      <c r="AA38" s="297">
        <f t="shared" si="4"/>
        <v>0</v>
      </c>
      <c r="AB38" s="297">
        <f t="shared" si="5"/>
        <v>0</v>
      </c>
      <c r="AC38" s="297">
        <f t="shared" si="6"/>
        <v>0</v>
      </c>
      <c r="AD38" s="297">
        <f t="shared" si="7"/>
        <v>0</v>
      </c>
      <c r="AE38" s="298">
        <f t="shared" si="8"/>
        <v>0</v>
      </c>
      <c r="AF38" s="603">
        <f t="shared" si="11"/>
        <v>0</v>
      </c>
      <c r="AG38" s="133"/>
      <c r="AH38" s="134"/>
      <c r="AI38" s="134"/>
      <c r="AJ38" s="134"/>
      <c r="AK38" s="135"/>
      <c r="BZ38" s="70"/>
    </row>
    <row r="39" spans="2:78" s="69" customFormat="1" ht="11.25" x14ac:dyDescent="0.2">
      <c r="X39" s="299">
        <f>+SUM(X6:X38)</f>
        <v>0</v>
      </c>
      <c r="Y39" s="299">
        <f>+SUM(Y6:Y38)</f>
        <v>0</v>
      </c>
      <c r="Z39" s="299">
        <f>+SUM(Z6:Z38)</f>
        <v>0</v>
      </c>
      <c r="AA39" s="299">
        <f t="shared" ref="AA39" si="26">+SUM(AA6:AA38)</f>
        <v>0</v>
      </c>
      <c r="AB39" s="299">
        <f>+SUM(AB6:AB38)</f>
        <v>0</v>
      </c>
      <c r="AC39" s="299">
        <f>+SUM(AC6:AC38)</f>
        <v>0</v>
      </c>
      <c r="AD39" s="299">
        <f>+SUM(AD6:AD38)</f>
        <v>0</v>
      </c>
      <c r="AE39" s="299">
        <f>+SUM(AE6:AE38)</f>
        <v>0</v>
      </c>
      <c r="AF39" s="603">
        <f>+SUM(AF6:AF38)</f>
        <v>0</v>
      </c>
      <c r="BZ39" s="70"/>
    </row>
    <row r="40" spans="2:78" x14ac:dyDescent="0.2">
      <c r="B40" s="69" t="str">
        <f>+Help!B134</f>
        <v>IF-334 (27/05/2025)</v>
      </c>
    </row>
  </sheetData>
  <phoneticPr fontId="65" type="noConversion"/>
  <conditionalFormatting sqref="W6:W38">
    <cfRule type="expression" dxfId="21" priority="60" stopIfTrue="1">
      <formula>IF(L6=W6,0,1)</formula>
    </cfRule>
  </conditionalFormatting>
  <dataValidations count="1">
    <dataValidation type="list" allowBlank="1" showInputMessage="1" showErrorMessage="1" sqref="L6:L38" xr:uid="{00000000-0002-0000-0300-000000000000}">
      <formula1>ZONAS</formula1>
    </dataValidation>
  </dataValidations>
  <printOptions horizontalCentered="1"/>
  <pageMargins left="0.70866141732283472" right="0.70866141732283472" top="0.74803149606299213" bottom="0.74803149606299213" header="0.31496062992125984" footer="0.31496062992125984"/>
  <pageSetup paperSize="8" scale="50" fitToHeight="0" orientation="landscape" r:id="rId1"/>
  <headerFooter alignWithMargins="0">
    <oddFooter>Página &amp;P&amp;R&amp;F</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11949AE1-66DC-468F-BC79-00D96E35CBD8}">
          <x14:formula1>
            <xm:f>'NO ACTIVO - Coste máquina'!$B$3:$B$803</xm:f>
          </x14:formula1>
          <xm:sqref>M6:M38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9D4F8-AC05-4211-9F30-8B489848314C}">
  <sheetPr codeName="Hoja5">
    <tabColor theme="8"/>
    <pageSetUpPr fitToPage="1"/>
  </sheetPr>
  <dimension ref="B1:Q90"/>
  <sheetViews>
    <sheetView topLeftCell="D2" zoomScale="120" zoomScaleNormal="120" workbookViewId="0">
      <selection activeCell="D27" sqref="D27"/>
    </sheetView>
  </sheetViews>
  <sheetFormatPr baseColWidth="10" defaultColWidth="11.42578125" defaultRowHeight="18" x14ac:dyDescent="0.25"/>
  <cols>
    <col min="1" max="1" width="2" style="227" customWidth="1"/>
    <col min="2" max="2" width="3.42578125" style="402" customWidth="1"/>
    <col min="3" max="3" width="32.5703125" style="227" bestFit="1" customWidth="1"/>
    <col min="4" max="4" width="21.28515625" style="227" customWidth="1"/>
    <col min="5" max="5" width="3.28515625" style="227" customWidth="1"/>
    <col min="6" max="6" width="32.5703125" style="227" customWidth="1"/>
    <col min="7" max="7" width="21.28515625" style="227" customWidth="1"/>
    <col min="8" max="8" width="3" style="227" customWidth="1"/>
    <col min="9" max="9" width="32.5703125" style="227" customWidth="1"/>
    <col min="10" max="10" width="21.28515625" style="227" customWidth="1"/>
    <col min="11" max="11" width="3.42578125" style="227" customWidth="1"/>
    <col min="12" max="12" width="32.5703125" style="227" customWidth="1"/>
    <col min="13" max="13" width="21.28515625" style="227" customWidth="1"/>
    <col min="14" max="14" width="3.5703125" style="227" customWidth="1"/>
    <col min="15" max="15" width="32.5703125" style="227" customWidth="1"/>
    <col min="16" max="16" width="21.28515625" style="227" customWidth="1"/>
    <col min="17" max="17" width="3.5703125" style="227" customWidth="1"/>
    <col min="18" max="16384" width="11.42578125" style="227"/>
  </cols>
  <sheetData>
    <row r="1" spans="2:17" ht="53.25" customHeight="1" x14ac:dyDescent="0.25">
      <c r="D1" s="462" t="s">
        <v>452</v>
      </c>
      <c r="E1" s="463"/>
      <c r="F1" s="463"/>
      <c r="G1" s="463"/>
      <c r="H1" s="463"/>
      <c r="I1" s="463"/>
      <c r="J1" s="463"/>
      <c r="K1" s="463"/>
      <c r="L1" s="463"/>
      <c r="M1" s="463"/>
      <c r="N1" s="463"/>
      <c r="O1" s="463"/>
      <c r="P1" s="463"/>
      <c r="Q1" s="463"/>
    </row>
    <row r="2" spans="2:17" ht="15.75" x14ac:dyDescent="0.2">
      <c r="B2" s="460" t="s">
        <v>453</v>
      </c>
      <c r="C2" s="460"/>
    </row>
    <row r="3" spans="2:17" x14ac:dyDescent="0.25">
      <c r="B3" s="448" t="s">
        <v>454</v>
      </c>
      <c r="C3" s="449" t="s">
        <v>455</v>
      </c>
      <c r="D3" s="450"/>
      <c r="E3" s="450"/>
      <c r="F3" s="451" t="s">
        <v>456</v>
      </c>
      <c r="G3" s="450"/>
      <c r="H3" s="450"/>
      <c r="I3" s="451"/>
      <c r="J3" s="450"/>
      <c r="K3" s="450"/>
      <c r="L3" s="451"/>
      <c r="M3" s="450"/>
      <c r="N3" s="450"/>
      <c r="O3" s="451"/>
      <c r="P3" s="450"/>
      <c r="Q3" s="452"/>
    </row>
    <row r="4" spans="2:17" ht="6.95" customHeight="1" x14ac:dyDescent="0.25">
      <c r="B4" s="453"/>
      <c r="Q4" s="454"/>
    </row>
    <row r="5" spans="2:17" ht="12.75" customHeight="1" x14ac:dyDescent="0.25">
      <c r="B5" s="453"/>
      <c r="C5" s="349" t="s">
        <v>457</v>
      </c>
      <c r="D5" s="407"/>
      <c r="F5" s="465" t="s">
        <v>458</v>
      </c>
      <c r="I5" s="226"/>
      <c r="L5" s="226"/>
      <c r="O5" s="226"/>
      <c r="Q5" s="454"/>
    </row>
    <row r="6" spans="2:17" ht="12.75" customHeight="1" x14ac:dyDescent="0.25">
      <c r="B6" s="453"/>
      <c r="C6" s="349" t="s">
        <v>459</v>
      </c>
      <c r="D6" s="407"/>
      <c r="F6" s="465" t="s">
        <v>460</v>
      </c>
      <c r="I6" s="226"/>
      <c r="L6" s="226"/>
      <c r="O6" s="226"/>
      <c r="Q6" s="454"/>
    </row>
    <row r="7" spans="2:17" ht="12.75" customHeight="1" x14ac:dyDescent="0.25">
      <c r="B7" s="453"/>
      <c r="C7" s="349" t="s">
        <v>461</v>
      </c>
      <c r="D7" s="407"/>
      <c r="F7" s="465" t="s">
        <v>462</v>
      </c>
      <c r="I7" s="226"/>
      <c r="L7" s="226"/>
      <c r="O7" s="226"/>
      <c r="Q7" s="454"/>
    </row>
    <row r="8" spans="2:17" ht="6.95" customHeight="1" x14ac:dyDescent="0.25">
      <c r="B8" s="453"/>
      <c r="C8" s="402"/>
      <c r="F8" s="465"/>
      <c r="Q8" s="454"/>
    </row>
    <row r="9" spans="2:17" ht="12.75" customHeight="1" x14ac:dyDescent="0.25">
      <c r="B9" s="453"/>
      <c r="C9" s="349" t="s">
        <v>463</v>
      </c>
      <c r="D9" s="401" t="e">
        <f>+SUM(D10:D14)</f>
        <v>#DIV/0!</v>
      </c>
      <c r="F9" s="465" t="s">
        <v>464</v>
      </c>
      <c r="I9" s="226"/>
      <c r="L9" s="226"/>
      <c r="O9" s="226"/>
      <c r="Q9" s="454"/>
    </row>
    <row r="10" spans="2:17" ht="12.75" customHeight="1" x14ac:dyDescent="0.25">
      <c r="B10" s="453"/>
      <c r="C10" s="347" t="str">
        <f>+C26</f>
        <v>Energy hourly cost</v>
      </c>
      <c r="D10" s="400">
        <f>+D26</f>
        <v>0</v>
      </c>
      <c r="F10" s="465"/>
      <c r="I10" s="226"/>
      <c r="L10" s="226"/>
      <c r="O10" s="226"/>
      <c r="Q10" s="454"/>
    </row>
    <row r="11" spans="2:17" ht="12.75" customHeight="1" x14ac:dyDescent="0.25">
      <c r="B11" s="453"/>
      <c r="C11" s="347" t="str">
        <f>+C32</f>
        <v>Labor hourly cost</v>
      </c>
      <c r="D11" s="400">
        <f>+D32</f>
        <v>0</v>
      </c>
      <c r="F11" s="465"/>
      <c r="Q11" s="454"/>
    </row>
    <row r="12" spans="2:17" ht="12.75" customHeight="1" x14ac:dyDescent="0.25">
      <c r="B12" s="453"/>
      <c r="C12" s="347" t="str">
        <f>+C38</f>
        <v>Maintenance hourly cost</v>
      </c>
      <c r="D12" s="400">
        <f>+D38</f>
        <v>0</v>
      </c>
      <c r="F12" s="465"/>
      <c r="Q12" s="454"/>
    </row>
    <row r="13" spans="2:17" ht="12.75" customHeight="1" x14ac:dyDescent="0.25">
      <c r="B13" s="453"/>
      <c r="C13" s="347" t="str">
        <f>+C42</f>
        <v>Consumables hourly cost</v>
      </c>
      <c r="D13" s="400" t="e">
        <f>+D42</f>
        <v>#DIV/0!</v>
      </c>
      <c r="F13" s="465"/>
      <c r="Q13" s="454"/>
    </row>
    <row r="14" spans="2:17" ht="12.75" customHeight="1" x14ac:dyDescent="0.25">
      <c r="B14" s="453"/>
      <c r="C14" s="347" t="str">
        <f>+C48</f>
        <v>Occupied area hourly cost</v>
      </c>
      <c r="D14" s="400">
        <f>+D48</f>
        <v>0</v>
      </c>
      <c r="F14" s="465"/>
      <c r="Q14" s="454"/>
    </row>
    <row r="15" spans="2:17" ht="6.95" customHeight="1" x14ac:dyDescent="0.25">
      <c r="B15" s="453"/>
      <c r="F15" s="465"/>
      <c r="Q15" s="454"/>
    </row>
    <row r="16" spans="2:17" ht="12.75" customHeight="1" x14ac:dyDescent="0.25">
      <c r="B16" s="453"/>
      <c r="C16" s="347" t="s">
        <v>465</v>
      </c>
      <c r="D16" s="412">
        <f>D21</f>
        <v>0</v>
      </c>
      <c r="F16" s="465" t="s">
        <v>466</v>
      </c>
      <c r="I16" s="226"/>
      <c r="L16" s="226"/>
      <c r="O16" s="226"/>
      <c r="Q16" s="454"/>
    </row>
    <row r="17" spans="2:17" ht="6.95" customHeight="1" x14ac:dyDescent="0.25">
      <c r="B17" s="453"/>
      <c r="F17" s="465"/>
      <c r="Q17" s="454"/>
    </row>
    <row r="18" spans="2:17" x14ac:dyDescent="0.25">
      <c r="B18" s="453" t="s">
        <v>467</v>
      </c>
      <c r="C18" s="402" t="s">
        <v>468</v>
      </c>
      <c r="F18" s="465"/>
      <c r="Q18" s="454"/>
    </row>
    <row r="19" spans="2:17" ht="6.95" customHeight="1" x14ac:dyDescent="0.25">
      <c r="B19" s="453"/>
      <c r="F19" s="465"/>
      <c r="Q19" s="454"/>
    </row>
    <row r="20" spans="2:17" ht="12.75" customHeight="1" x14ac:dyDescent="0.25">
      <c r="B20" s="453"/>
      <c r="C20" s="455"/>
      <c r="F20" s="466"/>
      <c r="I20" s="455"/>
      <c r="L20" s="455"/>
      <c r="O20" s="455"/>
      <c r="Q20" s="454"/>
    </row>
    <row r="21" spans="2:17" ht="12.75" customHeight="1" x14ac:dyDescent="0.25">
      <c r="B21" s="453"/>
      <c r="C21" s="349" t="s">
        <v>469</v>
      </c>
      <c r="D21" s="401">
        <f>+D22</f>
        <v>0</v>
      </c>
      <c r="F21" s="465" t="s">
        <v>470</v>
      </c>
      <c r="Q21" s="454"/>
    </row>
    <row r="22" spans="2:17" ht="12.75" customHeight="1" x14ac:dyDescent="0.25">
      <c r="B22" s="453"/>
      <c r="C22" s="347" t="s">
        <v>471</v>
      </c>
      <c r="D22" s="403"/>
      <c r="F22" s="465" t="s">
        <v>472</v>
      </c>
      <c r="Q22" s="454"/>
    </row>
    <row r="23" spans="2:17" ht="6.95" customHeight="1" x14ac:dyDescent="0.25">
      <c r="B23" s="453"/>
      <c r="F23" s="465"/>
      <c r="Q23" s="454"/>
    </row>
    <row r="24" spans="2:17" x14ac:dyDescent="0.25">
      <c r="B24" s="453" t="s">
        <v>473</v>
      </c>
      <c r="C24" s="402" t="s">
        <v>474</v>
      </c>
      <c r="F24" s="465"/>
      <c r="Q24" s="454"/>
    </row>
    <row r="25" spans="2:17" ht="6.95" customHeight="1" x14ac:dyDescent="0.25">
      <c r="B25" s="453"/>
      <c r="F25" s="465"/>
      <c r="Q25" s="454"/>
    </row>
    <row r="26" spans="2:17" ht="12.75" customHeight="1" x14ac:dyDescent="0.25">
      <c r="B26" s="453"/>
      <c r="C26" s="349" t="s">
        <v>475</v>
      </c>
      <c r="D26" s="401">
        <f>+D27*D28</f>
        <v>0</v>
      </c>
      <c r="F26" s="465" t="s">
        <v>476</v>
      </c>
      <c r="I26" s="226"/>
      <c r="L26" s="226"/>
      <c r="O26" s="226"/>
      <c r="Q26" s="454"/>
    </row>
    <row r="27" spans="2:17" ht="12.75" customHeight="1" x14ac:dyDescent="0.25">
      <c r="B27" s="453"/>
      <c r="C27" s="347" t="s">
        <v>477</v>
      </c>
      <c r="D27" s="404"/>
      <c r="F27" s="465" t="s">
        <v>478</v>
      </c>
      <c r="I27" s="226"/>
      <c r="L27" s="226"/>
      <c r="O27" s="226"/>
      <c r="Q27" s="454"/>
    </row>
    <row r="28" spans="2:17" ht="12.75" customHeight="1" x14ac:dyDescent="0.25">
      <c r="B28" s="453"/>
      <c r="C28" s="347" t="s">
        <v>479</v>
      </c>
      <c r="D28" s="411">
        <f>+SUMIF('LISTAS DATOS'!C3:C13,'1.3. Machine Cost Sheet'!D7,'LISTAS DATOS'!E3:E13)</f>
        <v>0</v>
      </c>
      <c r="F28" s="465" t="s">
        <v>476</v>
      </c>
      <c r="I28" s="226"/>
      <c r="L28" s="226"/>
      <c r="O28" s="226"/>
      <c r="Q28" s="454"/>
    </row>
    <row r="29" spans="2:17" ht="6.95" customHeight="1" x14ac:dyDescent="0.25">
      <c r="B29" s="453"/>
      <c r="F29" s="465"/>
      <c r="Q29" s="454"/>
    </row>
    <row r="30" spans="2:17" x14ac:dyDescent="0.25">
      <c r="B30" s="453" t="s">
        <v>480</v>
      </c>
      <c r="C30" s="402" t="s">
        <v>481</v>
      </c>
      <c r="F30" s="465"/>
      <c r="Q30" s="454"/>
    </row>
    <row r="31" spans="2:17" ht="6.95" customHeight="1" x14ac:dyDescent="0.25">
      <c r="B31" s="453"/>
      <c r="F31" s="465"/>
      <c r="Q31" s="454"/>
    </row>
    <row r="32" spans="2:17" ht="12.75" customHeight="1" x14ac:dyDescent="0.25">
      <c r="B32" s="453"/>
      <c r="C32" s="349" t="s">
        <v>482</v>
      </c>
      <c r="D32" s="401">
        <f>+D33*D34</f>
        <v>0</v>
      </c>
      <c r="F32" s="465" t="s">
        <v>483</v>
      </c>
      <c r="I32" s="226"/>
      <c r="L32" s="226"/>
      <c r="O32" s="226"/>
      <c r="Q32" s="454"/>
    </row>
    <row r="33" spans="2:17" ht="12.75" customHeight="1" x14ac:dyDescent="0.25">
      <c r="B33" s="453"/>
      <c r="C33" s="347" t="s">
        <v>484</v>
      </c>
      <c r="D33" s="403"/>
      <c r="F33" s="465"/>
      <c r="Q33" s="454"/>
    </row>
    <row r="34" spans="2:17" ht="12.75" customHeight="1" x14ac:dyDescent="0.25">
      <c r="B34" s="453"/>
      <c r="C34" s="347" t="s">
        <v>485</v>
      </c>
      <c r="D34" s="405">
        <v>0</v>
      </c>
      <c r="F34" s="465"/>
      <c r="Q34" s="454"/>
    </row>
    <row r="35" spans="2:17" ht="6.95" customHeight="1" x14ac:dyDescent="0.25">
      <c r="B35" s="453"/>
      <c r="F35" s="465"/>
      <c r="Q35" s="454"/>
    </row>
    <row r="36" spans="2:17" x14ac:dyDescent="0.25">
      <c r="B36" s="453" t="s">
        <v>486</v>
      </c>
      <c r="C36" s="402" t="s">
        <v>487</v>
      </c>
      <c r="F36" s="465"/>
      <c r="Q36" s="454"/>
    </row>
    <row r="37" spans="2:17" ht="6.95" customHeight="1" x14ac:dyDescent="0.25">
      <c r="B37" s="453"/>
      <c r="F37" s="465"/>
      <c r="Q37" s="454"/>
    </row>
    <row r="38" spans="2:17" ht="12.75" customHeight="1" x14ac:dyDescent="0.25">
      <c r="B38" s="453"/>
      <c r="C38" s="349" t="s">
        <v>488</v>
      </c>
      <c r="D38" s="401">
        <f>+SUMIF('LISTAS DATOS'!C3:C13,'1.3. Machine Cost Sheet'!D7,'LISTAS DATOS'!F3:F13)</f>
        <v>0</v>
      </c>
      <c r="F38" s="465" t="s">
        <v>476</v>
      </c>
      <c r="I38" s="226"/>
      <c r="L38" s="226"/>
      <c r="O38" s="226"/>
      <c r="Q38" s="454"/>
    </row>
    <row r="39" spans="2:17" ht="6.95" customHeight="1" x14ac:dyDescent="0.25">
      <c r="B39" s="453"/>
      <c r="F39" s="465"/>
      <c r="Q39" s="454"/>
    </row>
    <row r="40" spans="2:17" x14ac:dyDescent="0.25">
      <c r="B40" s="453" t="s">
        <v>489</v>
      </c>
      <c r="C40" s="402" t="s">
        <v>490</v>
      </c>
      <c r="F40" s="465"/>
      <c r="Q40" s="454"/>
    </row>
    <row r="41" spans="2:17" ht="6.95" customHeight="1" x14ac:dyDescent="0.25">
      <c r="B41" s="453"/>
      <c r="F41" s="465"/>
      <c r="Q41" s="454"/>
    </row>
    <row r="42" spans="2:17" ht="12.75" customHeight="1" x14ac:dyDescent="0.25">
      <c r="B42" s="453"/>
      <c r="C42" s="349" t="s">
        <v>491</v>
      </c>
      <c r="D42" s="401" t="e">
        <f>+D43/D44</f>
        <v>#DIV/0!</v>
      </c>
      <c r="F42" s="465" t="s">
        <v>492</v>
      </c>
      <c r="Q42" s="454"/>
    </row>
    <row r="43" spans="2:17" ht="12.75" customHeight="1" x14ac:dyDescent="0.25">
      <c r="B43" s="453"/>
      <c r="C43" s="347" t="s">
        <v>493</v>
      </c>
      <c r="D43" s="403"/>
      <c r="F43" s="465" t="s">
        <v>494</v>
      </c>
      <c r="Q43" s="454"/>
    </row>
    <row r="44" spans="2:17" ht="12.75" customHeight="1" x14ac:dyDescent="0.25">
      <c r="B44" s="453"/>
      <c r="C44" s="347" t="s">
        <v>495</v>
      </c>
      <c r="D44" s="404"/>
      <c r="F44" s="465"/>
      <c r="Q44" s="454"/>
    </row>
    <row r="45" spans="2:17" ht="6.95" customHeight="1" x14ac:dyDescent="0.25">
      <c r="B45" s="453"/>
      <c r="F45" s="465"/>
      <c r="Q45" s="454"/>
    </row>
    <row r="46" spans="2:17" x14ac:dyDescent="0.25">
      <c r="B46" s="453" t="s">
        <v>496</v>
      </c>
      <c r="C46" s="402" t="s">
        <v>497</v>
      </c>
      <c r="F46" s="465"/>
      <c r="Q46" s="454"/>
    </row>
    <row r="47" spans="2:17" ht="6.95" customHeight="1" x14ac:dyDescent="0.25">
      <c r="B47" s="453"/>
      <c r="F47" s="465"/>
      <c r="Q47" s="454"/>
    </row>
    <row r="48" spans="2:17" ht="12.75" customHeight="1" x14ac:dyDescent="0.25">
      <c r="B48" s="453"/>
      <c r="C48" s="349" t="s">
        <v>498</v>
      </c>
      <c r="D48" s="401">
        <f>D50*D49</f>
        <v>0</v>
      </c>
      <c r="F48" s="465" t="s">
        <v>476</v>
      </c>
      <c r="I48" s="226"/>
      <c r="L48" s="226"/>
      <c r="O48" s="226"/>
      <c r="Q48" s="454"/>
    </row>
    <row r="49" spans="2:17" ht="12.75" customHeight="1" x14ac:dyDescent="0.25">
      <c r="B49" s="453"/>
      <c r="C49" s="347" t="s">
        <v>499</v>
      </c>
      <c r="D49" s="411">
        <f>+SUMIF('LISTAS DATOS'!C3:C13,'1.3. Machine Cost Sheet'!D7,'LISTAS DATOS'!D3:D13)</f>
        <v>0</v>
      </c>
      <c r="F49" s="465" t="s">
        <v>476</v>
      </c>
      <c r="I49" s="226"/>
      <c r="L49" s="226"/>
      <c r="O49" s="226"/>
      <c r="Q49" s="454"/>
    </row>
    <row r="50" spans="2:17" ht="12.75" customHeight="1" x14ac:dyDescent="0.25">
      <c r="B50" s="453"/>
      <c r="C50" s="347" t="s">
        <v>500</v>
      </c>
      <c r="D50" s="404"/>
      <c r="F50" s="465" t="s">
        <v>501</v>
      </c>
      <c r="I50" s="226"/>
      <c r="L50" s="226"/>
      <c r="O50" s="226"/>
      <c r="Q50" s="454"/>
    </row>
    <row r="51" spans="2:17" x14ac:dyDescent="0.25">
      <c r="B51" s="456"/>
      <c r="C51" s="457"/>
      <c r="D51" s="457"/>
      <c r="E51" s="457"/>
      <c r="F51" s="457"/>
      <c r="G51" s="457"/>
      <c r="H51" s="457"/>
      <c r="I51" s="457"/>
      <c r="J51" s="457"/>
      <c r="K51" s="457"/>
      <c r="L51" s="457"/>
      <c r="M51" s="457"/>
      <c r="N51" s="457"/>
      <c r="O51" s="457"/>
      <c r="P51" s="457"/>
      <c r="Q51" s="458"/>
    </row>
    <row r="53" spans="2:17" ht="15.75" x14ac:dyDescent="0.2">
      <c r="B53" s="460" t="s">
        <v>502</v>
      </c>
      <c r="C53" s="460"/>
    </row>
    <row r="54" spans="2:17" ht="12.75" customHeight="1" x14ac:dyDescent="0.3">
      <c r="B54" s="448"/>
      <c r="C54" s="459"/>
      <c r="D54" s="450"/>
      <c r="E54" s="450"/>
      <c r="F54" s="450"/>
      <c r="G54" s="450"/>
      <c r="H54" s="450"/>
      <c r="I54" s="450"/>
      <c r="J54" s="450"/>
      <c r="K54" s="450"/>
      <c r="L54" s="450"/>
      <c r="M54" s="450"/>
      <c r="N54" s="450"/>
      <c r="O54" s="450"/>
      <c r="P54" s="450"/>
      <c r="Q54" s="452"/>
    </row>
    <row r="55" spans="2:17" ht="12.75" customHeight="1" x14ac:dyDescent="0.25">
      <c r="B55" s="461" t="s">
        <v>467</v>
      </c>
      <c r="C55" s="349" t="s">
        <v>457</v>
      </c>
      <c r="D55" s="407"/>
      <c r="E55" s="461" t="s">
        <v>473</v>
      </c>
      <c r="F55" s="349" t="s">
        <v>457</v>
      </c>
      <c r="G55" s="407"/>
      <c r="H55" s="461" t="s">
        <v>480</v>
      </c>
      <c r="I55" s="349" t="s">
        <v>457</v>
      </c>
      <c r="J55" s="407"/>
      <c r="K55" s="461" t="s">
        <v>486</v>
      </c>
      <c r="L55" s="349" t="s">
        <v>457</v>
      </c>
      <c r="M55" s="407"/>
      <c r="N55" s="461" t="s">
        <v>489</v>
      </c>
      <c r="O55" s="349" t="s">
        <v>457</v>
      </c>
      <c r="P55" s="407"/>
      <c r="Q55" s="454"/>
    </row>
    <row r="56" spans="2:17" ht="12.75" customHeight="1" x14ac:dyDescent="0.25">
      <c r="B56" s="453"/>
      <c r="C56" s="349" t="s">
        <v>459</v>
      </c>
      <c r="D56" s="407"/>
      <c r="F56" s="349" t="s">
        <v>459</v>
      </c>
      <c r="G56" s="407"/>
      <c r="I56" s="349" t="s">
        <v>459</v>
      </c>
      <c r="J56" s="407"/>
      <c r="L56" s="349" t="s">
        <v>459</v>
      </c>
      <c r="M56" s="407"/>
      <c r="O56" s="349" t="s">
        <v>459</v>
      </c>
      <c r="P56" s="407"/>
      <c r="Q56" s="454"/>
    </row>
    <row r="57" spans="2:17" ht="12.75" customHeight="1" x14ac:dyDescent="0.25">
      <c r="B57" s="453"/>
      <c r="C57" s="349" t="s">
        <v>461</v>
      </c>
      <c r="D57" s="407"/>
      <c r="F57" s="349" t="s">
        <v>461</v>
      </c>
      <c r="G57" s="407"/>
      <c r="I57" s="349" t="s">
        <v>461</v>
      </c>
      <c r="J57" s="407"/>
      <c r="L57" s="349" t="s">
        <v>461</v>
      </c>
      <c r="M57" s="407"/>
      <c r="O57" s="349" t="s">
        <v>461</v>
      </c>
      <c r="P57" s="407"/>
      <c r="Q57" s="454"/>
    </row>
    <row r="58" spans="2:17" ht="12.75" customHeight="1" x14ac:dyDescent="0.25">
      <c r="B58" s="453"/>
      <c r="C58" s="402"/>
      <c r="F58" s="402"/>
      <c r="I58" s="402"/>
      <c r="L58" s="402"/>
      <c r="O58" s="402"/>
      <c r="Q58" s="454"/>
    </row>
    <row r="59" spans="2:17" ht="12.75" customHeight="1" x14ac:dyDescent="0.25">
      <c r="B59" s="453"/>
      <c r="C59" s="349" t="s">
        <v>463</v>
      </c>
      <c r="D59" s="401"/>
      <c r="F59" s="349" t="s">
        <v>463</v>
      </c>
      <c r="G59" s="401"/>
      <c r="I59" s="349" t="s">
        <v>463</v>
      </c>
      <c r="J59" s="401"/>
      <c r="L59" s="349" t="s">
        <v>463</v>
      </c>
      <c r="M59" s="401"/>
      <c r="O59" s="349" t="s">
        <v>463</v>
      </c>
      <c r="P59" s="401"/>
      <c r="Q59" s="454"/>
    </row>
    <row r="60" spans="2:17" ht="12.75" customHeight="1" x14ac:dyDescent="0.25">
      <c r="B60" s="453"/>
      <c r="C60" s="347" t="s">
        <v>503</v>
      </c>
      <c r="D60" s="400"/>
      <c r="F60" s="347" t="s">
        <v>503</v>
      </c>
      <c r="G60" s="400"/>
      <c r="I60" s="347" t="s">
        <v>503</v>
      </c>
      <c r="J60" s="400"/>
      <c r="L60" s="347" t="s">
        <v>503</v>
      </c>
      <c r="M60" s="400"/>
      <c r="O60" s="347" t="s">
        <v>503</v>
      </c>
      <c r="P60" s="400"/>
      <c r="Q60" s="454"/>
    </row>
    <row r="61" spans="2:17" ht="12.75" customHeight="1" x14ac:dyDescent="0.25">
      <c r="B61" s="453"/>
      <c r="C61" s="347" t="s">
        <v>482</v>
      </c>
      <c r="D61" s="400"/>
      <c r="F61" s="347" t="s">
        <v>482</v>
      </c>
      <c r="G61" s="400"/>
      <c r="I61" s="347" t="s">
        <v>482</v>
      </c>
      <c r="J61" s="400"/>
      <c r="L61" s="347" t="s">
        <v>482</v>
      </c>
      <c r="M61" s="400"/>
      <c r="O61" s="347" t="s">
        <v>482</v>
      </c>
      <c r="P61" s="400"/>
      <c r="Q61" s="454"/>
    </row>
    <row r="62" spans="2:17" ht="12.75" customHeight="1" x14ac:dyDescent="0.25">
      <c r="B62" s="453"/>
      <c r="C62" s="347" t="s">
        <v>488</v>
      </c>
      <c r="D62" s="400"/>
      <c r="F62" s="347" t="s">
        <v>488</v>
      </c>
      <c r="G62" s="400"/>
      <c r="I62" s="347" t="s">
        <v>488</v>
      </c>
      <c r="J62" s="400"/>
      <c r="L62" s="347" t="s">
        <v>488</v>
      </c>
      <c r="M62" s="400"/>
      <c r="O62" s="347" t="s">
        <v>488</v>
      </c>
      <c r="P62" s="400"/>
      <c r="Q62" s="454"/>
    </row>
    <row r="63" spans="2:17" ht="12.75" customHeight="1" x14ac:dyDescent="0.25">
      <c r="B63" s="453"/>
      <c r="C63" s="347" t="s">
        <v>491</v>
      </c>
      <c r="D63" s="400"/>
      <c r="F63" s="347" t="s">
        <v>491</v>
      </c>
      <c r="G63" s="400"/>
      <c r="I63" s="347" t="s">
        <v>491</v>
      </c>
      <c r="J63" s="400"/>
      <c r="L63" s="347" t="s">
        <v>491</v>
      </c>
      <c r="M63" s="400"/>
      <c r="O63" s="347" t="s">
        <v>491</v>
      </c>
      <c r="P63" s="400"/>
      <c r="Q63" s="454"/>
    </row>
    <row r="64" spans="2:17" ht="12.75" customHeight="1" x14ac:dyDescent="0.25">
      <c r="B64" s="453"/>
      <c r="C64" s="347" t="s">
        <v>498</v>
      </c>
      <c r="D64" s="400"/>
      <c r="F64" s="347" t="s">
        <v>498</v>
      </c>
      <c r="G64" s="400"/>
      <c r="I64" s="347" t="s">
        <v>498</v>
      </c>
      <c r="J64" s="400"/>
      <c r="L64" s="347" t="s">
        <v>498</v>
      </c>
      <c r="M64" s="400"/>
      <c r="O64" s="347" t="s">
        <v>498</v>
      </c>
      <c r="P64" s="400"/>
      <c r="Q64" s="454"/>
    </row>
    <row r="65" spans="2:17" ht="6.95" customHeight="1" x14ac:dyDescent="0.25">
      <c r="B65" s="453"/>
      <c r="Q65" s="454"/>
    </row>
    <row r="66" spans="2:17" ht="12.75" customHeight="1" x14ac:dyDescent="0.25">
      <c r="B66" s="453"/>
      <c r="C66" s="347" t="s">
        <v>465</v>
      </c>
      <c r="D66" s="412"/>
      <c r="F66" s="347" t="s">
        <v>465</v>
      </c>
      <c r="G66" s="412"/>
      <c r="I66" s="347" t="s">
        <v>465</v>
      </c>
      <c r="J66" s="412"/>
      <c r="L66" s="347" t="s">
        <v>465</v>
      </c>
      <c r="M66" s="412"/>
      <c r="O66" s="347" t="s">
        <v>465</v>
      </c>
      <c r="P66" s="412"/>
      <c r="Q66" s="454"/>
    </row>
    <row r="67" spans="2:17" ht="12.75" customHeight="1" x14ac:dyDescent="0.25">
      <c r="B67" s="453"/>
      <c r="C67" s="402"/>
      <c r="F67" s="402"/>
      <c r="I67" s="402"/>
      <c r="L67" s="402"/>
      <c r="O67" s="402"/>
      <c r="Q67" s="454"/>
    </row>
    <row r="68" spans="2:17" ht="12.75" customHeight="1" x14ac:dyDescent="0.25">
      <c r="B68" s="461" t="s">
        <v>496</v>
      </c>
      <c r="C68" s="349" t="s">
        <v>457</v>
      </c>
      <c r="D68" s="407"/>
      <c r="E68" s="461" t="s">
        <v>504</v>
      </c>
      <c r="F68" s="349" t="s">
        <v>457</v>
      </c>
      <c r="G68" s="407"/>
      <c r="H68" s="461" t="s">
        <v>505</v>
      </c>
      <c r="I68" s="349" t="s">
        <v>457</v>
      </c>
      <c r="J68" s="407"/>
      <c r="K68" s="461" t="s">
        <v>506</v>
      </c>
      <c r="L68" s="349" t="s">
        <v>457</v>
      </c>
      <c r="M68" s="407"/>
      <c r="N68" s="461" t="s">
        <v>507</v>
      </c>
      <c r="O68" s="349" t="s">
        <v>457</v>
      </c>
      <c r="P68" s="407"/>
      <c r="Q68" s="454"/>
    </row>
    <row r="69" spans="2:17" ht="12.75" customHeight="1" x14ac:dyDescent="0.25">
      <c r="B69" s="453"/>
      <c r="C69" s="349" t="s">
        <v>459</v>
      </c>
      <c r="D69" s="407"/>
      <c r="F69" s="349" t="s">
        <v>459</v>
      </c>
      <c r="G69" s="407"/>
      <c r="I69" s="349" t="s">
        <v>459</v>
      </c>
      <c r="J69" s="407"/>
      <c r="L69" s="349" t="s">
        <v>459</v>
      </c>
      <c r="M69" s="407"/>
      <c r="O69" s="349" t="s">
        <v>459</v>
      </c>
      <c r="P69" s="407"/>
      <c r="Q69" s="454"/>
    </row>
    <row r="70" spans="2:17" ht="12.75" customHeight="1" x14ac:dyDescent="0.25">
      <c r="B70" s="453"/>
      <c r="C70" s="349" t="s">
        <v>461</v>
      </c>
      <c r="D70" s="407"/>
      <c r="F70" s="349" t="s">
        <v>461</v>
      </c>
      <c r="G70" s="407"/>
      <c r="I70" s="349" t="s">
        <v>461</v>
      </c>
      <c r="J70" s="407"/>
      <c r="L70" s="349" t="s">
        <v>461</v>
      </c>
      <c r="M70" s="407"/>
      <c r="O70" s="349" t="s">
        <v>461</v>
      </c>
      <c r="P70" s="407"/>
      <c r="Q70" s="454"/>
    </row>
    <row r="71" spans="2:17" ht="12.75" customHeight="1" x14ac:dyDescent="0.25">
      <c r="B71" s="453"/>
      <c r="C71" s="402"/>
      <c r="F71" s="402"/>
      <c r="I71" s="402"/>
      <c r="L71" s="402"/>
      <c r="O71" s="402"/>
      <c r="Q71" s="454"/>
    </row>
    <row r="72" spans="2:17" ht="12.75" customHeight="1" x14ac:dyDescent="0.25">
      <c r="B72" s="453"/>
      <c r="C72" s="349" t="s">
        <v>463</v>
      </c>
      <c r="D72" s="401"/>
      <c r="F72" s="349" t="s">
        <v>463</v>
      </c>
      <c r="G72" s="401"/>
      <c r="I72" s="349" t="s">
        <v>463</v>
      </c>
      <c r="J72" s="401"/>
      <c r="L72" s="349" t="s">
        <v>463</v>
      </c>
      <c r="M72" s="401"/>
      <c r="O72" s="349" t="s">
        <v>463</v>
      </c>
      <c r="P72" s="401"/>
      <c r="Q72" s="454"/>
    </row>
    <row r="73" spans="2:17" ht="12.75" customHeight="1" x14ac:dyDescent="0.25">
      <c r="B73" s="453"/>
      <c r="C73" s="347" t="s">
        <v>503</v>
      </c>
      <c r="D73" s="400"/>
      <c r="F73" s="347" t="s">
        <v>503</v>
      </c>
      <c r="G73" s="400"/>
      <c r="I73" s="347" t="s">
        <v>503</v>
      </c>
      <c r="J73" s="400"/>
      <c r="L73" s="347" t="s">
        <v>503</v>
      </c>
      <c r="M73" s="400"/>
      <c r="O73" s="347" t="s">
        <v>503</v>
      </c>
      <c r="P73" s="400"/>
      <c r="Q73" s="454"/>
    </row>
    <row r="74" spans="2:17" ht="12.75" customHeight="1" x14ac:dyDescent="0.25">
      <c r="B74" s="453"/>
      <c r="C74" s="347" t="s">
        <v>482</v>
      </c>
      <c r="D74" s="400"/>
      <c r="F74" s="347" t="s">
        <v>482</v>
      </c>
      <c r="G74" s="400"/>
      <c r="I74" s="347" t="s">
        <v>482</v>
      </c>
      <c r="J74" s="400"/>
      <c r="L74" s="347" t="s">
        <v>482</v>
      </c>
      <c r="M74" s="400"/>
      <c r="O74" s="347" t="s">
        <v>482</v>
      </c>
      <c r="P74" s="400"/>
      <c r="Q74" s="454"/>
    </row>
    <row r="75" spans="2:17" ht="12.75" customHeight="1" x14ac:dyDescent="0.25">
      <c r="B75" s="453"/>
      <c r="C75" s="347" t="s">
        <v>488</v>
      </c>
      <c r="D75" s="400"/>
      <c r="F75" s="347" t="s">
        <v>488</v>
      </c>
      <c r="G75" s="400"/>
      <c r="I75" s="347" t="s">
        <v>488</v>
      </c>
      <c r="J75" s="400"/>
      <c r="L75" s="347" t="s">
        <v>488</v>
      </c>
      <c r="M75" s="400"/>
      <c r="O75" s="347" t="s">
        <v>488</v>
      </c>
      <c r="P75" s="400"/>
      <c r="Q75" s="454"/>
    </row>
    <row r="76" spans="2:17" ht="12.75" customHeight="1" x14ac:dyDescent="0.25">
      <c r="B76" s="453"/>
      <c r="C76" s="347" t="s">
        <v>491</v>
      </c>
      <c r="D76" s="400"/>
      <c r="F76" s="347" t="s">
        <v>491</v>
      </c>
      <c r="G76" s="400"/>
      <c r="I76" s="347" t="s">
        <v>491</v>
      </c>
      <c r="J76" s="400"/>
      <c r="L76" s="347" t="s">
        <v>491</v>
      </c>
      <c r="M76" s="400"/>
      <c r="O76" s="347" t="s">
        <v>491</v>
      </c>
      <c r="P76" s="400"/>
      <c r="Q76" s="454"/>
    </row>
    <row r="77" spans="2:17" ht="12.75" customHeight="1" x14ac:dyDescent="0.25">
      <c r="B77" s="453"/>
      <c r="C77" s="347" t="s">
        <v>498</v>
      </c>
      <c r="D77" s="400"/>
      <c r="F77" s="347" t="s">
        <v>498</v>
      </c>
      <c r="G77" s="400"/>
      <c r="I77" s="347" t="s">
        <v>498</v>
      </c>
      <c r="J77" s="400"/>
      <c r="L77" s="347" t="s">
        <v>498</v>
      </c>
      <c r="M77" s="400"/>
      <c r="O77" s="347" t="s">
        <v>498</v>
      </c>
      <c r="P77" s="400"/>
      <c r="Q77" s="454"/>
    </row>
    <row r="78" spans="2:17" ht="6.95" customHeight="1" x14ac:dyDescent="0.25">
      <c r="B78" s="453"/>
      <c r="Q78" s="454"/>
    </row>
    <row r="79" spans="2:17" ht="12.75" customHeight="1" x14ac:dyDescent="0.25">
      <c r="B79" s="453"/>
      <c r="C79" s="347" t="s">
        <v>465</v>
      </c>
      <c r="D79" s="412"/>
      <c r="F79" s="347" t="s">
        <v>465</v>
      </c>
      <c r="G79" s="412"/>
      <c r="I79" s="347" t="s">
        <v>465</v>
      </c>
      <c r="J79" s="412"/>
      <c r="L79" s="347" t="s">
        <v>465</v>
      </c>
      <c r="M79" s="412"/>
      <c r="O79" s="347" t="s">
        <v>465</v>
      </c>
      <c r="P79" s="412"/>
      <c r="Q79" s="454"/>
    </row>
    <row r="80" spans="2:17" ht="12.75" customHeight="1" x14ac:dyDescent="0.25">
      <c r="B80" s="456"/>
      <c r="C80" s="457"/>
      <c r="D80" s="457"/>
      <c r="E80" s="457"/>
      <c r="F80" s="457"/>
      <c r="G80" s="457"/>
      <c r="H80" s="457"/>
      <c r="I80" s="457"/>
      <c r="J80" s="457"/>
      <c r="K80" s="457"/>
      <c r="L80" s="457"/>
      <c r="M80" s="457"/>
      <c r="N80" s="457"/>
      <c r="O80" s="457"/>
      <c r="P80" s="457"/>
      <c r="Q80" s="458"/>
    </row>
    <row r="81" spans="2:2" ht="12.75" customHeight="1" x14ac:dyDescent="0.25"/>
    <row r="82" spans="2:2" ht="12.75" customHeight="1" x14ac:dyDescent="0.2">
      <c r="B82" s="194" t="str">
        <f>+Help!B134</f>
        <v>IF-334 (27/05/2025)</v>
      </c>
    </row>
    <row r="83" spans="2:2" ht="12.75" customHeight="1" x14ac:dyDescent="0.25"/>
    <row r="84" spans="2:2" ht="12.75" customHeight="1" x14ac:dyDescent="0.25"/>
    <row r="85" spans="2:2" ht="12.75" customHeight="1" x14ac:dyDescent="0.25"/>
    <row r="86" spans="2:2" ht="12.75" customHeight="1" x14ac:dyDescent="0.25"/>
    <row r="87" spans="2:2" ht="12.75" customHeight="1" x14ac:dyDescent="0.25"/>
    <row r="88" spans="2:2" ht="12.75" customHeight="1" x14ac:dyDescent="0.25"/>
    <row r="89" spans="2:2" ht="12.75" customHeight="1" x14ac:dyDescent="0.25"/>
    <row r="90" spans="2:2" ht="12.75" customHeight="1" x14ac:dyDescent="0.25"/>
  </sheetData>
  <pageMargins left="0.70866141732283472" right="0.70866141732283472" top="0.74803149606299213" bottom="0.74803149606299213" header="0.31496062992125984" footer="0.31496062992125984"/>
  <pageSetup paperSize="9" scale="46" fitToHeight="0" orientation="landscape" r:id="rId1"/>
  <headerFooter>
    <oddFooter>Página &amp;P de &amp;F</oddFoot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2AF2520-084F-42D6-BCA6-929F6C395422}">
          <x14:formula1>
            <xm:f>'LISTAS DATOS'!$C$3:$C$10</xm:f>
          </x14:formula1>
          <xm:sqref>P57 D57 M57 J57 G57 P70 D70 M70 J70 G70</xm:sqref>
        </x14:dataValidation>
        <x14:dataValidation type="list" allowBlank="1" showInputMessage="1" showErrorMessage="1" xr:uid="{45702F4B-19FD-4DA3-A11A-638D26C290D6}">
          <x14:formula1>
            <xm:f>'LISTAS DATOS'!$C$3:$C$13</xm:f>
          </x14:formula1>
          <xm:sqref>D7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9">
    <tabColor theme="8"/>
    <pageSetUpPr fitToPage="1"/>
  </sheetPr>
  <dimension ref="B2:CC97"/>
  <sheetViews>
    <sheetView showGridLines="0" zoomScale="120" zoomScaleNormal="120" zoomScaleSheetLayoutView="70" workbookViewId="0">
      <selection activeCell="K11" sqref="K11"/>
    </sheetView>
  </sheetViews>
  <sheetFormatPr baseColWidth="10" defaultColWidth="11.42578125" defaultRowHeight="12.75" x14ac:dyDescent="0.2"/>
  <cols>
    <col min="1" max="1" width="2.7109375" style="5" customWidth="1"/>
    <col min="2" max="2" width="9" style="5" customWidth="1"/>
    <col min="3" max="3" width="39.7109375" style="5" customWidth="1"/>
    <col min="4" max="4" width="10.7109375" style="5" bestFit="1" customWidth="1"/>
    <col min="5" max="5" width="14" style="5" customWidth="1"/>
    <col min="6" max="6" width="13.140625" style="5" customWidth="1"/>
    <col min="7" max="7" width="13" style="5" customWidth="1"/>
    <col min="8" max="8" width="14.7109375" style="5" bestFit="1" customWidth="1"/>
    <col min="9" max="9" width="14.140625" style="5" bestFit="1" customWidth="1"/>
    <col min="10" max="10" width="13.28515625" style="5" bestFit="1" customWidth="1"/>
    <col min="11" max="11" width="10.42578125" style="5" bestFit="1" customWidth="1"/>
    <col min="12" max="12" width="14.85546875" style="5" bestFit="1" customWidth="1"/>
    <col min="13" max="13" width="13" style="5" bestFit="1" customWidth="1"/>
    <col min="14" max="15" width="13.140625" style="5" bestFit="1" customWidth="1"/>
    <col min="16" max="16" width="18.85546875" style="5" bestFit="1" customWidth="1"/>
    <col min="17" max="17" width="16.7109375" style="5" bestFit="1" customWidth="1"/>
    <col min="18" max="18" width="5.7109375" style="5" customWidth="1"/>
    <col min="19" max="19" width="9.7109375" style="5" customWidth="1"/>
    <col min="20" max="20" width="6.28515625" style="5" customWidth="1"/>
    <col min="21" max="22" width="1.7109375" style="5" customWidth="1"/>
    <col min="23" max="23" width="20.7109375" style="5" customWidth="1"/>
    <col min="24" max="24" width="5.7109375" style="5" customWidth="1"/>
    <col min="25" max="25" width="9.7109375" style="5" customWidth="1"/>
    <col min="26" max="26" width="6.28515625" style="5" customWidth="1"/>
    <col min="27" max="28" width="1.7109375" style="5" customWidth="1"/>
    <col min="29" max="29" width="20.7109375" style="5" customWidth="1"/>
    <col min="30" max="30" width="5.7109375" style="5" customWidth="1"/>
    <col min="31" max="31" width="9.7109375" style="5" customWidth="1"/>
    <col min="32" max="32" width="6.28515625" style="5" customWidth="1"/>
    <col min="33" max="34" width="1.7109375" style="5" customWidth="1"/>
    <col min="35" max="35" width="20.7109375" style="5" customWidth="1"/>
    <col min="36" max="36" width="5.7109375" style="5" customWidth="1"/>
    <col min="37" max="37" width="9.7109375" style="5" customWidth="1"/>
    <col min="38" max="38" width="6.28515625" style="5" customWidth="1"/>
    <col min="39" max="40" width="1.7109375" style="5" customWidth="1"/>
    <col min="41" max="41" width="20.7109375" style="5" customWidth="1"/>
    <col min="42" max="42" width="5.7109375" style="5" customWidth="1"/>
    <col min="43" max="43" width="9.7109375" style="5" customWidth="1"/>
    <col min="44" max="44" width="6.28515625" style="5" customWidth="1"/>
    <col min="45" max="46" width="1.7109375" style="5" customWidth="1"/>
    <col min="47" max="47" width="20.7109375" style="5" customWidth="1"/>
    <col min="48" max="48" width="5.7109375" style="5" customWidth="1"/>
    <col min="49" max="49" width="9.7109375" style="5" customWidth="1"/>
    <col min="50" max="50" width="6.28515625" style="5" customWidth="1"/>
    <col min="51" max="52" width="1.7109375" style="5" customWidth="1"/>
    <col min="53" max="53" width="20.7109375" style="5" customWidth="1"/>
    <col min="54" max="54" width="5.7109375" style="5" customWidth="1"/>
    <col min="55" max="55" width="9.7109375" style="5" customWidth="1"/>
    <col min="56" max="56" width="6.28515625" style="5" customWidth="1"/>
    <col min="57" max="58" width="1.7109375" style="5" customWidth="1"/>
    <col min="59" max="59" width="20.7109375" style="5" customWidth="1"/>
    <col min="60" max="60" width="5.7109375" style="5" customWidth="1"/>
    <col min="61" max="61" width="9.7109375" style="5" customWidth="1"/>
    <col min="62" max="62" width="6.28515625" style="5" customWidth="1"/>
    <col min="63" max="64" width="1.7109375" style="5" customWidth="1"/>
    <col min="65" max="65" width="20.7109375" style="5" customWidth="1"/>
    <col min="66" max="66" width="5.7109375" style="5" customWidth="1"/>
    <col min="67" max="67" width="9.7109375" style="5" customWidth="1"/>
    <col min="68" max="68" width="6.28515625" style="5" customWidth="1"/>
    <col min="69" max="70" width="1.7109375" style="5" customWidth="1"/>
    <col min="71" max="71" width="20.7109375" style="5" customWidth="1"/>
    <col min="72" max="72" width="5.7109375" style="5" customWidth="1"/>
    <col min="73" max="73" width="9.7109375" style="5" customWidth="1"/>
    <col min="74" max="74" width="6.28515625" style="5" customWidth="1"/>
    <col min="75" max="76" width="1.7109375" style="5" customWidth="1"/>
    <col min="77" max="77" width="20.7109375" style="5" customWidth="1"/>
    <col min="78" max="78" width="5.7109375" style="5" customWidth="1"/>
    <col min="79" max="79" width="9.7109375" style="5" customWidth="1"/>
    <col min="80" max="80" width="6.28515625" style="5" customWidth="1"/>
    <col min="81" max="81" width="1.7109375" customWidth="1"/>
    <col min="82" max="82" width="1.7109375" style="5" customWidth="1"/>
    <col min="83" max="83" width="20.7109375" style="5" customWidth="1"/>
    <col min="84" max="84" width="5.7109375" style="5" customWidth="1"/>
    <col min="85" max="85" width="9.7109375" style="5" customWidth="1"/>
    <col min="86" max="86" width="6.28515625" style="5" customWidth="1"/>
    <col min="87" max="88" width="1.7109375" style="5" customWidth="1"/>
    <col min="89" max="89" width="20.7109375" style="5" customWidth="1"/>
    <col min="90" max="90" width="5.7109375" style="5" customWidth="1"/>
    <col min="91" max="91" width="9.7109375" style="5" customWidth="1"/>
    <col min="92" max="92" width="6.28515625" style="5" customWidth="1"/>
    <col min="93" max="94" width="1.7109375" style="5" customWidth="1"/>
    <col min="95" max="95" width="20.7109375" style="5" customWidth="1"/>
    <col min="96" max="96" width="5.7109375" style="5" customWidth="1"/>
    <col min="97" max="97" width="9.7109375" style="5" customWidth="1"/>
    <col min="98" max="98" width="6.28515625" style="5" customWidth="1"/>
    <col min="99" max="100" width="1.7109375" style="5" customWidth="1"/>
    <col min="101" max="101" width="20.7109375" style="5" customWidth="1"/>
    <col min="102" max="102" width="5.7109375" style="5" customWidth="1"/>
    <col min="103" max="103" width="9.7109375" style="5" customWidth="1"/>
    <col min="104" max="104" width="6.28515625" style="5" customWidth="1"/>
    <col min="105" max="106" width="1.7109375" style="5" customWidth="1"/>
    <col min="107" max="107" width="20.7109375" style="5" customWidth="1"/>
    <col min="108" max="108" width="5.7109375" style="5" customWidth="1"/>
    <col min="109" max="109" width="9.7109375" style="5" customWidth="1"/>
    <col min="110" max="110" width="6.28515625" style="5" customWidth="1"/>
    <col min="111" max="112" width="1.7109375" style="5" customWidth="1"/>
    <col min="113" max="113" width="20.7109375" style="5" customWidth="1"/>
    <col min="114" max="114" width="5.7109375" style="5" customWidth="1"/>
    <col min="115" max="115" width="9.7109375" style="5" customWidth="1"/>
    <col min="116" max="116" width="6.28515625" style="5" customWidth="1"/>
    <col min="117" max="118" width="1.7109375" style="5" customWidth="1"/>
    <col min="119" max="119" width="20.7109375" style="5" customWidth="1"/>
    <col min="120" max="120" width="5.7109375" style="5" customWidth="1"/>
    <col min="121" max="121" width="9.7109375" style="5" customWidth="1"/>
    <col min="122" max="122" width="6.28515625" style="5" customWidth="1"/>
    <col min="123" max="124" width="1.7109375" style="5" customWidth="1"/>
    <col min="125" max="125" width="20.7109375" style="5" customWidth="1"/>
    <col min="126" max="126" width="5.7109375" style="5" customWidth="1"/>
    <col min="127" max="127" width="9.7109375" style="5" customWidth="1"/>
    <col min="128" max="128" width="6.28515625" style="5" customWidth="1"/>
    <col min="129" max="130" width="1.7109375" style="5" customWidth="1"/>
    <col min="131" max="131" width="20.7109375" style="5" customWidth="1"/>
    <col min="132" max="132" width="5.7109375" style="5" customWidth="1"/>
    <col min="133" max="133" width="9.7109375" style="5" customWidth="1"/>
    <col min="134" max="134" width="6.28515625" style="5" customWidth="1"/>
    <col min="135" max="136" width="1.7109375" style="5" customWidth="1"/>
    <col min="137" max="137" width="20.7109375" style="5" customWidth="1"/>
    <col min="138" max="138" width="5.7109375" style="5" customWidth="1"/>
    <col min="139" max="139" width="9.7109375" style="5" customWidth="1"/>
    <col min="140" max="140" width="6.28515625" style="5" customWidth="1"/>
    <col min="141" max="141" width="1.7109375" style="5" customWidth="1"/>
    <col min="142" max="16384" width="11.42578125" style="5"/>
  </cols>
  <sheetData>
    <row r="2" spans="2:81" s="83" customFormat="1" ht="52.5" customHeight="1" x14ac:dyDescent="0.4">
      <c r="B2" s="198" t="s">
        <v>508</v>
      </c>
      <c r="C2" s="544"/>
      <c r="D2" s="198"/>
      <c r="E2" s="197"/>
      <c r="F2" s="195"/>
      <c r="G2" s="196"/>
      <c r="H2" s="196"/>
      <c r="I2" s="196"/>
      <c r="J2" s="544"/>
      <c r="K2" s="544"/>
      <c r="L2" s="544"/>
      <c r="M2" s="544"/>
      <c r="N2" s="544"/>
      <c r="O2" s="544"/>
      <c r="P2" s="544"/>
      <c r="Q2" s="544"/>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c r="CA2" s="545"/>
      <c r="CB2" s="545"/>
      <c r="CC2" s="545"/>
    </row>
    <row r="3" spans="2:81" s="318" customFormat="1" ht="22.5" x14ac:dyDescent="0.2">
      <c r="B3" s="317" t="s">
        <v>509</v>
      </c>
      <c r="C3" s="317" t="s">
        <v>510</v>
      </c>
      <c r="D3" s="317" t="s">
        <v>511</v>
      </c>
      <c r="E3" s="317" t="s">
        <v>328</v>
      </c>
      <c r="F3" s="317" t="s">
        <v>512</v>
      </c>
      <c r="G3" s="317" t="s">
        <v>513</v>
      </c>
      <c r="H3" s="317" t="s">
        <v>514</v>
      </c>
      <c r="I3" s="317" t="s">
        <v>515</v>
      </c>
      <c r="J3" s="608" t="s">
        <v>516</v>
      </c>
      <c r="K3" s="317" t="s">
        <v>517</v>
      </c>
      <c r="L3" s="317" t="s">
        <v>518</v>
      </c>
      <c r="M3" s="317" t="s">
        <v>519</v>
      </c>
      <c r="N3" s="317" t="s">
        <v>520</v>
      </c>
      <c r="O3" s="317" t="s">
        <v>521</v>
      </c>
      <c r="P3" s="317" t="s">
        <v>522</v>
      </c>
      <c r="Q3" s="608" t="s">
        <v>523</v>
      </c>
      <c r="BM3" s="319"/>
      <c r="BV3" s="320"/>
      <c r="CC3" s="321"/>
    </row>
    <row r="4" spans="2:81" s="323" customFormat="1" ht="21" x14ac:dyDescent="0.15">
      <c r="B4" s="322" t="s">
        <v>524</v>
      </c>
      <c r="C4" s="322" t="s">
        <v>525</v>
      </c>
      <c r="D4" s="322" t="s">
        <v>526</v>
      </c>
      <c r="E4" s="322" t="s">
        <v>359</v>
      </c>
      <c r="F4" s="322" t="s">
        <v>368</v>
      </c>
      <c r="G4" s="322" t="s">
        <v>527</v>
      </c>
      <c r="H4" s="322" t="s">
        <v>528</v>
      </c>
      <c r="I4" s="322" t="s">
        <v>529</v>
      </c>
      <c r="J4" s="609" t="s">
        <v>530</v>
      </c>
      <c r="K4" s="322" t="s">
        <v>531</v>
      </c>
      <c r="L4" s="322" t="s">
        <v>532</v>
      </c>
      <c r="M4" s="322" t="s">
        <v>533</v>
      </c>
      <c r="N4" s="322" t="s">
        <v>534</v>
      </c>
      <c r="O4" s="322" t="s">
        <v>535</v>
      </c>
      <c r="P4" s="322" t="s">
        <v>536</v>
      </c>
      <c r="Q4" s="609" t="s">
        <v>537</v>
      </c>
      <c r="BM4" s="324"/>
      <c r="BV4" s="325"/>
      <c r="CC4" s="326"/>
    </row>
    <row r="5" spans="2:81" ht="12.75" customHeight="1" x14ac:dyDescent="0.2">
      <c r="B5" s="125"/>
      <c r="C5" s="249"/>
      <c r="D5" s="129"/>
      <c r="E5" s="129"/>
      <c r="F5" s="129"/>
      <c r="G5" s="262"/>
      <c r="H5" s="250"/>
      <c r="I5" s="251"/>
      <c r="J5" s="310">
        <f>+SUM(G5*(1+H5),I5)</f>
        <v>0</v>
      </c>
      <c r="K5" s="252"/>
      <c r="L5" s="261">
        <f>J5</f>
        <v>0</v>
      </c>
      <c r="M5" s="248"/>
      <c r="N5" s="126"/>
      <c r="O5" s="126"/>
      <c r="P5" s="258"/>
      <c r="Q5" s="314">
        <f>IF(O5=0,IF(P5=0,0,IF(N5='LISTAS DATOS'!$A$38,(((1+(M5*O5))*(J5-L5))/(O5*'0. Change Control'!$C$4)),(((1+(M5*(P5/'0. Change Control'!$C$4)))*(J5-L5))/P5))),IF(N5='LISTAS DATOS'!$A$38,(((1+(M5*O5))*(J5-L5))/(O5*'0. Change Control'!$C$4)),(((1+(M5*(P5/'0. Change Control'!$C$4)))*(J5-L5))/P5)))</f>
        <v>0</v>
      </c>
      <c r="BM5" s="8"/>
      <c r="BS5" s="9"/>
      <c r="BU5" s="9"/>
      <c r="BV5" s="7"/>
    </row>
    <row r="6" spans="2:81" ht="12.75" customHeight="1" x14ac:dyDescent="0.2">
      <c r="B6" s="128"/>
      <c r="C6" s="249"/>
      <c r="D6" s="129"/>
      <c r="E6" s="129"/>
      <c r="F6" s="129"/>
      <c r="G6" s="262"/>
      <c r="H6" s="250"/>
      <c r="I6" s="251"/>
      <c r="J6" s="311">
        <f t="shared" ref="J6:J29" si="0">+SUM(G6*(1+H6),I6)</f>
        <v>0</v>
      </c>
      <c r="K6" s="252"/>
      <c r="L6" s="261">
        <f t="shared" ref="L6:L14" si="1">J6</f>
        <v>0</v>
      </c>
      <c r="M6" s="253"/>
      <c r="N6" s="129"/>
      <c r="O6" s="129"/>
      <c r="P6" s="259"/>
      <c r="Q6" s="315">
        <f>IF(O6=0,IF(P6=0,0,IF(N6='LISTAS DATOS'!$A$38,(((1+(M6*O6))*(G6-L6))/(O6*'0. Change Control'!$C$4)),(((1+(M6*(P6/'0. Change Control'!$C$4)))*(G6-L6))/P6))),IF(N6='LISTAS DATOS'!$A$38,(((1+(M6*O6))*(G6-L6))/(O6*'0. Change Control'!$C$4)),(((1+(M6*(P6/'0. Change Control'!$C$4)))*(G6-L6))/P6)))</f>
        <v>0</v>
      </c>
      <c r="BM6" s="8"/>
      <c r="BS6" s="9"/>
      <c r="BU6" s="9"/>
      <c r="BV6" s="7"/>
    </row>
    <row r="7" spans="2:81" ht="12.75" customHeight="1" x14ac:dyDescent="0.2">
      <c r="B7" s="128"/>
      <c r="C7" s="249"/>
      <c r="D7" s="129"/>
      <c r="E7" s="129"/>
      <c r="F7" s="129"/>
      <c r="G7" s="262"/>
      <c r="H7" s="250"/>
      <c r="I7" s="251"/>
      <c r="J7" s="311">
        <f t="shared" si="0"/>
        <v>0</v>
      </c>
      <c r="K7" s="252"/>
      <c r="L7" s="261">
        <f t="shared" si="1"/>
        <v>0</v>
      </c>
      <c r="M7" s="253"/>
      <c r="N7" s="129"/>
      <c r="O7" s="129"/>
      <c r="P7" s="259"/>
      <c r="Q7" s="315">
        <f>IF(O7=0,IF(P7=0,0,IF(N7='LISTAS DATOS'!$A$38,(((1+(M7*O7))*(G7-L7))/(O7*'0. Change Control'!$C$4)),(((1+(M7*(P7/'0. Change Control'!$C$4)))*(G7-L7))/P7))),IF(N7='LISTAS DATOS'!$A$38,(((1+(M7*O7))*(G7-L7))/(O7*'0. Change Control'!$C$4)),(((1+(M7*(P7/'0. Change Control'!$C$4)))*(G7-L7))/P7)))</f>
        <v>0</v>
      </c>
      <c r="BM7" s="8"/>
      <c r="BS7" s="9"/>
      <c r="BU7" s="9"/>
      <c r="BV7" s="7"/>
    </row>
    <row r="8" spans="2:81" ht="12.75" customHeight="1" x14ac:dyDescent="0.2">
      <c r="B8" s="128"/>
      <c r="C8" s="249"/>
      <c r="D8" s="129"/>
      <c r="E8" s="129"/>
      <c r="F8" s="129"/>
      <c r="G8" s="262"/>
      <c r="H8" s="250"/>
      <c r="I8" s="251"/>
      <c r="J8" s="311">
        <f t="shared" si="0"/>
        <v>0</v>
      </c>
      <c r="K8" s="252"/>
      <c r="L8" s="261">
        <f t="shared" si="1"/>
        <v>0</v>
      </c>
      <c r="M8" s="253"/>
      <c r="N8" s="129"/>
      <c r="O8" s="129"/>
      <c r="P8" s="259"/>
      <c r="Q8" s="315">
        <f>IF(O8=0,IF(P8=0,0,IF(N8='LISTAS DATOS'!$A$38,(((1+(M8*O8))*(G8-L8))/(O8*'0. Change Control'!$C$4)),(((1+(M8*(P8/'0. Change Control'!$C$4)))*(G8-L8))/P8))),IF(N8='LISTAS DATOS'!$A$38,(((1+(M8*O8))*(G8-L8))/(O8*'0. Change Control'!$C$4)),(((1+(M8*(P8/'0. Change Control'!$C$4)))*(G8-L8))/P8)))</f>
        <v>0</v>
      </c>
      <c r="BM8" s="8"/>
      <c r="BS8" s="9"/>
      <c r="BT8" s="10"/>
      <c r="BU8" s="9"/>
      <c r="BV8" s="7"/>
    </row>
    <row r="9" spans="2:81" ht="12.75" customHeight="1" x14ac:dyDescent="0.2">
      <c r="B9" s="128"/>
      <c r="C9" s="249"/>
      <c r="D9" s="129"/>
      <c r="E9" s="129"/>
      <c r="F9" s="129"/>
      <c r="G9" s="262"/>
      <c r="H9" s="250"/>
      <c r="I9" s="251"/>
      <c r="J9" s="311">
        <f t="shared" si="0"/>
        <v>0</v>
      </c>
      <c r="K9" s="252"/>
      <c r="L9" s="261">
        <f t="shared" si="1"/>
        <v>0</v>
      </c>
      <c r="M9" s="253"/>
      <c r="N9" s="129"/>
      <c r="O9" s="129"/>
      <c r="P9" s="259"/>
      <c r="Q9" s="315">
        <f>IF(O9=0,IF(P9=0,0,IF(N9='LISTAS DATOS'!$A$38,(((1+(M9*O9))*(G9-L9))/(O9*'0. Change Control'!$C$4)),(((1+(M9*(P9/'0. Change Control'!$C$4)))*(G9-L9))/P9))),IF(N9='LISTAS DATOS'!$A$38,(((1+(M9*O9))*(G9-L9))/(O9*'0. Change Control'!$C$4)),(((1+(M9*(P9/'0. Change Control'!$C$4)))*(G9-L9))/P9)))</f>
        <v>0</v>
      </c>
      <c r="BM9" s="8"/>
      <c r="BN9" s="136"/>
      <c r="BO9" s="136"/>
      <c r="BS9" s="9"/>
      <c r="BT9" s="11"/>
      <c r="BU9" s="9"/>
      <c r="BV9" s="7"/>
    </row>
    <row r="10" spans="2:81" ht="12.75" customHeight="1" x14ac:dyDescent="0.2">
      <c r="B10" s="128"/>
      <c r="C10" s="249"/>
      <c r="D10" s="129"/>
      <c r="E10" s="129"/>
      <c r="F10" s="129"/>
      <c r="G10" s="262"/>
      <c r="H10" s="250"/>
      <c r="I10" s="251"/>
      <c r="J10" s="311">
        <f t="shared" si="0"/>
        <v>0</v>
      </c>
      <c r="K10" s="252"/>
      <c r="L10" s="261">
        <f t="shared" si="1"/>
        <v>0</v>
      </c>
      <c r="M10" s="253"/>
      <c r="N10" s="129"/>
      <c r="O10" s="129"/>
      <c r="P10" s="259"/>
      <c r="Q10" s="315">
        <f>IF(O10=0,IF(P10=0,0,IF(N10='LISTAS DATOS'!$A$38,(((1+(M10*O10))*(G10-L10))/(O10*'0. Change Control'!$C$4)),(((1+(M10*(P10/'0. Change Control'!$C$4)))*(G10-L10))/P10))),IF(N10='LISTAS DATOS'!$A$38,(((1+(M10*O10))*(G10-L10))/(O10*'0. Change Control'!$C$4)),(((1+(M10*(P10/'0. Change Control'!$C$4)))*(G10-L10))/P10)))</f>
        <v>0</v>
      </c>
      <c r="BM10" s="8"/>
      <c r="BN10" s="136"/>
      <c r="BO10" s="136"/>
      <c r="BS10" s="9"/>
      <c r="BT10" s="12"/>
      <c r="BU10" s="9"/>
      <c r="BV10" s="7"/>
    </row>
    <row r="11" spans="2:81" ht="12.75" customHeight="1" x14ac:dyDescent="0.2">
      <c r="B11" s="128"/>
      <c r="C11" s="249"/>
      <c r="D11" s="129"/>
      <c r="E11" s="129"/>
      <c r="F11" s="129"/>
      <c r="G11" s="262"/>
      <c r="H11" s="250"/>
      <c r="I11" s="251"/>
      <c r="J11" s="311">
        <f t="shared" si="0"/>
        <v>0</v>
      </c>
      <c r="K11" s="252"/>
      <c r="L11" s="261">
        <f t="shared" si="1"/>
        <v>0</v>
      </c>
      <c r="M11" s="253"/>
      <c r="N11" s="129"/>
      <c r="O11" s="129"/>
      <c r="P11" s="259"/>
      <c r="Q11" s="315">
        <f>IF(O11=0,IF(P11=0,0,IF(N11='LISTAS DATOS'!$A$38,(((1+(M11*O11))*(G11-L11))/(O11*'0. Change Control'!$C$4)),(((1+(M11*(P11/'0. Change Control'!$C$4)))*(G11-L11))/P11))),IF(N11='LISTAS DATOS'!$A$38,(((1+(M11*O11))*(G11-L11))/(O11*'0. Change Control'!$C$4)),(((1+(M11*(P11/'0. Change Control'!$C$4)))*(G11-L11))/P11)))</f>
        <v>0</v>
      </c>
      <c r="BM11" s="13"/>
      <c r="BN11" s="137"/>
      <c r="BO11" s="137"/>
      <c r="BS11" s="9"/>
      <c r="BT11" s="14"/>
      <c r="BU11" s="9"/>
      <c r="BV11" s="7"/>
    </row>
    <row r="12" spans="2:81" ht="12.75" customHeight="1" x14ac:dyDescent="0.2">
      <c r="B12" s="128"/>
      <c r="C12" s="249"/>
      <c r="D12" s="129"/>
      <c r="E12" s="129"/>
      <c r="F12" s="129"/>
      <c r="G12" s="262"/>
      <c r="H12" s="250"/>
      <c r="I12" s="251"/>
      <c r="J12" s="311">
        <f t="shared" si="0"/>
        <v>0</v>
      </c>
      <c r="K12" s="252"/>
      <c r="L12" s="261"/>
      <c r="M12" s="253"/>
      <c r="N12" s="129"/>
      <c r="O12" s="129"/>
      <c r="P12" s="259"/>
      <c r="Q12" s="315">
        <f>IF(O12=0,IF(P12=0,0,IF(N12='LISTAS DATOS'!$A$38,(((1+(M12*O12))*(G12-L12))/(O12*'0. Change Control'!$C$4)),(((1+(M12*(P12/'0. Change Control'!$C$4)))*(G12-L12))/P12))),IF(N12='LISTAS DATOS'!$A$38,(((1+(M12*O12))*(G12-L12))/(O12*'0. Change Control'!$C$4)),(((1+(M12*(P12/'0. Change Control'!$C$4)))*(G12-L12))/P12)))</f>
        <v>0</v>
      </c>
      <c r="BM12" s="15"/>
      <c r="BN12" s="138"/>
      <c r="BO12" s="138"/>
      <c r="BS12" s="9"/>
      <c r="BT12" s="14"/>
      <c r="BU12" s="9"/>
      <c r="BV12" s="7"/>
    </row>
    <row r="13" spans="2:81" ht="12.75" customHeight="1" x14ac:dyDescent="0.2">
      <c r="B13" s="128"/>
      <c r="C13" s="249"/>
      <c r="D13" s="129"/>
      <c r="E13" s="129"/>
      <c r="F13" s="129"/>
      <c r="G13" s="262"/>
      <c r="H13" s="250"/>
      <c r="I13" s="251"/>
      <c r="J13" s="311">
        <f t="shared" si="0"/>
        <v>0</v>
      </c>
      <c r="K13" s="252"/>
      <c r="L13" s="261">
        <f t="shared" si="1"/>
        <v>0</v>
      </c>
      <c r="M13" s="253"/>
      <c r="N13" s="129"/>
      <c r="O13" s="129"/>
      <c r="P13" s="259"/>
      <c r="Q13" s="315">
        <f>IF(O13=0,IF(P13=0,0,IF(N13='LISTAS DATOS'!$A$38,(((1+(M13*O13))*(G13-L13))/(O13*'0. Change Control'!$C$4)),(((1+(M13*(P13/'0. Change Control'!$C$4)))*(G13-L13))/P13))),IF(N13='LISTAS DATOS'!$A$38,(((1+(M13*O13))*(G13-L13))/(O13*'0. Change Control'!$C$4)),(((1+(M13*(P13/'0. Change Control'!$C$4)))*(G13-L13))/P13)))</f>
        <v>0</v>
      </c>
      <c r="BM13" s="8"/>
      <c r="BS13" s="6"/>
      <c r="BT13" s="16"/>
      <c r="BU13" s="6"/>
      <c r="BV13" s="7"/>
    </row>
    <row r="14" spans="2:81" ht="12.75" customHeight="1" x14ac:dyDescent="0.2">
      <c r="B14" s="128"/>
      <c r="C14" s="249"/>
      <c r="D14" s="129"/>
      <c r="E14" s="129"/>
      <c r="F14" s="129"/>
      <c r="G14" s="262"/>
      <c r="H14" s="250"/>
      <c r="I14" s="251"/>
      <c r="J14" s="311">
        <f t="shared" si="0"/>
        <v>0</v>
      </c>
      <c r="K14" s="252"/>
      <c r="L14" s="261">
        <f t="shared" si="1"/>
        <v>0</v>
      </c>
      <c r="M14" s="253"/>
      <c r="N14" s="129"/>
      <c r="O14" s="129"/>
      <c r="P14" s="259"/>
      <c r="Q14" s="315">
        <f>IF(O14=0,IF(P14=0,0,IF(N14='LISTAS DATOS'!$A$38,(((1+(M14*O14))*(G14-L14))/(O14*'0. Change Control'!$C$4)),(((1+(M14*(P14/'0. Change Control'!$C$4)))*(G14-L14))/P14))),IF(N14='LISTAS DATOS'!$A$38,(((1+(M14*O14))*(G14-L14))/(O14*'0. Change Control'!$C$4)),(((1+(M14*(P14/'0. Change Control'!$C$4)))*(G14-L14))/P14)))</f>
        <v>0</v>
      </c>
      <c r="BM14" s="17"/>
      <c r="BN14" s="34"/>
      <c r="BO14" s="34"/>
      <c r="BS14" s="9"/>
      <c r="BU14" s="9"/>
      <c r="BV14" s="7"/>
    </row>
    <row r="15" spans="2:81" ht="12.75" customHeight="1" x14ac:dyDescent="0.2">
      <c r="B15" s="128"/>
      <c r="C15" s="249"/>
      <c r="D15" s="129"/>
      <c r="E15" s="129"/>
      <c r="F15" s="129"/>
      <c r="G15" s="262"/>
      <c r="H15" s="250"/>
      <c r="I15" s="251"/>
      <c r="J15" s="311">
        <f t="shared" si="0"/>
        <v>0</v>
      </c>
      <c r="K15" s="252"/>
      <c r="L15" s="261"/>
      <c r="M15" s="253"/>
      <c r="N15" s="129"/>
      <c r="O15" s="129"/>
      <c r="P15" s="259"/>
      <c r="Q15" s="315">
        <f>IF(O15=0,IF(P15=0,0,IF(N15='LISTAS DATOS'!$A$38,(((1+(M15*O15))*(G15-L15))/(O15*'0. Change Control'!$C$4)),(((1+(M15*(P15/'0. Change Control'!$C$4)))*(G15-L15))/P15))),IF(N15='LISTAS DATOS'!$A$38,(((1+(M15*O15))*(G15-L15))/(O15*'0. Change Control'!$C$4)),(((1+(M15*(P15/'0. Change Control'!$C$4)))*(G15-L15))/P15)))</f>
        <v>0</v>
      </c>
      <c r="BM15" s="17"/>
      <c r="BN15" s="34"/>
      <c r="BO15" s="34"/>
      <c r="BS15" s="9"/>
      <c r="BU15" s="9"/>
      <c r="BV15" s="7"/>
    </row>
    <row r="16" spans="2:81" ht="12.75" customHeight="1" x14ac:dyDescent="0.2">
      <c r="B16" s="128"/>
      <c r="C16" s="249"/>
      <c r="D16" s="129"/>
      <c r="E16" s="129"/>
      <c r="F16" s="129"/>
      <c r="G16" s="262"/>
      <c r="H16" s="250"/>
      <c r="I16" s="251"/>
      <c r="J16" s="311">
        <f t="shared" si="0"/>
        <v>0</v>
      </c>
      <c r="K16" s="252"/>
      <c r="L16" s="261"/>
      <c r="M16" s="253"/>
      <c r="N16" s="129"/>
      <c r="O16" s="129"/>
      <c r="P16" s="259"/>
      <c r="Q16" s="315">
        <f>IF(O16=0,IF(P16=0,0,IF(N16='LISTAS DATOS'!$A$38,(((1+(M16*O16))*(G16-L16))/(O16*'0. Change Control'!$C$4)),(((1+(M16*(P16/'0. Change Control'!$C$4)))*(G16-L16))/P16))),IF(N16='LISTAS DATOS'!$A$38,(((1+(M16*O16))*(G16-L16))/(O16*'0. Change Control'!$C$4)),(((1+(M16*(P16/'0. Change Control'!$C$4)))*(G16-L16))/P16)))</f>
        <v>0</v>
      </c>
      <c r="BM16" s="17"/>
      <c r="BN16" s="34"/>
      <c r="BO16" s="34"/>
      <c r="BS16" s="9"/>
      <c r="BU16" s="9"/>
      <c r="BV16" s="7"/>
    </row>
    <row r="17" spans="2:74" ht="12.75" customHeight="1" x14ac:dyDescent="0.2">
      <c r="B17" s="128"/>
      <c r="C17" s="249"/>
      <c r="D17" s="129"/>
      <c r="E17" s="129"/>
      <c r="F17" s="129"/>
      <c r="G17" s="262"/>
      <c r="H17" s="250"/>
      <c r="I17" s="251"/>
      <c r="J17" s="311">
        <f t="shared" si="0"/>
        <v>0</v>
      </c>
      <c r="K17" s="252"/>
      <c r="L17" s="261"/>
      <c r="M17" s="253"/>
      <c r="N17" s="129"/>
      <c r="O17" s="129"/>
      <c r="P17" s="259"/>
      <c r="Q17" s="315">
        <f>IF(O17=0,IF(P17=0,0,IF(N17='LISTAS DATOS'!$A$38,(((1+(M17*O17))*(G17-L17))/(O17*'0. Change Control'!$C$4)),(((1+(M17*(P17/'0. Change Control'!$C$4)))*(G17-L17))/P17))),IF(N17='LISTAS DATOS'!$A$38,(((1+(M17*O17))*(G17-L17))/(O17*'0. Change Control'!$C$4)),(((1+(M17*(P17/'0. Change Control'!$C$4)))*(G17-L17))/P17)))</f>
        <v>0</v>
      </c>
      <c r="BM17" s="17"/>
      <c r="BN17" s="34"/>
      <c r="BO17" s="34"/>
      <c r="BS17" s="9"/>
      <c r="BU17" s="9"/>
      <c r="BV17" s="7"/>
    </row>
    <row r="18" spans="2:74" ht="12.75" customHeight="1" x14ac:dyDescent="0.2">
      <c r="B18" s="128"/>
      <c r="C18" s="249"/>
      <c r="D18" s="129"/>
      <c r="E18" s="129"/>
      <c r="F18" s="129"/>
      <c r="G18" s="262"/>
      <c r="H18" s="250"/>
      <c r="I18" s="251"/>
      <c r="J18" s="311">
        <f t="shared" si="0"/>
        <v>0</v>
      </c>
      <c r="K18" s="252"/>
      <c r="L18" s="261"/>
      <c r="M18" s="253"/>
      <c r="N18" s="129"/>
      <c r="O18" s="129"/>
      <c r="P18" s="259"/>
      <c r="Q18" s="315">
        <f>IF(O18=0,IF(P18=0,0,IF(N18='LISTAS DATOS'!$A$38,(((1+(M18*O18))*(G18-L18))/(O18*'0. Change Control'!$C$4)),(((1+(M18*(P18/'0. Change Control'!$C$4)))*(G18-L18))/P18))),IF(N18='LISTAS DATOS'!$A$38,(((1+(M18*O18))*(G18-L18))/(O18*'0. Change Control'!$C$4)),(((1+(M18*(P18/'0. Change Control'!$C$4)))*(G18-L18))/P18)))</f>
        <v>0</v>
      </c>
      <c r="BM18" s="17"/>
      <c r="BN18" s="34"/>
      <c r="BO18" s="34"/>
      <c r="BS18" s="9"/>
      <c r="BU18" s="9"/>
      <c r="BV18" s="7"/>
    </row>
    <row r="19" spans="2:74" ht="12.75" customHeight="1" x14ac:dyDescent="0.2">
      <c r="B19" s="128"/>
      <c r="C19" s="249"/>
      <c r="D19" s="129"/>
      <c r="E19" s="129"/>
      <c r="F19" s="129"/>
      <c r="G19" s="262"/>
      <c r="H19" s="250"/>
      <c r="I19" s="251"/>
      <c r="J19" s="311">
        <f t="shared" si="0"/>
        <v>0</v>
      </c>
      <c r="K19" s="252"/>
      <c r="L19" s="261"/>
      <c r="M19" s="253"/>
      <c r="N19" s="129"/>
      <c r="O19" s="129"/>
      <c r="P19" s="259"/>
      <c r="Q19" s="315">
        <f>IF(O19=0,IF(P19=0,0,IF(N19='LISTAS DATOS'!$A$38,(((1+(M19*O19))*(G19-L19))/(O19*'0. Change Control'!$C$4)),(((1+(M19*(P19/'0. Change Control'!$C$4)))*(G19-L19))/P19))),IF(N19='LISTAS DATOS'!$A$38,(((1+(M19*O19))*(G19-L19))/(O19*'0. Change Control'!$C$4)),(((1+(M19*(P19/'0. Change Control'!$C$4)))*(G19-L19))/P19)))</f>
        <v>0</v>
      </c>
      <c r="BM19" s="17"/>
      <c r="BN19" s="34"/>
      <c r="BO19" s="34"/>
      <c r="BS19" s="9"/>
      <c r="BU19" s="9"/>
      <c r="BV19" s="7"/>
    </row>
    <row r="20" spans="2:74" ht="12.75" customHeight="1" x14ac:dyDescent="0.2">
      <c r="B20" s="128"/>
      <c r="C20" s="249"/>
      <c r="D20" s="129"/>
      <c r="E20" s="129"/>
      <c r="F20" s="129"/>
      <c r="G20" s="262"/>
      <c r="H20" s="250"/>
      <c r="I20" s="251"/>
      <c r="J20" s="311">
        <f t="shared" si="0"/>
        <v>0</v>
      </c>
      <c r="K20" s="252"/>
      <c r="L20" s="261"/>
      <c r="M20" s="253"/>
      <c r="N20" s="129"/>
      <c r="O20" s="129"/>
      <c r="P20" s="259"/>
      <c r="Q20" s="315">
        <f>IF(O20=0,IF(P20=0,0,IF(N20='LISTAS DATOS'!$A$38,(((1+(M20*O20))*(G20-L20))/(O20*'0. Change Control'!$C$4)),(((1+(M20*(P20/'0. Change Control'!$C$4)))*(G20-L20))/P20))),IF(N20='LISTAS DATOS'!$A$38,(((1+(M20*O20))*(G20-L20))/(O20*'0. Change Control'!$C$4)),(((1+(M20*(P20/'0. Change Control'!$C$4)))*(G20-L20))/P20)))</f>
        <v>0</v>
      </c>
      <c r="BM20" s="17"/>
      <c r="BN20" s="34"/>
      <c r="BO20" s="34"/>
      <c r="BS20" s="9"/>
      <c r="BU20" s="9"/>
      <c r="BV20" s="7"/>
    </row>
    <row r="21" spans="2:74" ht="12.75" customHeight="1" x14ac:dyDescent="0.2">
      <c r="B21" s="128"/>
      <c r="C21" s="249"/>
      <c r="D21" s="129"/>
      <c r="E21" s="129"/>
      <c r="F21" s="129"/>
      <c r="G21" s="262"/>
      <c r="H21" s="250"/>
      <c r="I21" s="251"/>
      <c r="J21" s="311">
        <f t="shared" si="0"/>
        <v>0</v>
      </c>
      <c r="K21" s="252"/>
      <c r="L21" s="261"/>
      <c r="M21" s="253"/>
      <c r="N21" s="129"/>
      <c r="O21" s="129"/>
      <c r="P21" s="259"/>
      <c r="Q21" s="315">
        <f>IF(O21=0,IF(P21=0,0,IF(N21='LISTAS DATOS'!$A$38,(((1+(M21*O21))*(G21-L21))/(O21*'0. Change Control'!$C$4)),(((1+(M21*(P21/'0. Change Control'!$C$4)))*(G21-L21))/P21))),IF(N21='LISTAS DATOS'!$A$38,(((1+(M21*O21))*(G21-L21))/(O21*'0. Change Control'!$C$4)),(((1+(M21*(P21/'0. Change Control'!$C$4)))*(G21-L21))/P21)))</f>
        <v>0</v>
      </c>
      <c r="BM21" s="17"/>
      <c r="BN21" s="34"/>
      <c r="BO21" s="34"/>
      <c r="BS21" s="9"/>
      <c r="BU21" s="9"/>
      <c r="BV21" s="7"/>
    </row>
    <row r="22" spans="2:74" ht="12.75" customHeight="1" x14ac:dyDescent="0.2">
      <c r="B22" s="128"/>
      <c r="C22" s="249"/>
      <c r="D22" s="129"/>
      <c r="E22" s="129"/>
      <c r="F22" s="129"/>
      <c r="G22" s="262"/>
      <c r="H22" s="250"/>
      <c r="I22" s="251"/>
      <c r="J22" s="311">
        <f t="shared" si="0"/>
        <v>0</v>
      </c>
      <c r="K22" s="252"/>
      <c r="L22" s="261"/>
      <c r="M22" s="253"/>
      <c r="N22" s="129"/>
      <c r="O22" s="129"/>
      <c r="P22" s="259"/>
      <c r="Q22" s="315">
        <f>IF(O22=0,IF(P22=0,0,IF(N22='LISTAS DATOS'!$A$38,(((1+(M22*O22))*(G22-L22))/(O22*'0. Change Control'!$C$4)),(((1+(M22*(P22/'0. Change Control'!$C$4)))*(G22-L22))/P22))),IF(N22='LISTAS DATOS'!$A$38,(((1+(M22*O22))*(G22-L22))/(O22*'0. Change Control'!$C$4)),(((1+(M22*(P22/'0. Change Control'!$C$4)))*(G22-L22))/P22)))</f>
        <v>0</v>
      </c>
      <c r="BM22" s="17"/>
      <c r="BN22" s="34"/>
      <c r="BO22" s="34"/>
      <c r="BS22" s="9"/>
      <c r="BU22" s="9"/>
      <c r="BV22" s="7"/>
    </row>
    <row r="23" spans="2:74" ht="12.75" customHeight="1" x14ac:dyDescent="0.2">
      <c r="B23" s="128"/>
      <c r="C23" s="249"/>
      <c r="D23" s="129"/>
      <c r="E23" s="129"/>
      <c r="F23" s="129"/>
      <c r="G23" s="262"/>
      <c r="H23" s="250"/>
      <c r="I23" s="251"/>
      <c r="J23" s="311">
        <f t="shared" si="0"/>
        <v>0</v>
      </c>
      <c r="K23" s="252"/>
      <c r="L23" s="261"/>
      <c r="M23" s="253"/>
      <c r="N23" s="129"/>
      <c r="O23" s="129"/>
      <c r="P23" s="259"/>
      <c r="Q23" s="315">
        <f>IF(O23=0,IF(P23=0,0,IF(N23='LISTAS DATOS'!$A$38,(((1+(M23*O23))*(G23-L23))/(O23*'0. Change Control'!$C$4)),(((1+(M23*(P23/'0. Change Control'!$C$4)))*(G23-L23))/P23))),IF(N23='LISTAS DATOS'!$A$38,(((1+(M23*O23))*(G23-L23))/(O23*'0. Change Control'!$C$4)),(((1+(M23*(P23/'0. Change Control'!$C$4)))*(G23-L23))/P23)))</f>
        <v>0</v>
      </c>
      <c r="BM23" s="17"/>
      <c r="BN23" s="34"/>
      <c r="BO23" s="34"/>
      <c r="BS23" s="9"/>
      <c r="BU23" s="9"/>
      <c r="BV23" s="7"/>
    </row>
    <row r="24" spans="2:74" ht="12.75" customHeight="1" x14ac:dyDescent="0.2">
      <c r="B24" s="128"/>
      <c r="C24" s="249"/>
      <c r="D24" s="129"/>
      <c r="E24" s="129"/>
      <c r="F24" s="129"/>
      <c r="G24" s="262"/>
      <c r="H24" s="250"/>
      <c r="I24" s="251"/>
      <c r="J24" s="311">
        <f t="shared" si="0"/>
        <v>0</v>
      </c>
      <c r="K24" s="252"/>
      <c r="L24" s="261"/>
      <c r="M24" s="253"/>
      <c r="N24" s="129"/>
      <c r="O24" s="129"/>
      <c r="P24" s="259"/>
      <c r="Q24" s="315">
        <f>IF(O24=0,IF(P24=0,0,IF(N24='LISTAS DATOS'!$A$38,(((1+(M24*O24))*(G24-L24))/(O24*'0. Change Control'!$C$4)),(((1+(M24*(P24/'0. Change Control'!$C$4)))*(G24-L24))/P24))),IF(N24='LISTAS DATOS'!$A$38,(((1+(M24*O24))*(G24-L24))/(O24*'0. Change Control'!$C$4)),(((1+(M24*(P24/'0. Change Control'!$C$4)))*(G24-L24))/P24)))</f>
        <v>0</v>
      </c>
      <c r="BM24" s="17"/>
      <c r="BN24" s="34"/>
      <c r="BO24" s="34"/>
      <c r="BS24" s="9"/>
      <c r="BU24" s="9"/>
      <c r="BV24" s="7"/>
    </row>
    <row r="25" spans="2:74" ht="12.75" customHeight="1" x14ac:dyDescent="0.2">
      <c r="B25" s="128"/>
      <c r="C25" s="249"/>
      <c r="D25" s="129"/>
      <c r="E25" s="129"/>
      <c r="F25" s="129"/>
      <c r="G25" s="262"/>
      <c r="H25" s="250"/>
      <c r="I25" s="251"/>
      <c r="J25" s="311">
        <f t="shared" si="0"/>
        <v>0</v>
      </c>
      <c r="K25" s="252"/>
      <c r="L25" s="261"/>
      <c r="M25" s="253"/>
      <c r="N25" s="129"/>
      <c r="O25" s="129"/>
      <c r="P25" s="259"/>
      <c r="Q25" s="315">
        <f>IF(O25=0,IF(P25=0,0,IF(N25='LISTAS DATOS'!$A$38,(((1+(M25*O25))*(G25-L25))/(O25*'0. Change Control'!$C$4)),(((1+(M25*(P25/'0. Change Control'!$C$4)))*(G25-L25))/P25))),IF(N25='LISTAS DATOS'!$A$38,(((1+(M25*O25))*(G25-L25))/(O25*'0. Change Control'!$C$4)),(((1+(M25*(P25/'0. Change Control'!$C$4)))*(G25-L25))/P25)))</f>
        <v>0</v>
      </c>
      <c r="BM25" s="17"/>
      <c r="BN25" s="34"/>
      <c r="BO25" s="34"/>
      <c r="BS25" s="9"/>
      <c r="BU25" s="9"/>
      <c r="BV25" s="7"/>
    </row>
    <row r="26" spans="2:74" ht="12.75" customHeight="1" x14ac:dyDescent="0.2">
      <c r="B26" s="636"/>
      <c r="C26" s="637" t="s">
        <v>542</v>
      </c>
      <c r="D26" s="638" t="s">
        <v>543</v>
      </c>
      <c r="E26" s="638" t="s">
        <v>544</v>
      </c>
      <c r="F26" s="638" t="s">
        <v>539</v>
      </c>
      <c r="G26" s="549">
        <f>+F61</f>
        <v>0</v>
      </c>
      <c r="H26" s="642">
        <v>0</v>
      </c>
      <c r="I26" s="643">
        <v>0</v>
      </c>
      <c r="J26" s="311">
        <f t="shared" si="0"/>
        <v>0</v>
      </c>
      <c r="K26" s="252"/>
      <c r="L26" s="261"/>
      <c r="M26" s="253"/>
      <c r="N26" s="129"/>
      <c r="O26" s="129"/>
      <c r="P26" s="259"/>
      <c r="Q26" s="315">
        <f>IF(O26=0,IF(P26=0,0,IF(N26='LISTAS DATOS'!$A$38,(((1+(M26*O26))*(G26-L26))/(O26*'0. Change Control'!$C$4)),(((1+(M26*(P26/'0. Change Control'!$C$4)))*(G26-L26))/P26))),IF(N26='LISTAS DATOS'!$A$38,(((1+(M26*O26))*(G26-L26))/(O26*'0. Change Control'!$C$4)),(((1+(M26*(P26/'0. Change Control'!$C$4)))*(G26-L26))/P26)))</f>
        <v>0</v>
      </c>
      <c r="BM26" s="17"/>
      <c r="BN26" s="34"/>
      <c r="BO26" s="34"/>
      <c r="BS26" s="9"/>
      <c r="BU26" s="9"/>
      <c r="BV26" s="7"/>
    </row>
    <row r="27" spans="2:74" ht="12.75" customHeight="1" x14ac:dyDescent="0.2">
      <c r="B27" s="636"/>
      <c r="C27" s="637" t="s">
        <v>545</v>
      </c>
      <c r="D27" s="638" t="s">
        <v>546</v>
      </c>
      <c r="E27" s="638" t="s">
        <v>544</v>
      </c>
      <c r="F27" s="638" t="s">
        <v>539</v>
      </c>
      <c r="G27" s="549">
        <f>N82</f>
        <v>0</v>
      </c>
      <c r="H27" s="642">
        <v>0.1</v>
      </c>
      <c r="I27" s="251"/>
      <c r="J27" s="311">
        <f t="shared" si="0"/>
        <v>0</v>
      </c>
      <c r="K27" s="645" t="s">
        <v>540</v>
      </c>
      <c r="L27" s="610">
        <f>+J28</f>
        <v>0</v>
      </c>
      <c r="M27" s="253"/>
      <c r="N27" s="129"/>
      <c r="O27" s="129"/>
      <c r="P27" s="259"/>
      <c r="Q27" s="315">
        <f>IF(O27=0,IF(P27=0,0,IF(N27='LISTAS DATOS'!$A$38,(((1+(M27*O27))*(G27-L27))/(O27*'0. Change Control'!$C$4)),(((1+(M27*(P27/'0. Change Control'!$C$4)))*(G27-L27))/P27))),IF(N27='LISTAS DATOS'!$A$38,(((1+(M27*O27))*(G27-L27))/(O27*'0. Change Control'!$C$4)),(((1+(M27*(P27/'0. Change Control'!$C$4)))*(G27-L27))/P27)))</f>
        <v>0</v>
      </c>
      <c r="BM27" s="17"/>
      <c r="BS27" s="9"/>
      <c r="BU27" s="9"/>
      <c r="BV27" s="7"/>
    </row>
    <row r="28" spans="2:74" ht="12.75" customHeight="1" x14ac:dyDescent="0.2">
      <c r="B28" s="636"/>
      <c r="C28" s="637" t="s">
        <v>547</v>
      </c>
      <c r="D28" s="638" t="s">
        <v>546</v>
      </c>
      <c r="E28" s="638" t="s">
        <v>544</v>
      </c>
      <c r="F28" s="638" t="s">
        <v>539</v>
      </c>
      <c r="G28" s="549">
        <f t="shared" ref="G28:G29" si="2">N83</f>
        <v>0</v>
      </c>
      <c r="H28" s="642">
        <v>0.1</v>
      </c>
      <c r="I28" s="251"/>
      <c r="J28" s="311">
        <f t="shared" si="0"/>
        <v>0</v>
      </c>
      <c r="K28" s="645" t="s">
        <v>540</v>
      </c>
      <c r="L28" s="610">
        <f>+J28</f>
        <v>0</v>
      </c>
      <c r="M28" s="253"/>
      <c r="N28" s="129"/>
      <c r="O28" s="129"/>
      <c r="P28" s="259"/>
      <c r="Q28" s="315">
        <f>IF(O28=0,IF(P28=0,0,IF(N28='LISTAS DATOS'!$A$38,(((1+(M28*O28))*(G28-L28))/(O28*'0. Change Control'!$C$4)),(((1+(M28*(P28/'0. Change Control'!$C$4)))*(G28-L28))/P28))),IF(N28='LISTAS DATOS'!$A$38,(((1+(M28*O28))*(G28-L28))/(O28*'0. Change Control'!$C$4)),(((1+(M28*(P28/'0. Change Control'!$C$4)))*(G28-L28))/P28)))</f>
        <v>0</v>
      </c>
      <c r="BM28" s="17"/>
      <c r="BS28" s="9"/>
      <c r="BU28" s="9"/>
      <c r="BV28" s="7"/>
    </row>
    <row r="29" spans="2:74" ht="12.75" customHeight="1" x14ac:dyDescent="0.2">
      <c r="B29" s="639"/>
      <c r="C29" s="640" t="s">
        <v>548</v>
      </c>
      <c r="D29" s="641" t="s">
        <v>546</v>
      </c>
      <c r="E29" s="641" t="s">
        <v>544</v>
      </c>
      <c r="F29" s="641" t="s">
        <v>539</v>
      </c>
      <c r="G29" s="550">
        <f t="shared" si="2"/>
        <v>0</v>
      </c>
      <c r="H29" s="644">
        <v>0.1</v>
      </c>
      <c r="I29" s="255"/>
      <c r="J29" s="312">
        <f t="shared" si="0"/>
        <v>0</v>
      </c>
      <c r="K29" s="646" t="s">
        <v>540</v>
      </c>
      <c r="L29" s="611">
        <f>+J29</f>
        <v>0</v>
      </c>
      <c r="M29" s="256"/>
      <c r="N29" s="134"/>
      <c r="O29" s="134"/>
      <c r="P29" s="260"/>
      <c r="Q29" s="315">
        <f>IF(O29=0,IF(P29=0,0,IF(N29='LISTAS DATOS'!$A$38,(((1+(M29*O29))*(G29-L29))/(O29*'0. Change Control'!$C$4)),(((1+(M29*(P29/'0. Change Control'!$C$4)))*(G29-L29))/P29))),IF(N29='LISTAS DATOS'!$A$38,(((1+(M29*O29))*(G29-L29))/(O29*'0. Change Control'!$C$4)),(((1+(M29*(P29/'0. Change Control'!$C$4)))*(G29-L29))/P29)))</f>
        <v>0</v>
      </c>
      <c r="BM29" s="17"/>
      <c r="BS29" s="9"/>
      <c r="BU29" s="9"/>
      <c r="BV29" s="7"/>
    </row>
    <row r="30" spans="2:74" ht="12.75" customHeight="1" x14ac:dyDescent="0.2">
      <c r="B30" s="69"/>
      <c r="C30" s="69"/>
      <c r="D30" s="69"/>
      <c r="E30" s="69"/>
      <c r="F30" s="69"/>
      <c r="G30" s="69"/>
      <c r="H30" s="69"/>
      <c r="I30" s="257" t="s">
        <v>549</v>
      </c>
      <c r="J30" s="313">
        <f>SUM(J5:J29)</f>
        <v>0</v>
      </c>
      <c r="M30" s="69"/>
      <c r="N30" s="69"/>
      <c r="O30" s="69"/>
      <c r="P30" s="257" t="s">
        <v>550</v>
      </c>
      <c r="Q30" s="316">
        <f>SUM(Q5:Q29)</f>
        <v>0</v>
      </c>
      <c r="BM30" s="17"/>
      <c r="BS30" s="9"/>
      <c r="BU30" s="9"/>
      <c r="BV30" s="7"/>
    </row>
    <row r="31" spans="2:74" x14ac:dyDescent="0.2">
      <c r="I31" s="257" t="s">
        <v>551</v>
      </c>
      <c r="J31" s="313">
        <f>+J30-J32</f>
        <v>0</v>
      </c>
      <c r="BM31" s="8"/>
      <c r="BV31" s="7"/>
    </row>
    <row r="32" spans="2:74" x14ac:dyDescent="0.2">
      <c r="I32" s="257" t="s">
        <v>540</v>
      </c>
      <c r="J32" s="313">
        <f>SUM(L5:L29)</f>
        <v>0</v>
      </c>
      <c r="BM32" s="8"/>
      <c r="BV32" s="7"/>
    </row>
    <row r="33" spans="2:14" ht="18" x14ac:dyDescent="0.2">
      <c r="B33" s="424" t="s">
        <v>552</v>
      </c>
      <c r="I33" s="419"/>
      <c r="K33" s="424" t="s">
        <v>553</v>
      </c>
    </row>
    <row r="34" spans="2:14" ht="9.9499999999999993" customHeight="1" x14ac:dyDescent="0.2">
      <c r="B34" s="413"/>
      <c r="I34" s="419"/>
      <c r="K34" s="413"/>
    </row>
    <row r="35" spans="2:14" x14ac:dyDescent="0.2">
      <c r="B35" s="9"/>
      <c r="C35" s="383" t="s">
        <v>554</v>
      </c>
      <c r="D35" s="420"/>
      <c r="I35" s="419"/>
      <c r="K35" s="431" t="s">
        <v>555</v>
      </c>
      <c r="L35" s="431"/>
      <c r="M35" s="432"/>
      <c r="N35" s="735"/>
    </row>
    <row r="36" spans="2:14" x14ac:dyDescent="0.2">
      <c r="B36" s="9"/>
      <c r="C36" s="383" t="s">
        <v>556</v>
      </c>
      <c r="D36" s="420"/>
      <c r="I36" s="419"/>
      <c r="K36" s="431" t="s">
        <v>557</v>
      </c>
      <c r="L36" s="431"/>
      <c r="M36" s="432"/>
      <c r="N36" s="433"/>
    </row>
    <row r="37" spans="2:14" x14ac:dyDescent="0.2">
      <c r="B37" s="9"/>
      <c r="C37" s="383" t="s">
        <v>558</v>
      </c>
      <c r="D37" s="421">
        <v>60</v>
      </c>
      <c r="I37" s="419"/>
      <c r="K37" s="9"/>
    </row>
    <row r="38" spans="2:14" ht="9.9499999999999993" customHeight="1" x14ac:dyDescent="0.2"/>
    <row r="39" spans="2:14" ht="22.5" x14ac:dyDescent="0.2">
      <c r="B39" s="317" t="s">
        <v>559</v>
      </c>
      <c r="C39" s="317" t="s">
        <v>510</v>
      </c>
      <c r="D39" s="317" t="s">
        <v>560</v>
      </c>
      <c r="E39" s="317" t="s">
        <v>561</v>
      </c>
      <c r="F39" s="317" t="s">
        <v>516</v>
      </c>
      <c r="K39" s="317" t="s">
        <v>559</v>
      </c>
      <c r="L39" s="317" t="s">
        <v>510</v>
      </c>
      <c r="M39" s="317" t="s">
        <v>562</v>
      </c>
      <c r="N39" s="317" t="s">
        <v>516</v>
      </c>
    </row>
    <row r="40" spans="2:14" ht="21" x14ac:dyDescent="0.2">
      <c r="B40" s="322" t="s">
        <v>559</v>
      </c>
      <c r="C40" s="322" t="s">
        <v>525</v>
      </c>
      <c r="D40" s="322" t="s">
        <v>563</v>
      </c>
      <c r="E40" s="322" t="s">
        <v>564</v>
      </c>
      <c r="F40" s="322" t="s">
        <v>530</v>
      </c>
      <c r="K40" s="322" t="s">
        <v>559</v>
      </c>
      <c r="L40" s="322" t="s">
        <v>525</v>
      </c>
      <c r="M40" s="322" t="s">
        <v>526</v>
      </c>
      <c r="N40" s="322" t="s">
        <v>530</v>
      </c>
    </row>
    <row r="41" spans="2:14" x14ac:dyDescent="0.2">
      <c r="B41" s="125"/>
      <c r="C41" s="247" t="s">
        <v>565</v>
      </c>
      <c r="D41" s="416"/>
      <c r="E41" s="440">
        <f>+D41*$D$36*$D$35/12</f>
        <v>0</v>
      </c>
      <c r="F41" s="436">
        <f>$D$35/12*$D$36*D41*$D$37</f>
        <v>0</v>
      </c>
      <c r="K41" s="125">
        <v>1</v>
      </c>
      <c r="L41" s="247"/>
      <c r="M41" s="416"/>
      <c r="N41" s="436">
        <f>IF(M41="",0,VLOOKUP(L41,'LISTAS DATOS'!$C$17:$F$67,IF('1.4. Investments &amp; Development'!M41='LISTAS DATOS'!$D$17,2,IF('1.4. Investments &amp; Development'!M41='LISTAS DATOS'!$E$17,3,4)),FALSE))</f>
        <v>0</v>
      </c>
    </row>
    <row r="42" spans="2:14" x14ac:dyDescent="0.2">
      <c r="B42" s="128"/>
      <c r="C42" s="249" t="s">
        <v>566</v>
      </c>
      <c r="D42" s="417"/>
      <c r="E42" s="440">
        <f t="shared" ref="E42:E60" si="3">+D42*$D$36*$D$35/12</f>
        <v>0</v>
      </c>
      <c r="F42" s="436">
        <f t="shared" ref="F42:F60" si="4">$D$35/12*$D$36*D42*$D$37</f>
        <v>0</v>
      </c>
      <c r="K42" s="128">
        <v>2</v>
      </c>
      <c r="L42" s="249"/>
      <c r="M42" s="417"/>
      <c r="N42" s="437">
        <f>IF(M42="",0,VLOOKUP(L42,'LISTAS DATOS'!$C$17:$F$67,IF('1.4. Investments &amp; Development'!M42='LISTAS DATOS'!$D$17,2,IF('1.4. Investments &amp; Development'!M42='LISTAS DATOS'!$E$17,3,4)),FALSE))</f>
        <v>0</v>
      </c>
    </row>
    <row r="43" spans="2:14" x14ac:dyDescent="0.2">
      <c r="B43" s="128"/>
      <c r="C43" s="249" t="s">
        <v>567</v>
      </c>
      <c r="D43" s="417"/>
      <c r="E43" s="440">
        <f t="shared" si="3"/>
        <v>0</v>
      </c>
      <c r="F43" s="436">
        <f t="shared" si="4"/>
        <v>0</v>
      </c>
      <c r="K43" s="128">
        <v>3</v>
      </c>
      <c r="L43" s="249"/>
      <c r="M43" s="417"/>
      <c r="N43" s="437">
        <f>IF(M43="",0,VLOOKUP(L43,'LISTAS DATOS'!$C$17:$F$67,IF('1.4. Investments &amp; Development'!M43='LISTAS DATOS'!$D$17,2,IF('1.4. Investments &amp; Development'!M43='LISTAS DATOS'!$E$17,3,4)),FALSE))</f>
        <v>0</v>
      </c>
    </row>
    <row r="44" spans="2:14" x14ac:dyDescent="0.2">
      <c r="B44" s="128"/>
      <c r="C44" s="249" t="s">
        <v>568</v>
      </c>
      <c r="D44" s="417"/>
      <c r="E44" s="440">
        <f t="shared" si="3"/>
        <v>0</v>
      </c>
      <c r="F44" s="436">
        <f t="shared" si="4"/>
        <v>0</v>
      </c>
      <c r="K44" s="128">
        <v>4</v>
      </c>
      <c r="L44" s="249"/>
      <c r="M44" s="417"/>
      <c r="N44" s="437">
        <f>IF(M44="",0,VLOOKUP(L44,'LISTAS DATOS'!$C$17:$F$67,IF('1.4. Investments &amp; Development'!M44='LISTAS DATOS'!$D$17,2,IF('1.4. Investments &amp; Development'!M44='LISTAS DATOS'!$E$17,3,4)),FALSE))</f>
        <v>0</v>
      </c>
    </row>
    <row r="45" spans="2:14" x14ac:dyDescent="0.2">
      <c r="B45" s="128"/>
      <c r="C45" s="249" t="s">
        <v>569</v>
      </c>
      <c r="D45" s="417"/>
      <c r="E45" s="440">
        <f t="shared" si="3"/>
        <v>0</v>
      </c>
      <c r="F45" s="436">
        <f t="shared" si="4"/>
        <v>0</v>
      </c>
      <c r="K45" s="128">
        <v>5</v>
      </c>
      <c r="L45" s="249"/>
      <c r="M45" s="417"/>
      <c r="N45" s="437">
        <f>IF(M45="",0,VLOOKUP(L45,'LISTAS DATOS'!$C$17:$F$67,IF('1.4. Investments &amp; Development'!M45='LISTAS DATOS'!$D$17,2,IF('1.4. Investments &amp; Development'!M45='LISTAS DATOS'!$E$17,3,4)),FALSE))</f>
        <v>0</v>
      </c>
    </row>
    <row r="46" spans="2:14" x14ac:dyDescent="0.2">
      <c r="B46" s="128"/>
      <c r="C46" s="249" t="s">
        <v>570</v>
      </c>
      <c r="D46" s="417"/>
      <c r="E46" s="440">
        <f t="shared" si="3"/>
        <v>0</v>
      </c>
      <c r="F46" s="436">
        <f t="shared" si="4"/>
        <v>0</v>
      </c>
      <c r="K46" s="128">
        <v>6</v>
      </c>
      <c r="L46" s="249"/>
      <c r="M46" s="417"/>
      <c r="N46" s="437">
        <f>IF(M46="",0,VLOOKUP(L46,'LISTAS DATOS'!$C$17:$F$67,IF('1.4. Investments &amp; Development'!M46='LISTAS DATOS'!$D$17,2,IF('1.4. Investments &amp; Development'!M46='LISTAS DATOS'!$E$17,3,4)),FALSE))</f>
        <v>0</v>
      </c>
    </row>
    <row r="47" spans="2:14" x14ac:dyDescent="0.2">
      <c r="B47" s="128"/>
      <c r="C47" s="249" t="s">
        <v>571</v>
      </c>
      <c r="D47" s="417"/>
      <c r="E47" s="440">
        <f t="shared" si="3"/>
        <v>0</v>
      </c>
      <c r="F47" s="436">
        <f t="shared" si="4"/>
        <v>0</v>
      </c>
      <c r="K47" s="128">
        <v>7</v>
      </c>
      <c r="L47" s="249"/>
      <c r="M47" s="417"/>
      <c r="N47" s="437">
        <f>IF(M47="",0,VLOOKUP(L47,'LISTAS DATOS'!$C$17:$F$67,IF('1.4. Investments &amp; Development'!M47='LISTAS DATOS'!$D$17,2,IF('1.4. Investments &amp; Development'!M47='LISTAS DATOS'!$E$17,3,4)),FALSE))</f>
        <v>0</v>
      </c>
    </row>
    <row r="48" spans="2:14" x14ac:dyDescent="0.2">
      <c r="B48" s="128"/>
      <c r="C48" s="249" t="s">
        <v>572</v>
      </c>
      <c r="D48" s="417"/>
      <c r="E48" s="440">
        <f t="shared" si="3"/>
        <v>0</v>
      </c>
      <c r="F48" s="436">
        <f t="shared" si="4"/>
        <v>0</v>
      </c>
      <c r="K48" s="128">
        <v>8</v>
      </c>
      <c r="L48" s="249"/>
      <c r="M48" s="417"/>
      <c r="N48" s="437">
        <f>IF(M48="",0,VLOOKUP(L48,'LISTAS DATOS'!$C$17:$F$67,IF('1.4. Investments &amp; Development'!M48='LISTAS DATOS'!$D$17,2,IF('1.4. Investments &amp; Development'!M48='LISTAS DATOS'!$E$17,3,4)),FALSE))</f>
        <v>0</v>
      </c>
    </row>
    <row r="49" spans="2:14" x14ac:dyDescent="0.2">
      <c r="B49" s="128"/>
      <c r="C49" s="249" t="s">
        <v>573</v>
      </c>
      <c r="D49" s="417"/>
      <c r="E49" s="440">
        <f t="shared" si="3"/>
        <v>0</v>
      </c>
      <c r="F49" s="436">
        <f t="shared" si="4"/>
        <v>0</v>
      </c>
      <c r="K49" s="128">
        <v>9</v>
      </c>
      <c r="L49" s="249"/>
      <c r="M49" s="417"/>
      <c r="N49" s="437">
        <f>IF(M49="",0,VLOOKUP(L49,'LISTAS DATOS'!$C$17:$F$67,IF('1.4. Investments &amp; Development'!M49='LISTAS DATOS'!$D$17,2,IF('1.4. Investments &amp; Development'!M49='LISTAS DATOS'!$E$17,3,4)),FALSE))</f>
        <v>0</v>
      </c>
    </row>
    <row r="50" spans="2:14" x14ac:dyDescent="0.2">
      <c r="B50" s="128"/>
      <c r="C50" s="249" t="s">
        <v>574</v>
      </c>
      <c r="D50" s="417"/>
      <c r="E50" s="440">
        <f t="shared" si="3"/>
        <v>0</v>
      </c>
      <c r="F50" s="436">
        <f t="shared" si="4"/>
        <v>0</v>
      </c>
      <c r="K50" s="128">
        <v>10</v>
      </c>
      <c r="L50" s="249"/>
      <c r="M50" s="417"/>
      <c r="N50" s="437">
        <f>IF(M50="",0,VLOOKUP(L50,'LISTAS DATOS'!$C$17:$F$67,IF('1.4. Investments &amp; Development'!M50='LISTAS DATOS'!$D$17,2,IF('1.4. Investments &amp; Development'!M50='LISTAS DATOS'!$E$17,3,4)),FALSE))</f>
        <v>0</v>
      </c>
    </row>
    <row r="51" spans="2:14" x14ac:dyDescent="0.2">
      <c r="B51" s="128"/>
      <c r="C51" s="249" t="s">
        <v>575</v>
      </c>
      <c r="D51" s="417"/>
      <c r="E51" s="440">
        <f t="shared" si="3"/>
        <v>0</v>
      </c>
      <c r="F51" s="436">
        <f t="shared" si="4"/>
        <v>0</v>
      </c>
      <c r="K51" s="128">
        <v>11</v>
      </c>
      <c r="L51" s="249"/>
      <c r="M51" s="417"/>
      <c r="N51" s="437">
        <f>IF(M51="",0,VLOOKUP(L51,'LISTAS DATOS'!$C$17:$F$67,IF('1.4. Investments &amp; Development'!M51='LISTAS DATOS'!$D$17,2,IF('1.4. Investments &amp; Development'!M51='LISTAS DATOS'!$E$17,3,4)),FALSE))</f>
        <v>0</v>
      </c>
    </row>
    <row r="52" spans="2:14" x14ac:dyDescent="0.2">
      <c r="B52" s="128"/>
      <c r="C52" s="249" t="s">
        <v>576</v>
      </c>
      <c r="D52" s="417"/>
      <c r="E52" s="440">
        <f t="shared" si="3"/>
        <v>0</v>
      </c>
      <c r="F52" s="436">
        <f t="shared" si="4"/>
        <v>0</v>
      </c>
      <c r="K52" s="128">
        <v>12</v>
      </c>
      <c r="L52" s="249"/>
      <c r="M52" s="417"/>
      <c r="N52" s="437">
        <f>IF(M52="",0,VLOOKUP(L52,'LISTAS DATOS'!$C$17:$F$67,IF('1.4. Investments &amp; Development'!M52='LISTAS DATOS'!$D$17,2,IF('1.4. Investments &amp; Development'!M52='LISTAS DATOS'!$E$17,3,4)),FALSE))</f>
        <v>0</v>
      </c>
    </row>
    <row r="53" spans="2:14" x14ac:dyDescent="0.2">
      <c r="B53" s="128"/>
      <c r="C53" s="249"/>
      <c r="D53" s="417"/>
      <c r="E53" s="440">
        <f t="shared" si="3"/>
        <v>0</v>
      </c>
      <c r="F53" s="436">
        <f t="shared" si="4"/>
        <v>0</v>
      </c>
      <c r="K53" s="128">
        <v>13</v>
      </c>
      <c r="L53" s="249"/>
      <c r="M53" s="417"/>
      <c r="N53" s="437">
        <f>IF(M53="",0,VLOOKUP(L53,'LISTAS DATOS'!$C$17:$F$67,IF('1.4. Investments &amp; Development'!M53='LISTAS DATOS'!$D$17,2,IF('1.4. Investments &amp; Development'!M53='LISTAS DATOS'!$E$17,3,4)),FALSE))</f>
        <v>0</v>
      </c>
    </row>
    <row r="54" spans="2:14" x14ac:dyDescent="0.2">
      <c r="B54" s="128"/>
      <c r="C54" s="249"/>
      <c r="D54" s="417"/>
      <c r="E54" s="440">
        <f t="shared" si="3"/>
        <v>0</v>
      </c>
      <c r="F54" s="436">
        <f t="shared" si="4"/>
        <v>0</v>
      </c>
      <c r="K54" s="128">
        <v>14</v>
      </c>
      <c r="L54" s="249"/>
      <c r="M54" s="417"/>
      <c r="N54" s="437">
        <f>IF(M54="",0,VLOOKUP(L54,'LISTAS DATOS'!$C$17:$F$67,IF('1.4. Investments &amp; Development'!M54='LISTAS DATOS'!$D$17,2,IF('1.4. Investments &amp; Development'!M54='LISTAS DATOS'!$E$17,3,4)),FALSE))</f>
        <v>0</v>
      </c>
    </row>
    <row r="55" spans="2:14" x14ac:dyDescent="0.2">
      <c r="B55" s="128"/>
      <c r="C55" s="249"/>
      <c r="D55" s="417"/>
      <c r="E55" s="440">
        <f t="shared" si="3"/>
        <v>0</v>
      </c>
      <c r="F55" s="436">
        <f t="shared" si="4"/>
        <v>0</v>
      </c>
      <c r="K55" s="128">
        <v>15</v>
      </c>
      <c r="L55" s="249"/>
      <c r="M55" s="417"/>
      <c r="N55" s="437">
        <f>IF(M55="",0,VLOOKUP(L55,'LISTAS DATOS'!$C$17:$F$67,IF('1.4. Investments &amp; Development'!M55='LISTAS DATOS'!$D$17,2,IF('1.4. Investments &amp; Development'!M55='LISTAS DATOS'!$E$17,3,4)),FALSE))</f>
        <v>0</v>
      </c>
    </row>
    <row r="56" spans="2:14" x14ac:dyDescent="0.2">
      <c r="B56" s="128"/>
      <c r="C56" s="249"/>
      <c r="D56" s="417"/>
      <c r="E56" s="440">
        <f t="shared" si="3"/>
        <v>0</v>
      </c>
      <c r="F56" s="436">
        <f t="shared" si="4"/>
        <v>0</v>
      </c>
      <c r="K56" s="128">
        <v>16</v>
      </c>
      <c r="L56" s="249"/>
      <c r="M56" s="417"/>
      <c r="N56" s="437">
        <f>IF(M56="",0,VLOOKUP(L56,'LISTAS DATOS'!$C$17:$F$67,IF('1.4. Investments &amp; Development'!M56='LISTAS DATOS'!$D$17,2,IF('1.4. Investments &amp; Development'!M56='LISTAS DATOS'!$E$17,3,4)),FALSE))</f>
        <v>0</v>
      </c>
    </row>
    <row r="57" spans="2:14" x14ac:dyDescent="0.2">
      <c r="B57" s="128"/>
      <c r="C57" s="249"/>
      <c r="D57" s="417"/>
      <c r="E57" s="440">
        <f t="shared" si="3"/>
        <v>0</v>
      </c>
      <c r="F57" s="436">
        <f t="shared" si="4"/>
        <v>0</v>
      </c>
      <c r="K57" s="128">
        <v>17</v>
      </c>
      <c r="L57" s="249"/>
      <c r="M57" s="417"/>
      <c r="N57" s="437">
        <f>IF(M57="",0,VLOOKUP(L57,'LISTAS DATOS'!$C$17:$F$67,IF('1.4. Investments &amp; Development'!M57='LISTAS DATOS'!$D$17,2,IF('1.4. Investments &amp; Development'!M57='LISTAS DATOS'!$E$17,3,4)),FALSE))</f>
        <v>0</v>
      </c>
    </row>
    <row r="58" spans="2:14" x14ac:dyDescent="0.2">
      <c r="B58" s="128"/>
      <c r="C58" s="249"/>
      <c r="D58" s="417"/>
      <c r="E58" s="440">
        <f t="shared" si="3"/>
        <v>0</v>
      </c>
      <c r="F58" s="436">
        <f t="shared" si="4"/>
        <v>0</v>
      </c>
      <c r="K58" s="128">
        <v>18</v>
      </c>
      <c r="L58" s="249"/>
      <c r="M58" s="417"/>
      <c r="N58" s="437">
        <f>IF(M58="",0,VLOOKUP(L58,'LISTAS DATOS'!$C$17:$F$67,IF('1.4. Investments &amp; Development'!M58='LISTAS DATOS'!$D$17,2,IF('1.4. Investments &amp; Development'!M58='LISTAS DATOS'!$E$17,3,4)),FALSE))</f>
        <v>0</v>
      </c>
    </row>
    <row r="59" spans="2:14" x14ac:dyDescent="0.2">
      <c r="B59" s="128"/>
      <c r="C59" s="249"/>
      <c r="D59" s="417"/>
      <c r="E59" s="440">
        <f t="shared" si="3"/>
        <v>0</v>
      </c>
      <c r="F59" s="436">
        <f t="shared" si="4"/>
        <v>0</v>
      </c>
      <c r="K59" s="128">
        <v>19</v>
      </c>
      <c r="L59" s="249"/>
      <c r="M59" s="417"/>
      <c r="N59" s="437">
        <f>IF(M59="",0,VLOOKUP(L59,'LISTAS DATOS'!$C$17:$F$67,IF('1.4. Investments &amp; Development'!M59='LISTAS DATOS'!$D$17,2,IF('1.4. Investments &amp; Development'!M59='LISTAS DATOS'!$E$17,3,4)),FALSE))</f>
        <v>0</v>
      </c>
    </row>
    <row r="60" spans="2:14" x14ac:dyDescent="0.2">
      <c r="B60" s="133"/>
      <c r="C60" s="254"/>
      <c r="D60" s="418"/>
      <c r="E60" s="440">
        <f t="shared" si="3"/>
        <v>0</v>
      </c>
      <c r="F60" s="436">
        <f t="shared" si="4"/>
        <v>0</v>
      </c>
      <c r="K60" s="128">
        <v>20</v>
      </c>
      <c r="L60" s="249"/>
      <c r="M60" s="417"/>
      <c r="N60" s="437">
        <f>IF(M60="",0,VLOOKUP(L60,'LISTAS DATOS'!$C$17:$F$67,IF('1.4. Investments &amp; Development'!M60='LISTAS DATOS'!$D$17,2,IF('1.4. Investments &amp; Development'!M60='LISTAS DATOS'!$E$17,3,4)),FALSE))</f>
        <v>0</v>
      </c>
    </row>
    <row r="61" spans="2:14" x14ac:dyDescent="0.2">
      <c r="B61" s="69"/>
      <c r="C61" s="414" t="s">
        <v>549</v>
      </c>
      <c r="D61" s="422">
        <f>+SUM(D41:D60)</f>
        <v>0</v>
      </c>
      <c r="E61" s="423">
        <f>+SUM(E41:E60)</f>
        <v>0</v>
      </c>
      <c r="F61" s="313">
        <f>SUM(F41:F60)</f>
        <v>0</v>
      </c>
      <c r="G61" s="194" t="s">
        <v>577</v>
      </c>
      <c r="K61" s="128">
        <v>21</v>
      </c>
      <c r="L61" s="249"/>
      <c r="M61" s="417"/>
      <c r="N61" s="437">
        <f>IF(M61="",0,VLOOKUP(L61,'LISTAS DATOS'!$C$17:$F$67,IF('1.4. Investments &amp; Development'!M61='LISTAS DATOS'!$D$17,2,IF('1.4. Investments &amp; Development'!M61='LISTAS DATOS'!$E$17,3,4)),FALSE))</f>
        <v>0</v>
      </c>
    </row>
    <row r="62" spans="2:14" x14ac:dyDescent="0.2">
      <c r="B62" s="9"/>
      <c r="K62" s="128">
        <v>22</v>
      </c>
      <c r="L62" s="249"/>
      <c r="M62" s="417"/>
      <c r="N62" s="437">
        <f>IF(M62="",0,VLOOKUP(L62,'LISTAS DATOS'!$C$17:$F$67,IF('1.4. Investments &amp; Development'!M62='LISTAS DATOS'!$D$17,2,IF('1.4. Investments &amp; Development'!M62='LISTAS DATOS'!$E$17,3,4)),FALSE))</f>
        <v>0</v>
      </c>
    </row>
    <row r="63" spans="2:14" x14ac:dyDescent="0.2">
      <c r="B63" s="467" t="s">
        <v>578</v>
      </c>
      <c r="C63" s="445"/>
      <c r="D63" s="445"/>
      <c r="E63" s="445"/>
      <c r="F63" s="441"/>
      <c r="K63" s="128">
        <v>23</v>
      </c>
      <c r="L63" s="249"/>
      <c r="M63" s="417"/>
      <c r="N63" s="437">
        <f>IF(M63="",0,VLOOKUP(L63,'LISTAS DATOS'!$C$17:$F$67,IF('1.4. Investments &amp; Development'!M63='LISTAS DATOS'!$D$17,2,IF('1.4. Investments &amp; Development'!M63='LISTAS DATOS'!$E$17,3,4)),FALSE))</f>
        <v>0</v>
      </c>
    </row>
    <row r="64" spans="2:14" x14ac:dyDescent="0.2">
      <c r="B64" s="468"/>
      <c r="C64" s="447"/>
      <c r="F64" s="443"/>
      <c r="K64" s="128">
        <v>24</v>
      </c>
      <c r="L64" s="249"/>
      <c r="M64" s="417"/>
      <c r="N64" s="437">
        <f>IF(M64="",0,VLOOKUP(L64,'LISTAS DATOS'!$C$17:$F$67,IF('1.4. Investments &amp; Development'!M64='LISTAS DATOS'!$D$17,2,IF('1.4. Investments &amp; Development'!M64='LISTAS DATOS'!$E$17,3,4)),FALSE))</f>
        <v>0</v>
      </c>
    </row>
    <row r="65" spans="2:14" x14ac:dyDescent="0.2">
      <c r="B65" s="468"/>
      <c r="F65" s="443"/>
      <c r="K65" s="128">
        <v>25</v>
      </c>
      <c r="L65" s="249"/>
      <c r="M65" s="417"/>
      <c r="N65" s="437">
        <f>IF(M65="",0,VLOOKUP(L65,'LISTAS DATOS'!$C$17:$F$67,IF('1.4. Investments &amp; Development'!M65='LISTAS DATOS'!$D$17,2,IF('1.4. Investments &amp; Development'!M65='LISTAS DATOS'!$E$17,3,4)),FALSE))</f>
        <v>0</v>
      </c>
    </row>
    <row r="66" spans="2:14" x14ac:dyDescent="0.2">
      <c r="B66" s="468"/>
      <c r="F66" s="443"/>
      <c r="K66" s="128">
        <v>26</v>
      </c>
      <c r="L66" s="249"/>
      <c r="M66" s="417"/>
      <c r="N66" s="437">
        <f>IF(M66="",0,VLOOKUP(L66,'LISTAS DATOS'!$C$17:$F$67,IF('1.4. Investments &amp; Development'!M66='LISTAS DATOS'!$D$17,2,IF('1.4. Investments &amp; Development'!M66='LISTAS DATOS'!$E$17,3,4)),FALSE))</f>
        <v>0</v>
      </c>
    </row>
    <row r="67" spans="2:14" x14ac:dyDescent="0.2">
      <c r="B67" s="468"/>
      <c r="F67" s="443"/>
      <c r="K67" s="128">
        <v>27</v>
      </c>
      <c r="L67" s="249"/>
      <c r="M67" s="417"/>
      <c r="N67" s="437">
        <f>IF(M67="",0,VLOOKUP(L67,'LISTAS DATOS'!$C$17:$F$67,IF('1.4. Investments &amp; Development'!M67='LISTAS DATOS'!$D$17,2,IF('1.4. Investments &amp; Development'!M67='LISTAS DATOS'!$E$17,3,4)),FALSE))</f>
        <v>0</v>
      </c>
    </row>
    <row r="68" spans="2:14" x14ac:dyDescent="0.2">
      <c r="B68" s="468"/>
      <c r="F68" s="443"/>
      <c r="K68" s="128">
        <v>28</v>
      </c>
      <c r="L68" s="249"/>
      <c r="M68" s="417"/>
      <c r="N68" s="437">
        <f>IF(M68="",0,VLOOKUP(L68,'LISTAS DATOS'!$C$17:$F$67,IF('1.4. Investments &amp; Development'!M68='LISTAS DATOS'!$D$17,2,IF('1.4. Investments &amp; Development'!M68='LISTAS DATOS'!$E$17,3,4)),FALSE))</f>
        <v>0</v>
      </c>
    </row>
    <row r="69" spans="2:14" x14ac:dyDescent="0.2">
      <c r="B69" s="469"/>
      <c r="C69" s="446"/>
      <c r="D69" s="446"/>
      <c r="E69" s="446"/>
      <c r="F69" s="444"/>
      <c r="K69" s="128">
        <v>29</v>
      </c>
      <c r="L69" s="249"/>
      <c r="M69" s="417"/>
      <c r="N69" s="437">
        <f>IF(M69="",0,VLOOKUP(L69,'LISTAS DATOS'!$C$17:$F$67,IF('1.4. Investments &amp; Development'!M69='LISTAS DATOS'!$D$17,2,IF('1.4. Investments &amp; Development'!M69='LISTAS DATOS'!$E$17,3,4)),FALSE))</f>
        <v>0</v>
      </c>
    </row>
    <row r="70" spans="2:14" x14ac:dyDescent="0.2">
      <c r="K70" s="128">
        <v>30</v>
      </c>
      <c r="L70" s="249"/>
      <c r="M70" s="417"/>
      <c r="N70" s="437">
        <f>IF(M70="",0,VLOOKUP(L70,'LISTAS DATOS'!$C$17:$F$67,IF('1.4. Investments &amp; Development'!M70='LISTAS DATOS'!$D$17,2,IF('1.4. Investments &amp; Development'!M70='LISTAS DATOS'!$E$17,3,4)),FALSE))</f>
        <v>0</v>
      </c>
    </row>
    <row r="71" spans="2:14" x14ac:dyDescent="0.2">
      <c r="K71" s="128">
        <v>31</v>
      </c>
      <c r="L71" s="249"/>
      <c r="M71" s="417"/>
      <c r="N71" s="437">
        <f>IF(M71="",0,VLOOKUP(L71,'LISTAS DATOS'!$C$17:$F$67,IF('1.4. Investments &amp; Development'!M71='LISTAS DATOS'!$D$17,2,IF('1.4. Investments &amp; Development'!M71='LISTAS DATOS'!$E$17,3,4)),FALSE))</f>
        <v>0</v>
      </c>
    </row>
    <row r="72" spans="2:14" x14ac:dyDescent="0.2">
      <c r="K72" s="128">
        <v>32</v>
      </c>
      <c r="L72" s="249"/>
      <c r="M72" s="417"/>
      <c r="N72" s="437">
        <f>IF(M72="",0,VLOOKUP(L72,'LISTAS DATOS'!$C$17:$F$67,IF('1.4. Investments &amp; Development'!M72='LISTAS DATOS'!$D$17,2,IF('1.4. Investments &amp; Development'!M72='LISTAS DATOS'!$E$17,3,4)),FALSE))</f>
        <v>0</v>
      </c>
    </row>
    <row r="73" spans="2:14" x14ac:dyDescent="0.2">
      <c r="K73" s="128">
        <v>33</v>
      </c>
      <c r="L73" s="249"/>
      <c r="M73" s="417"/>
      <c r="N73" s="437">
        <f>IF(M73="",0,VLOOKUP(L73,'LISTAS DATOS'!$C$17:$F$67,IF('1.4. Investments &amp; Development'!M73='LISTAS DATOS'!$D$17,2,IF('1.4. Investments &amp; Development'!M73='LISTAS DATOS'!$E$17,3,4)),FALSE))</f>
        <v>0</v>
      </c>
    </row>
    <row r="74" spans="2:14" x14ac:dyDescent="0.2">
      <c r="K74" s="128">
        <v>34</v>
      </c>
      <c r="L74" s="249"/>
      <c r="M74" s="417"/>
      <c r="N74" s="437">
        <f>IF(M74="",0,VLOOKUP(L74,'LISTAS DATOS'!$C$17:$F$67,IF('1.4. Investments &amp; Development'!M74='LISTAS DATOS'!$D$17,2,IF('1.4. Investments &amp; Development'!M74='LISTAS DATOS'!$E$17,3,4)),FALSE))</f>
        <v>0</v>
      </c>
    </row>
    <row r="75" spans="2:14" x14ac:dyDescent="0.2">
      <c r="K75" s="128">
        <v>35</v>
      </c>
      <c r="L75" s="249"/>
      <c r="M75" s="417"/>
      <c r="N75" s="437">
        <f>IF(M75="",0,VLOOKUP(L75,'LISTAS DATOS'!$C$17:$F$67,IF('1.4. Investments &amp; Development'!M75='LISTAS DATOS'!$D$17,2,IF('1.4. Investments &amp; Development'!M75='LISTAS DATOS'!$E$17,3,4)),FALSE))</f>
        <v>0</v>
      </c>
    </row>
    <row r="76" spans="2:14" x14ac:dyDescent="0.2">
      <c r="K76" s="128">
        <v>36</v>
      </c>
      <c r="L76" s="249"/>
      <c r="M76" s="417"/>
      <c r="N76" s="437">
        <f>IF(M76="",0,VLOOKUP(L76,'LISTAS DATOS'!$C$17:$F$67,IF('1.4. Investments &amp; Development'!M76='LISTAS DATOS'!$D$17,2,IF('1.4. Investments &amp; Development'!M76='LISTAS DATOS'!$E$17,3,4)),FALSE))</f>
        <v>0</v>
      </c>
    </row>
    <row r="77" spans="2:14" x14ac:dyDescent="0.2">
      <c r="K77" s="128">
        <v>37</v>
      </c>
      <c r="L77" s="249"/>
      <c r="M77" s="417"/>
      <c r="N77" s="437">
        <f>IF(M77="",0,VLOOKUP(L77,'LISTAS DATOS'!$C$17:$F$67,IF('1.4. Investments &amp; Development'!M77='LISTAS DATOS'!$D$17,2,IF('1.4. Investments &amp; Development'!M77='LISTAS DATOS'!$E$17,3,4)),FALSE))</f>
        <v>0</v>
      </c>
    </row>
    <row r="78" spans="2:14" x14ac:dyDescent="0.2">
      <c r="K78" s="128">
        <v>38</v>
      </c>
      <c r="L78" s="249"/>
      <c r="M78" s="417"/>
      <c r="N78" s="437">
        <f>IF(M78="",0,VLOOKUP(L78,'LISTAS DATOS'!$C$17:$F$67,IF('1.4. Investments &amp; Development'!M78='LISTAS DATOS'!$D$17,2,IF('1.4. Investments &amp; Development'!M78='LISTAS DATOS'!$E$17,3,4)),FALSE))</f>
        <v>0</v>
      </c>
    </row>
    <row r="79" spans="2:14" x14ac:dyDescent="0.2">
      <c r="K79" s="128">
        <v>39</v>
      </c>
      <c r="L79" s="249"/>
      <c r="M79" s="417"/>
      <c r="N79" s="437">
        <f>IF(M79="",0,VLOOKUP(L79,'LISTAS DATOS'!$C$17:$F$67,IF('1.4. Investments &amp; Development'!M79='LISTAS DATOS'!$D$17,2,IF('1.4. Investments &amp; Development'!M79='LISTAS DATOS'!$E$17,3,4)),FALSE))</f>
        <v>0</v>
      </c>
    </row>
    <row r="80" spans="2:14" x14ac:dyDescent="0.2">
      <c r="K80" s="128">
        <v>40</v>
      </c>
      <c r="L80" s="249"/>
      <c r="M80" s="417"/>
      <c r="N80" s="437">
        <f>IF(M80="",0,VLOOKUP(L80,'LISTAS DATOS'!$C$17:$F$67,IF('1.4. Investments &amp; Development'!M80='LISTAS DATOS'!$D$17,2,IF('1.4. Investments &amp; Development'!M80='LISTAS DATOS'!$E$17,3,4)),FALSE))</f>
        <v>0</v>
      </c>
    </row>
    <row r="81" spans="11:17" x14ac:dyDescent="0.2">
      <c r="K81" s="133">
        <v>41</v>
      </c>
      <c r="L81" s="254"/>
      <c r="M81" s="418"/>
      <c r="N81" s="438">
        <f>IF(M81="",0,VLOOKUP(L81,'LISTAS DATOS'!$C$17:$F$67,IF('1.4. Investments &amp; Development'!M81='LISTAS DATOS'!$D$17,2,IF('1.4. Investments &amp; Development'!M81='LISTAS DATOS'!$E$17,3,4)),FALSE))</f>
        <v>0</v>
      </c>
    </row>
    <row r="82" spans="11:17" x14ac:dyDescent="0.2">
      <c r="M82" s="414" t="str">
        <f>+'LISTAS DATOS'!A81</f>
        <v>Internal</v>
      </c>
      <c r="N82" s="439">
        <f>+SUMIF(M41:M81,'LISTAS DATOS'!A81,N41:N81)</f>
        <v>0</v>
      </c>
      <c r="O82" s="194" t="s">
        <v>579</v>
      </c>
    </row>
    <row r="83" spans="11:17" x14ac:dyDescent="0.2">
      <c r="M83" s="414" t="str">
        <f>+'LISTAS DATOS'!A82</f>
        <v>Outsourced</v>
      </c>
      <c r="N83" s="439">
        <f>+SUMIF(M41:M81,'LISTAS DATOS'!A82,N41:N81)</f>
        <v>0</v>
      </c>
      <c r="O83" s="194" t="s">
        <v>580</v>
      </c>
    </row>
    <row r="84" spans="11:17" x14ac:dyDescent="0.2">
      <c r="M84" s="414" t="str">
        <f>+'LISTAS DATOS'!A83</f>
        <v>Customer</v>
      </c>
      <c r="N84" s="439">
        <f>+N85-N82-N83</f>
        <v>0</v>
      </c>
      <c r="O84" s="194" t="s">
        <v>580</v>
      </c>
    </row>
    <row r="85" spans="11:17" x14ac:dyDescent="0.2">
      <c r="M85" s="435" t="s">
        <v>549</v>
      </c>
      <c r="N85" s="415">
        <f>SUM(N41:N81)</f>
        <v>0</v>
      </c>
      <c r="O85" s="194"/>
    </row>
    <row r="88" spans="11:17" x14ac:dyDescent="0.2">
      <c r="K88" s="467" t="s">
        <v>578</v>
      </c>
      <c r="L88" s="445"/>
      <c r="M88" s="445"/>
      <c r="N88" s="445"/>
      <c r="O88" s="445"/>
      <c r="P88" s="441"/>
    </row>
    <row r="89" spans="11:17" x14ac:dyDescent="0.2">
      <c r="K89" s="468" t="s">
        <v>581</v>
      </c>
      <c r="L89" s="447"/>
      <c r="P89" s="443"/>
    </row>
    <row r="90" spans="11:17" x14ac:dyDescent="0.2">
      <c r="K90" s="468"/>
      <c r="P90" s="443"/>
    </row>
    <row r="91" spans="11:17" x14ac:dyDescent="0.2">
      <c r="K91" s="468"/>
      <c r="P91" s="443"/>
    </row>
    <row r="92" spans="11:17" x14ac:dyDescent="0.2">
      <c r="K92" s="468"/>
      <c r="P92" s="443"/>
    </row>
    <row r="93" spans="11:17" x14ac:dyDescent="0.2">
      <c r="K93" s="468"/>
      <c r="P93" s="443"/>
    </row>
    <row r="94" spans="11:17" x14ac:dyDescent="0.2">
      <c r="K94" s="469"/>
      <c r="L94" s="446"/>
      <c r="M94" s="446"/>
      <c r="N94" s="446"/>
      <c r="O94" s="446"/>
      <c r="P94" s="444"/>
      <c r="Q94" s="442"/>
    </row>
    <row r="97" spans="2:2" x14ac:dyDescent="0.2">
      <c r="B97" s="194" t="str">
        <f>+Help!B134</f>
        <v>IF-334 (27/05/2025)</v>
      </c>
    </row>
  </sheetData>
  <dataValidations count="2">
    <dataValidation type="list" allowBlank="1" showInputMessage="1" showErrorMessage="1" sqref="N5:N29" xr:uid="{00000000-0002-0000-0200-000000000000}">
      <formula1>TIPO_amort</formula1>
    </dataValidation>
    <dataValidation type="list" allowBlank="1" showInputMessage="1" showErrorMessage="1" sqref="K5:K29" xr:uid="{00000000-0002-0000-0200-000001000000}">
      <formula1>"CLIENTE,FAE"</formula1>
    </dataValidation>
  </dataValidations>
  <printOptions horizontalCentered="1"/>
  <pageMargins left="0.70866141732283472" right="0.70866141732283472" top="0.74803149606299213" bottom="0.74803149606299213" header="0.31496062992125984" footer="0.31496062992125984"/>
  <pageSetup paperSize="8" scale="80" fitToHeight="0" orientation="landscape" r:id="rId1"/>
  <headerFooter alignWithMargins="0">
    <oddFooter>Página &amp;P&amp;R&amp;F</oddFooter>
  </headerFooter>
  <colBreaks count="1" manualBreakCount="1">
    <brk id="27" max="1048575" man="1"/>
  </colBreaks>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510B7363-FB61-4DE5-994D-1867E56C95F6}">
          <x14:formula1>
            <xm:f>'1.2. Working plan'!$B$6:$B$38</xm:f>
          </x14:formula1>
          <xm:sqref>B5:B29</xm:sqref>
        </x14:dataValidation>
        <x14:dataValidation type="list" allowBlank="1" showInputMessage="1" showErrorMessage="1" xr:uid="{12C1DC1E-8031-4471-BF36-E88DA16BB135}">
          <x14:formula1>
            <xm:f>'LISTAS DATOS'!$A$24:$A$26</xm:f>
          </x14:formula1>
          <xm:sqref>F15:F29</xm:sqref>
        </x14:dataValidation>
        <x14:dataValidation type="list" allowBlank="1" showInputMessage="1" showErrorMessage="1" xr:uid="{461D0F4A-B6D1-408E-81DC-09BD40F3935A}">
          <x14:formula1>
            <xm:f>'LISTAS DATOS'!$A$68:$A$78</xm:f>
          </x14:formula1>
          <xm:sqref>D15:D29</xm:sqref>
        </x14:dataValidation>
        <x14:dataValidation type="list" allowBlank="1" showInputMessage="1" showErrorMessage="1" xr:uid="{F5AFACD9-1F29-4C36-9CCB-4F85DBC88E34}">
          <x14:formula1>
            <xm:f>'LISTAS DATOS'!$A$81:$A$83</xm:f>
          </x14:formula1>
          <xm:sqref>M41:M81</xm:sqref>
        </x14:dataValidation>
        <x14:dataValidation type="list" allowBlank="1" showInputMessage="1" showErrorMessage="1" xr:uid="{D971D427-7361-4DD7-9EEF-43FFAFBC9843}">
          <x14:formula1>
            <xm:f>'LISTAS DATOS'!$C$18:$C$67</xm:f>
          </x14:formula1>
          <xm:sqref>L41:L81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B61E2-189B-40A2-8738-70B6CA74C442}">
  <sheetPr codeName="Hoja8">
    <tabColor theme="8" tint="-0.499984740745262"/>
    <pageSetUpPr fitToPage="1"/>
  </sheetPr>
  <dimension ref="B2:X263"/>
  <sheetViews>
    <sheetView showGridLines="0" showZeros="0" showRuler="0" showOutlineSymbols="0" zoomScale="120" zoomScaleNormal="120" zoomScaleSheetLayoutView="150" workbookViewId="0">
      <selection activeCell="K43" sqref="K43"/>
    </sheetView>
  </sheetViews>
  <sheetFormatPr baseColWidth="10" defaultColWidth="11.42578125" defaultRowHeight="14.25" x14ac:dyDescent="0.2"/>
  <cols>
    <col min="1" max="1" width="3.28515625" style="1" customWidth="1"/>
    <col min="2" max="2" width="20.7109375" style="1" customWidth="1"/>
    <col min="3" max="4" width="8.7109375" style="1" customWidth="1"/>
    <col min="5" max="5" width="8.7109375" style="2" customWidth="1"/>
    <col min="6" max="6" width="8.7109375" style="3" customWidth="1"/>
    <col min="7" max="8" width="8.7109375" style="2" customWidth="1"/>
    <col min="9" max="9" width="8.7109375" style="3" customWidth="1"/>
    <col min="10" max="10" width="8.7109375" style="2" customWidth="1"/>
    <col min="11" max="11" width="8.7109375" style="3" customWidth="1"/>
    <col min="12" max="17" width="8.7109375" style="1" customWidth="1"/>
    <col min="18" max="21" width="11.5703125" style="1" bestFit="1" customWidth="1"/>
    <col min="22" max="16384" width="11.42578125" style="1"/>
  </cols>
  <sheetData>
    <row r="2" spans="2:17" ht="54" customHeight="1" x14ac:dyDescent="0.2">
      <c r="B2" s="472"/>
      <c r="C2" s="473" t="s">
        <v>582</v>
      </c>
      <c r="D2" s="474"/>
      <c r="E2" s="476"/>
      <c r="F2" s="475"/>
      <c r="G2" s="476"/>
      <c r="H2" s="476"/>
      <c r="I2" s="475"/>
      <c r="J2" s="476"/>
      <c r="K2" s="475"/>
      <c r="L2" s="474"/>
      <c r="M2" s="474"/>
      <c r="N2" s="474"/>
      <c r="O2" s="474"/>
      <c r="P2" s="474"/>
      <c r="Q2" s="477"/>
    </row>
    <row r="4" spans="2:17" ht="15.75" x14ac:dyDescent="0.2">
      <c r="B4" s="488" t="s">
        <v>583</v>
      </c>
      <c r="C4" s="478"/>
      <c r="D4" s="478"/>
      <c r="E4" s="478"/>
      <c r="F4" s="478"/>
      <c r="G4" s="478"/>
      <c r="H4" s="478"/>
      <c r="I4" s="478"/>
      <c r="J4" s="478"/>
      <c r="K4" s="478"/>
      <c r="L4" s="478"/>
      <c r="M4" s="478"/>
      <c r="N4" s="478"/>
      <c r="O4" s="478"/>
      <c r="P4" s="478"/>
      <c r="Q4" s="479"/>
    </row>
    <row r="6" spans="2:17" x14ac:dyDescent="0.2">
      <c r="B6" s="383" t="s">
        <v>584</v>
      </c>
      <c r="C6" s="69"/>
      <c r="D6" s="519" t="s">
        <v>585</v>
      </c>
      <c r="E6" s="519"/>
      <c r="F6" s="519"/>
      <c r="G6" s="519"/>
      <c r="H6" s="519"/>
      <c r="I6" s="519"/>
      <c r="J6" s="519"/>
      <c r="K6" s="519" t="s">
        <v>586</v>
      </c>
      <c r="L6" s="519"/>
      <c r="M6" s="519"/>
      <c r="N6" s="519"/>
      <c r="O6" s="519"/>
      <c r="P6" s="519"/>
      <c r="Q6" s="519"/>
    </row>
    <row r="7" spans="2:17" x14ac:dyDescent="0.2">
      <c r="B7" s="471"/>
      <c r="C7" s="69"/>
      <c r="D7" s="518" t="s">
        <v>587</v>
      </c>
      <c r="E7" s="517"/>
      <c r="F7" s="345"/>
      <c r="G7" s="503"/>
      <c r="H7" s="502"/>
      <c r="I7" s="502"/>
      <c r="J7" s="520"/>
      <c r="K7" s="518" t="s">
        <v>587</v>
      </c>
      <c r="L7" s="517"/>
      <c r="M7" s="345"/>
      <c r="N7" s="503"/>
      <c r="O7" s="502"/>
      <c r="P7" s="502"/>
      <c r="Q7" s="520"/>
    </row>
    <row r="8" spans="2:17" x14ac:dyDescent="0.2">
      <c r="B8" s="383" t="s">
        <v>588</v>
      </c>
      <c r="C8" s="69"/>
      <c r="D8" s="518" t="s">
        <v>589</v>
      </c>
      <c r="E8" s="517"/>
      <c r="F8" s="345"/>
      <c r="G8" s="503"/>
      <c r="H8" s="502"/>
      <c r="I8" s="502"/>
      <c r="J8" s="520"/>
      <c r="K8" s="518" t="s">
        <v>589</v>
      </c>
      <c r="L8" s="517"/>
      <c r="M8" s="345"/>
      <c r="N8" s="503"/>
      <c r="O8" s="502"/>
      <c r="P8" s="502"/>
      <c r="Q8" s="520"/>
    </row>
    <row r="9" spans="2:17" x14ac:dyDescent="0.2">
      <c r="B9" s="471"/>
      <c r="C9" s="69"/>
      <c r="D9" s="518" t="s">
        <v>590</v>
      </c>
      <c r="E9" s="517"/>
      <c r="F9" s="345"/>
      <c r="G9" s="503"/>
      <c r="H9" s="502"/>
      <c r="I9" s="502"/>
      <c r="J9" s="520"/>
      <c r="K9" s="518" t="s">
        <v>590</v>
      </c>
      <c r="L9" s="517"/>
      <c r="M9" s="345"/>
      <c r="N9" s="503"/>
      <c r="O9" s="502"/>
      <c r="P9" s="502"/>
      <c r="Q9" s="520"/>
    </row>
    <row r="10" spans="2:17" x14ac:dyDescent="0.2">
      <c r="B10" s="383" t="s">
        <v>309</v>
      </c>
      <c r="C10" s="69"/>
      <c r="D10" s="518" t="s">
        <v>591</v>
      </c>
      <c r="E10" s="517"/>
      <c r="F10" s="345"/>
      <c r="G10" s="503"/>
      <c r="H10" s="502"/>
      <c r="I10" s="502"/>
      <c r="J10" s="520"/>
      <c r="K10" s="518" t="s">
        <v>591</v>
      </c>
      <c r="L10" s="517"/>
      <c r="M10" s="345"/>
      <c r="N10" s="503"/>
      <c r="O10" s="502"/>
      <c r="P10" s="502"/>
      <c r="Q10" s="520"/>
    </row>
    <row r="11" spans="2:17" x14ac:dyDescent="0.2">
      <c r="B11" s="521"/>
      <c r="C11" s="69"/>
      <c r="D11" s="518" t="s">
        <v>592</v>
      </c>
      <c r="E11" s="517"/>
      <c r="F11" s="522"/>
      <c r="G11" s="503"/>
      <c r="H11" s="502"/>
      <c r="I11" s="502"/>
      <c r="J11" s="520"/>
      <c r="K11" s="518" t="s">
        <v>592</v>
      </c>
      <c r="L11" s="517"/>
      <c r="M11" s="522"/>
      <c r="N11" s="503"/>
      <c r="O11" s="502"/>
      <c r="P11" s="502"/>
      <c r="Q11" s="520"/>
    </row>
    <row r="13" spans="2:17" ht="15.75" x14ac:dyDescent="0.2">
      <c r="B13" s="488" t="s">
        <v>593</v>
      </c>
      <c r="C13" s="478"/>
      <c r="D13" s="478"/>
      <c r="E13" s="478"/>
      <c r="F13" s="478"/>
      <c r="G13" s="478"/>
      <c r="H13" s="478"/>
      <c r="I13" s="478"/>
      <c r="J13" s="478"/>
      <c r="K13" s="478"/>
      <c r="L13" s="478"/>
      <c r="M13" s="478"/>
      <c r="N13" s="478"/>
      <c r="O13" s="478"/>
      <c r="P13" s="478"/>
      <c r="Q13" s="479"/>
    </row>
    <row r="14" spans="2:17" x14ac:dyDescent="0.2">
      <c r="C14" s="69"/>
      <c r="D14" s="69"/>
      <c r="E14" s="336"/>
      <c r="F14" s="337"/>
    </row>
    <row r="15" spans="2:17" x14ac:dyDescent="0.2">
      <c r="B15" s="528"/>
      <c r="C15" s="527"/>
      <c r="D15" s="500"/>
      <c r="E15" s="501"/>
      <c r="F15" s="346"/>
      <c r="G15" s="1"/>
      <c r="H15" s="528" t="s">
        <v>594</v>
      </c>
      <c r="I15" s="528"/>
      <c r="J15" s="527" t="s">
        <v>595</v>
      </c>
      <c r="K15" s="368"/>
      <c r="L15" s="531"/>
      <c r="M15" s="528" t="s">
        <v>596</v>
      </c>
      <c r="N15" s="528"/>
      <c r="O15" s="527" t="s">
        <v>597</v>
      </c>
      <c r="P15" s="368"/>
      <c r="Q15" s="531"/>
    </row>
    <row r="16" spans="2:17" x14ac:dyDescent="0.2">
      <c r="B16" s="528"/>
      <c r="C16" s="527"/>
      <c r="D16" s="500"/>
      <c r="E16" s="501"/>
      <c r="F16" s="346"/>
      <c r="G16" s="1"/>
      <c r="H16" s="528" t="s">
        <v>598</v>
      </c>
      <c r="I16" s="528"/>
      <c r="J16" s="527" t="s">
        <v>599</v>
      </c>
      <c r="K16" s="368"/>
      <c r="L16" s="531"/>
      <c r="M16" s="528" t="s">
        <v>600</v>
      </c>
      <c r="N16" s="528"/>
      <c r="O16" s="532" t="s">
        <v>601</v>
      </c>
      <c r="P16" s="368"/>
      <c r="Q16" s="531"/>
    </row>
    <row r="17" spans="2:24" x14ac:dyDescent="0.2">
      <c r="B17" s="528"/>
      <c r="C17" s="527"/>
      <c r="D17" s="500"/>
      <c r="E17" s="501"/>
      <c r="F17" s="346"/>
      <c r="G17" s="1"/>
      <c r="H17" s="530" t="s">
        <v>361</v>
      </c>
      <c r="I17" s="529"/>
      <c r="J17" s="527" t="s">
        <v>602</v>
      </c>
      <c r="K17" s="368"/>
      <c r="L17" s="531"/>
      <c r="M17" s="528" t="s">
        <v>603</v>
      </c>
      <c r="N17" s="528"/>
      <c r="O17" s="527" t="s">
        <v>597</v>
      </c>
      <c r="P17" s="368"/>
      <c r="Q17" s="531"/>
    </row>
    <row r="18" spans="2:24" x14ac:dyDescent="0.2">
      <c r="B18" s="528"/>
      <c r="C18" s="527"/>
      <c r="D18" s="500"/>
      <c r="E18" s="501"/>
      <c r="F18" s="346"/>
      <c r="G18" s="1"/>
      <c r="H18" s="530" t="s">
        <v>604</v>
      </c>
      <c r="I18" s="529"/>
      <c r="J18" s="527" t="s">
        <v>605</v>
      </c>
      <c r="K18" s="368"/>
      <c r="L18" s="531"/>
      <c r="M18" s="530" t="s">
        <v>606</v>
      </c>
      <c r="N18" s="529"/>
      <c r="O18" s="527" t="s">
        <v>597</v>
      </c>
      <c r="P18" s="368"/>
      <c r="Q18" s="531"/>
    </row>
    <row r="19" spans="2:24" x14ac:dyDescent="0.2">
      <c r="B19" s="528"/>
      <c r="C19" s="527"/>
      <c r="D19" s="500"/>
      <c r="E19" s="501"/>
      <c r="F19" s="346"/>
      <c r="G19" s="1"/>
      <c r="H19" s="530" t="s">
        <v>607</v>
      </c>
      <c r="I19" s="533"/>
      <c r="J19" s="533"/>
      <c r="K19" s="529"/>
      <c r="L19" s="534">
        <v>0.03</v>
      </c>
      <c r="M19" s="530" t="s">
        <v>608</v>
      </c>
      <c r="N19" s="529"/>
      <c r="O19" s="527"/>
      <c r="P19" s="368"/>
      <c r="Q19" s="531"/>
    </row>
    <row r="20" spans="2:24" s="2" customFormat="1" x14ac:dyDescent="0.2">
      <c r="B20" s="1"/>
      <c r="C20" s="1"/>
      <c r="D20" s="1"/>
      <c r="F20" s="3"/>
      <c r="I20" s="3"/>
      <c r="K20" s="3"/>
      <c r="L20" s="1"/>
      <c r="M20" s="194" t="s">
        <v>609</v>
      </c>
      <c r="N20" s="1"/>
      <c r="O20" s="1"/>
      <c r="P20" s="1"/>
      <c r="Q20" s="1"/>
      <c r="R20" s="1"/>
      <c r="S20" s="1"/>
      <c r="T20" s="1"/>
      <c r="U20" s="1"/>
      <c r="V20" s="1"/>
      <c r="W20" s="1"/>
      <c r="X20" s="1"/>
    </row>
    <row r="21" spans="2:24" s="2" customFormat="1" ht="15.75" x14ac:dyDescent="0.2">
      <c r="B21" s="488" t="s">
        <v>610</v>
      </c>
      <c r="C21" s="478"/>
      <c r="D21" s="478"/>
      <c r="E21" s="478"/>
      <c r="F21" s="478"/>
      <c r="G21" s="478"/>
      <c r="H21" s="478"/>
      <c r="I21" s="478"/>
      <c r="J21" s="478"/>
      <c r="K21" s="478"/>
      <c r="L21" s="478"/>
      <c r="M21" s="478"/>
      <c r="N21" s="478"/>
      <c r="O21" s="478"/>
      <c r="P21" s="478"/>
      <c r="Q21" s="479"/>
      <c r="R21" s="1"/>
      <c r="S21" s="1"/>
      <c r="T21" s="1"/>
      <c r="U21" s="1"/>
      <c r="V21" s="1"/>
      <c r="W21" s="1"/>
      <c r="X21" s="1"/>
    </row>
    <row r="22" spans="2:24" s="2" customFormat="1" x14ac:dyDescent="0.2">
      <c r="B22" s="1"/>
      <c r="C22" s="1"/>
      <c r="D22" s="1"/>
      <c r="F22" s="3"/>
      <c r="I22" s="3"/>
      <c r="K22" s="3"/>
      <c r="L22" s="1"/>
      <c r="M22" s="1"/>
      <c r="N22" s="1"/>
      <c r="O22" s="1"/>
      <c r="P22" s="1"/>
      <c r="Q22" s="1"/>
      <c r="R22" s="1"/>
      <c r="S22" s="1"/>
      <c r="T22" s="1"/>
      <c r="U22" s="1"/>
      <c r="V22" s="1"/>
      <c r="W22" s="1"/>
      <c r="X22" s="1"/>
    </row>
    <row r="23" spans="2:24" s="2" customFormat="1" x14ac:dyDescent="0.2">
      <c r="B23" s="494" t="s">
        <v>611</v>
      </c>
      <c r="C23" s="495"/>
      <c r="D23" s="1"/>
      <c r="E23" s="523" t="s">
        <v>578</v>
      </c>
      <c r="F23" s="481"/>
      <c r="G23" s="480"/>
      <c r="H23" s="480"/>
      <c r="I23" s="481"/>
      <c r="J23" s="480"/>
      <c r="K23" s="481"/>
      <c r="L23" s="482"/>
      <c r="M23" s="482"/>
      <c r="N23" s="482"/>
      <c r="O23" s="482"/>
      <c r="P23" s="482"/>
      <c r="Q23" s="483"/>
      <c r="R23" s="1"/>
      <c r="S23" s="1"/>
      <c r="T23" s="1"/>
      <c r="U23" s="1"/>
      <c r="V23" s="1"/>
      <c r="W23" s="1"/>
      <c r="X23" s="1"/>
    </row>
    <row r="24" spans="2:24" s="2" customFormat="1" x14ac:dyDescent="0.2">
      <c r="B24" s="496" t="s">
        <v>612</v>
      </c>
      <c r="C24" s="491"/>
      <c r="D24" s="1"/>
      <c r="E24" s="516"/>
      <c r="F24" s="485"/>
      <c r="G24" s="484"/>
      <c r="H24" s="484"/>
      <c r="I24" s="485"/>
      <c r="J24" s="484"/>
      <c r="K24" s="485"/>
      <c r="L24" s="486"/>
      <c r="M24" s="486"/>
      <c r="N24" s="486"/>
      <c r="O24" s="486"/>
      <c r="P24" s="486"/>
      <c r="Q24" s="487"/>
      <c r="R24" s="1"/>
      <c r="S24" s="1"/>
      <c r="T24" s="1"/>
      <c r="U24" s="1"/>
      <c r="V24" s="1"/>
      <c r="W24" s="1"/>
      <c r="X24" s="1"/>
    </row>
    <row r="25" spans="2:24" s="2" customFormat="1" x14ac:dyDescent="0.2">
      <c r="B25" s="1"/>
      <c r="C25" s="1"/>
      <c r="D25" s="1"/>
      <c r="F25" s="3"/>
      <c r="I25" s="3"/>
      <c r="K25" s="3"/>
      <c r="L25" s="1"/>
      <c r="M25" s="1"/>
      <c r="N25" s="1"/>
      <c r="O25" s="1"/>
      <c r="P25" s="1"/>
      <c r="Q25" s="1"/>
      <c r="R25" s="1"/>
      <c r="S25" s="1"/>
      <c r="T25" s="1"/>
      <c r="U25" s="1"/>
      <c r="V25" s="1"/>
      <c r="W25" s="1"/>
      <c r="X25" s="1"/>
    </row>
    <row r="26" spans="2:24" x14ac:dyDescent="0.2">
      <c r="B26" s="494" t="s">
        <v>613</v>
      </c>
      <c r="C26" s="659">
        <v>2024</v>
      </c>
      <c r="D26" s="659">
        <f>+C26+1</f>
        <v>2025</v>
      </c>
      <c r="E26" s="659">
        <f t="shared" ref="E26:O26" si="0">+D26+1</f>
        <v>2026</v>
      </c>
      <c r="F26" s="659">
        <f t="shared" si="0"/>
        <v>2027</v>
      </c>
      <c r="G26" s="659">
        <f t="shared" si="0"/>
        <v>2028</v>
      </c>
      <c r="H26" s="659">
        <f t="shared" si="0"/>
        <v>2029</v>
      </c>
      <c r="I26" s="659">
        <f t="shared" si="0"/>
        <v>2030</v>
      </c>
      <c r="J26" s="659">
        <f t="shared" si="0"/>
        <v>2031</v>
      </c>
      <c r="K26" s="659">
        <f t="shared" si="0"/>
        <v>2032</v>
      </c>
      <c r="L26" s="659">
        <f t="shared" si="0"/>
        <v>2033</v>
      </c>
      <c r="M26" s="659">
        <f t="shared" si="0"/>
        <v>2034</v>
      </c>
      <c r="N26" s="659">
        <f t="shared" si="0"/>
        <v>2035</v>
      </c>
      <c r="O26" s="659">
        <f t="shared" si="0"/>
        <v>2036</v>
      </c>
      <c r="P26" s="489"/>
      <c r="Q26" s="490"/>
    </row>
    <row r="27" spans="2:24" s="2" customFormat="1" x14ac:dyDescent="0.2">
      <c r="B27" s="497" t="s">
        <v>614</v>
      </c>
      <c r="C27" s="660" t="s">
        <v>615</v>
      </c>
      <c r="D27" s="660">
        <f>+C27+1</f>
        <v>1</v>
      </c>
      <c r="E27" s="660">
        <f t="shared" ref="E27:O27" si="1">+D27+1</f>
        <v>2</v>
      </c>
      <c r="F27" s="660">
        <f t="shared" si="1"/>
        <v>3</v>
      </c>
      <c r="G27" s="660">
        <f t="shared" si="1"/>
        <v>4</v>
      </c>
      <c r="H27" s="660">
        <f t="shared" si="1"/>
        <v>5</v>
      </c>
      <c r="I27" s="660">
        <f t="shared" si="1"/>
        <v>6</v>
      </c>
      <c r="J27" s="660">
        <f t="shared" si="1"/>
        <v>7</v>
      </c>
      <c r="K27" s="660">
        <f t="shared" si="1"/>
        <v>8</v>
      </c>
      <c r="L27" s="660">
        <f t="shared" si="1"/>
        <v>9</v>
      </c>
      <c r="M27" s="660">
        <f t="shared" si="1"/>
        <v>10</v>
      </c>
      <c r="N27" s="660">
        <f t="shared" si="1"/>
        <v>11</v>
      </c>
      <c r="O27" s="660">
        <f t="shared" si="1"/>
        <v>12</v>
      </c>
      <c r="P27" s="492" t="s">
        <v>549</v>
      </c>
      <c r="Q27" s="493" t="s">
        <v>616</v>
      </c>
    </row>
    <row r="28" spans="2:24" s="2" customFormat="1" x14ac:dyDescent="0.2">
      <c r="B28" s="496" t="s">
        <v>617</v>
      </c>
      <c r="C28" s="661">
        <f>'3. Price decision matrix'!D12</f>
        <v>0</v>
      </c>
      <c r="D28" s="661">
        <f>'3. Price decision matrix'!E12</f>
        <v>0</v>
      </c>
      <c r="E28" s="661">
        <f>'3. Price decision matrix'!F12</f>
        <v>0</v>
      </c>
      <c r="F28" s="661">
        <f>'3. Price decision matrix'!G12</f>
        <v>0</v>
      </c>
      <c r="G28" s="661">
        <f>'3. Price decision matrix'!H12</f>
        <v>0</v>
      </c>
      <c r="H28" s="661">
        <f>'3. Price decision matrix'!I12</f>
        <v>0</v>
      </c>
      <c r="I28" s="661">
        <f>'3. Price decision matrix'!J12</f>
        <v>0</v>
      </c>
      <c r="J28" s="661">
        <f>'3. Price decision matrix'!K12</f>
        <v>0</v>
      </c>
      <c r="K28" s="661">
        <f>'3. Price decision matrix'!L12</f>
        <v>0</v>
      </c>
      <c r="L28" s="661">
        <f>'3. Price decision matrix'!M12</f>
        <v>0</v>
      </c>
      <c r="M28" s="661">
        <f>'3. Price decision matrix'!N12</f>
        <v>0</v>
      </c>
      <c r="N28" s="661">
        <f>'3. Price decision matrix'!O12</f>
        <v>0</v>
      </c>
      <c r="O28" s="661">
        <f>'3. Price decision matrix'!P12</f>
        <v>0</v>
      </c>
      <c r="P28" s="661">
        <f>'3. Price decision matrix'!Q12</f>
        <v>0</v>
      </c>
      <c r="Q28" s="662" t="e">
        <f>'3. Price decision matrix'!R12</f>
        <v>#DIV/0!</v>
      </c>
    </row>
    <row r="29" spans="2:24" s="2" customFormat="1" x14ac:dyDescent="0.2">
      <c r="B29" s="498"/>
      <c r="C29" s="1"/>
      <c r="D29" s="1"/>
      <c r="E29" s="1"/>
      <c r="F29" s="1"/>
      <c r="I29" s="3"/>
      <c r="K29" s="3"/>
      <c r="L29" s="1"/>
    </row>
    <row r="30" spans="2:24" s="2" customFormat="1" x14ac:dyDescent="0.2">
      <c r="B30" s="499" t="s">
        <v>618</v>
      </c>
      <c r="C30" s="663">
        <f>+'3. Price decision matrix'!D13</f>
        <v>0</v>
      </c>
      <c r="D30" s="663">
        <f>+'3. Price decision matrix'!E13</f>
        <v>0</v>
      </c>
      <c r="E30" s="663" t="str">
        <f>+'3. Price decision matrix'!F13</f>
        <v/>
      </c>
      <c r="F30" s="663" t="str">
        <f>+'3. Price decision matrix'!G13</f>
        <v/>
      </c>
      <c r="G30" s="663" t="str">
        <f>+'3. Price decision matrix'!H13</f>
        <v/>
      </c>
      <c r="H30" s="663" t="str">
        <f>+'3. Price decision matrix'!I13</f>
        <v/>
      </c>
      <c r="I30" s="663" t="str">
        <f>+'3. Price decision matrix'!J13</f>
        <v/>
      </c>
      <c r="J30" s="663" t="str">
        <f>+'3. Price decision matrix'!K13</f>
        <v/>
      </c>
      <c r="K30" s="663" t="str">
        <f>+'3. Price decision matrix'!L13</f>
        <v/>
      </c>
      <c r="L30" s="663" t="str">
        <f>+'3. Price decision matrix'!M13</f>
        <v/>
      </c>
      <c r="M30" s="663" t="str">
        <f>+'3. Price decision matrix'!N13</f>
        <v/>
      </c>
      <c r="N30" s="663" t="str">
        <f>+'3. Price decision matrix'!O13</f>
        <v/>
      </c>
      <c r="O30" s="663" t="str">
        <f>+'3. Price decision matrix'!P13</f>
        <v/>
      </c>
      <c r="P30" s="664"/>
      <c r="Q30" s="665">
        <f>+AVERAGE(C30:L30)</f>
        <v>0</v>
      </c>
    </row>
    <row r="31" spans="2:24" s="2" customFormat="1" x14ac:dyDescent="0.2">
      <c r="B31" s="1"/>
      <c r="C31" s="1"/>
      <c r="D31" s="1"/>
      <c r="E31" s="1"/>
      <c r="F31" s="1"/>
      <c r="I31" s="3"/>
      <c r="K31" s="3"/>
      <c r="L31" s="1"/>
    </row>
    <row r="32" spans="2:24" ht="15.75" x14ac:dyDescent="0.2">
      <c r="B32" s="488" t="s">
        <v>619</v>
      </c>
      <c r="C32" s="478"/>
      <c r="D32" s="478"/>
      <c r="E32" s="478"/>
      <c r="F32" s="478"/>
      <c r="G32" s="478"/>
      <c r="H32" s="478"/>
      <c r="I32" s="478"/>
      <c r="J32" s="478"/>
      <c r="K32" s="478"/>
      <c r="L32" s="478"/>
      <c r="M32" s="478"/>
      <c r="N32" s="478"/>
      <c r="O32" s="478"/>
      <c r="P32" s="478"/>
      <c r="Q32" s="479"/>
    </row>
    <row r="33" spans="2:17" ht="14.25" customHeight="1" x14ac:dyDescent="0.2"/>
    <row r="34" spans="2:17" ht="14.25" customHeight="1" x14ac:dyDescent="0.2">
      <c r="B34" s="494" t="str">
        <f>'2. Cost Summary'!B142</f>
        <v>Description of cost</v>
      </c>
      <c r="C34" s="506" t="str">
        <f>'2. Cost Summary'!D142</f>
        <v>Cost (€)</v>
      </c>
      <c r="D34" s="507"/>
      <c r="F34" s="1"/>
      <c r="G34" s="515" t="s">
        <v>620</v>
      </c>
      <c r="H34" s="513"/>
      <c r="I34" s="514"/>
      <c r="J34" s="1"/>
      <c r="K34" s="515" t="s">
        <v>621</v>
      </c>
      <c r="L34" s="513"/>
      <c r="M34" s="514"/>
      <c r="O34" s="515" t="s">
        <v>622</v>
      </c>
      <c r="P34" s="513"/>
      <c r="Q34" s="514"/>
    </row>
    <row r="35" spans="2:17" ht="14.25" customHeight="1" x14ac:dyDescent="0.2">
      <c r="B35" s="505" t="str">
        <f>'2. Cost Summary'!B143</f>
        <v>Off-tool</v>
      </c>
      <c r="C35" s="666">
        <f>'2. Cost Summary'!D143</f>
        <v>0</v>
      </c>
      <c r="D35" s="667"/>
      <c r="F35" s="1"/>
      <c r="G35" s="539"/>
      <c r="H35" s="508"/>
      <c r="I35" s="509"/>
      <c r="J35" s="1"/>
      <c r="K35" s="539"/>
      <c r="L35" s="508"/>
      <c r="M35" s="509"/>
      <c r="O35" s="539"/>
      <c r="P35" s="508"/>
      <c r="Q35" s="509"/>
    </row>
    <row r="36" spans="2:17" ht="14.25" customHeight="1" x14ac:dyDescent="0.2">
      <c r="B36" s="505" t="str">
        <f>'2. Cost Summary'!B144</f>
        <v>Off-Process</v>
      </c>
      <c r="C36" s="666">
        <f>'2. Cost Summary'!D144</f>
        <v>0</v>
      </c>
      <c r="D36" s="668"/>
      <c r="F36" s="1"/>
      <c r="G36" s="539"/>
      <c r="H36" s="508"/>
      <c r="I36" s="510"/>
      <c r="J36" s="1"/>
      <c r="K36" s="539"/>
      <c r="L36" s="508"/>
      <c r="M36" s="510"/>
      <c r="O36" s="539"/>
      <c r="P36" s="508"/>
      <c r="Q36" s="510"/>
    </row>
    <row r="37" spans="2:17" ht="14.25" customHeight="1" x14ac:dyDescent="0.2">
      <c r="B37" s="505" t="str">
        <f>'2. Cost Summary'!B145</f>
        <v>Validation</v>
      </c>
      <c r="C37" s="666">
        <f>'2. Cost Summary'!D145</f>
        <v>0</v>
      </c>
      <c r="D37" s="668"/>
      <c r="F37" s="1"/>
      <c r="G37" s="539"/>
      <c r="H37" s="508"/>
      <c r="I37" s="510"/>
      <c r="J37" s="1"/>
      <c r="K37" s="539"/>
      <c r="L37" s="508"/>
      <c r="M37" s="510"/>
      <c r="O37" s="539"/>
      <c r="P37" s="508"/>
      <c r="Q37" s="510"/>
    </row>
    <row r="38" spans="2:17" ht="14.25" customHeight="1" x14ac:dyDescent="0.2">
      <c r="B38" s="505" t="str">
        <f>'2. Cost Summary'!B146</f>
        <v>Project</v>
      </c>
      <c r="C38" s="666">
        <f>'2. Cost Summary'!D146</f>
        <v>0</v>
      </c>
      <c r="D38" s="668"/>
      <c r="F38" s="1"/>
      <c r="G38" s="539"/>
      <c r="H38" s="508"/>
      <c r="I38" s="510"/>
      <c r="J38" s="1"/>
      <c r="K38" s="539"/>
      <c r="L38" s="508"/>
      <c r="M38" s="510"/>
      <c r="O38" s="539"/>
      <c r="P38" s="508"/>
      <c r="Q38" s="510"/>
    </row>
    <row r="39" spans="2:17" ht="14.25" customHeight="1" x14ac:dyDescent="0.2">
      <c r="B39" s="505" t="str">
        <f>'2. Cost Summary'!B147</f>
        <v>Development</v>
      </c>
      <c r="C39" s="666">
        <f>'2. Cost Summary'!D147</f>
        <v>0</v>
      </c>
      <c r="D39" s="668"/>
      <c r="F39" s="1"/>
      <c r="G39" s="539"/>
      <c r="H39" s="508"/>
      <c r="I39" s="510"/>
      <c r="J39" s="1"/>
      <c r="K39" s="539"/>
      <c r="L39" s="508"/>
      <c r="M39" s="510"/>
      <c r="O39" s="539"/>
      <c r="P39" s="508"/>
      <c r="Q39" s="510"/>
    </row>
    <row r="40" spans="2:17" ht="14.25" customHeight="1" x14ac:dyDescent="0.2">
      <c r="B40" s="496" t="str">
        <f>'2. Cost Summary'!B148</f>
        <v>Total investment cost (€)</v>
      </c>
      <c r="C40" s="669">
        <f>'2. Cost Summary'!D148</f>
        <v>0</v>
      </c>
      <c r="D40" s="670"/>
      <c r="F40" s="1"/>
      <c r="G40" s="539"/>
      <c r="H40" s="508"/>
      <c r="I40" s="510"/>
      <c r="J40" s="1"/>
      <c r="K40" s="539"/>
      <c r="L40" s="508"/>
      <c r="M40" s="510"/>
      <c r="O40" s="539"/>
      <c r="P40" s="508"/>
      <c r="Q40" s="510"/>
    </row>
    <row r="41" spans="2:17" x14ac:dyDescent="0.2">
      <c r="F41" s="1"/>
      <c r="G41" s="539"/>
      <c r="H41" s="508"/>
      <c r="I41" s="510"/>
      <c r="J41" s="1"/>
      <c r="K41" s="539"/>
      <c r="L41" s="508"/>
      <c r="M41" s="510"/>
      <c r="O41" s="539"/>
      <c r="P41" s="508"/>
      <c r="Q41" s="510"/>
    </row>
    <row r="42" spans="2:17" x14ac:dyDescent="0.2">
      <c r="B42" s="523" t="s">
        <v>578</v>
      </c>
      <c r="C42" s="482"/>
      <c r="D42" s="483"/>
      <c r="F42" s="1"/>
      <c r="G42" s="539"/>
      <c r="H42" s="508"/>
      <c r="I42" s="510"/>
      <c r="J42" s="1"/>
      <c r="K42" s="539"/>
      <c r="L42" s="508"/>
      <c r="M42" s="510"/>
      <c r="O42" s="539"/>
      <c r="P42" s="508"/>
      <c r="Q42" s="510"/>
    </row>
    <row r="43" spans="2:17" x14ac:dyDescent="0.2">
      <c r="B43" s="541" t="s">
        <v>623</v>
      </c>
      <c r="C43" s="498"/>
      <c r="D43" s="524"/>
      <c r="F43" s="1"/>
      <c r="G43" s="539"/>
      <c r="H43" s="508"/>
      <c r="I43" s="510"/>
      <c r="J43" s="1"/>
      <c r="K43" s="539"/>
      <c r="L43" s="508"/>
      <c r="M43" s="510"/>
      <c r="O43" s="539"/>
      <c r="P43" s="508"/>
      <c r="Q43" s="510"/>
    </row>
    <row r="44" spans="2:17" x14ac:dyDescent="0.2">
      <c r="B44" s="541"/>
      <c r="C44" s="498"/>
      <c r="D44" s="524"/>
      <c r="F44" s="1"/>
      <c r="G44" s="539"/>
      <c r="H44" s="508"/>
      <c r="I44" s="510"/>
      <c r="J44" s="1"/>
      <c r="K44" s="539"/>
      <c r="L44" s="508"/>
      <c r="M44" s="510"/>
      <c r="O44" s="539"/>
      <c r="P44" s="508"/>
      <c r="Q44" s="510"/>
    </row>
    <row r="45" spans="2:17" x14ac:dyDescent="0.2">
      <c r="B45" s="541"/>
      <c r="C45" s="498"/>
      <c r="D45" s="524"/>
      <c r="F45" s="1"/>
      <c r="G45" s="539"/>
      <c r="H45" s="508"/>
      <c r="I45" s="510"/>
      <c r="J45" s="1"/>
      <c r="K45" s="539"/>
      <c r="L45" s="508"/>
      <c r="M45" s="510"/>
      <c r="O45" s="539"/>
      <c r="P45" s="508"/>
      <c r="Q45" s="510"/>
    </row>
    <row r="46" spans="2:17" x14ac:dyDescent="0.2">
      <c r="B46" s="541"/>
      <c r="C46" s="498"/>
      <c r="D46" s="524"/>
      <c r="F46" s="1"/>
      <c r="G46" s="539"/>
      <c r="H46" s="508"/>
      <c r="I46" s="510"/>
      <c r="J46" s="1"/>
      <c r="K46" s="539"/>
      <c r="L46" s="508"/>
      <c r="M46" s="510"/>
      <c r="O46" s="539"/>
      <c r="P46" s="508"/>
      <c r="Q46" s="510"/>
    </row>
    <row r="47" spans="2:17" x14ac:dyDescent="0.2">
      <c r="B47" s="542"/>
      <c r="C47" s="525"/>
      <c r="D47" s="526"/>
      <c r="F47" s="1"/>
      <c r="G47" s="540"/>
      <c r="H47" s="511"/>
      <c r="I47" s="512"/>
      <c r="J47" s="1"/>
      <c r="K47" s="540"/>
      <c r="L47" s="511"/>
      <c r="M47" s="512"/>
      <c r="O47" s="540"/>
      <c r="P47" s="511"/>
      <c r="Q47" s="512"/>
    </row>
    <row r="49" spans="2:18" ht="15.75" x14ac:dyDescent="0.2">
      <c r="B49" s="488" t="s">
        <v>624</v>
      </c>
      <c r="C49" s="478"/>
      <c r="D49" s="478"/>
      <c r="E49" s="478"/>
      <c r="F49" s="478"/>
      <c r="G49" s="478"/>
      <c r="H49" s="478"/>
      <c r="I49" s="478"/>
      <c r="J49" s="478"/>
      <c r="K49" s="478"/>
      <c r="L49" s="478"/>
      <c r="M49" s="478"/>
      <c r="N49" s="478"/>
      <c r="O49" s="478"/>
      <c r="P49" s="478"/>
      <c r="Q49" s="479"/>
    </row>
    <row r="51" spans="2:18" x14ac:dyDescent="0.2">
      <c r="B51" s="69"/>
      <c r="C51" s="69"/>
      <c r="D51" s="69"/>
      <c r="E51" s="336"/>
      <c r="F51" s="337"/>
      <c r="G51" s="336"/>
      <c r="H51" s="336"/>
      <c r="I51" s="337"/>
      <c r="J51" s="336"/>
      <c r="K51" s="337"/>
      <c r="L51" s="69"/>
      <c r="M51" s="69"/>
      <c r="N51" s="69"/>
      <c r="O51" s="69"/>
      <c r="P51" s="69"/>
      <c r="Q51" s="69"/>
    </row>
    <row r="52" spans="2:18" x14ac:dyDescent="0.2">
      <c r="B52" s="69"/>
      <c r="C52" s="69"/>
      <c r="D52" s="69"/>
      <c r="E52" s="336"/>
      <c r="F52" s="337"/>
      <c r="G52" s="336"/>
      <c r="H52" s="336"/>
      <c r="I52" s="337"/>
      <c r="J52" s="336"/>
      <c r="K52" s="337"/>
      <c r="L52" s="69"/>
      <c r="M52" s="69"/>
      <c r="N52" s="69"/>
      <c r="O52" s="69"/>
      <c r="P52" s="69"/>
      <c r="Q52" s="69"/>
    </row>
    <row r="53" spans="2:18" x14ac:dyDescent="0.2">
      <c r="B53" s="69"/>
      <c r="C53" s="69"/>
      <c r="D53" s="69"/>
      <c r="E53" s="336"/>
      <c r="F53" s="337"/>
      <c r="G53" s="336"/>
      <c r="H53" s="336"/>
      <c r="I53" s="337"/>
      <c r="J53" s="336"/>
      <c r="K53" s="337"/>
      <c r="L53" s="69"/>
      <c r="M53" s="69"/>
      <c r="N53" s="69"/>
      <c r="O53" s="69"/>
      <c r="P53" s="69"/>
      <c r="Q53" s="69"/>
    </row>
    <row r="54" spans="2:18" x14ac:dyDescent="0.2">
      <c r="B54" s="69"/>
      <c r="C54" s="69"/>
      <c r="D54" s="69"/>
      <c r="E54" s="336"/>
      <c r="F54" s="337"/>
      <c r="G54" s="336"/>
      <c r="H54" s="336"/>
      <c r="I54" s="337"/>
      <c r="J54" s="336"/>
      <c r="K54" s="337"/>
      <c r="L54" s="69"/>
      <c r="M54" s="69"/>
      <c r="N54" s="69"/>
      <c r="O54" s="69"/>
      <c r="P54" s="69"/>
      <c r="Q54" s="69"/>
    </row>
    <row r="55" spans="2:18" x14ac:dyDescent="0.2">
      <c r="B55" s="69"/>
      <c r="C55" s="69"/>
      <c r="D55" s="69"/>
      <c r="E55" s="336"/>
      <c r="F55" s="337"/>
      <c r="G55" s="336"/>
      <c r="H55" s="336"/>
      <c r="I55" s="337"/>
      <c r="J55" s="336"/>
      <c r="K55" s="337"/>
      <c r="L55" s="69"/>
      <c r="M55" s="69"/>
      <c r="N55" s="69"/>
      <c r="O55" s="69"/>
      <c r="P55" s="69"/>
      <c r="Q55" s="69"/>
    </row>
    <row r="56" spans="2:18" x14ac:dyDescent="0.2">
      <c r="B56" s="69"/>
      <c r="C56" s="69"/>
      <c r="D56" s="69"/>
      <c r="E56" s="336"/>
      <c r="F56" s="337"/>
      <c r="G56" s="336"/>
      <c r="H56" s="336"/>
      <c r="I56" s="337"/>
      <c r="J56" s="336"/>
      <c r="K56" s="337"/>
      <c r="L56" s="69"/>
      <c r="M56" s="69"/>
      <c r="N56" s="69"/>
      <c r="O56" s="69"/>
      <c r="P56" s="69"/>
      <c r="Q56" s="69"/>
    </row>
    <row r="57" spans="2:18" x14ac:dyDescent="0.2">
      <c r="B57" s="69"/>
      <c r="C57" s="69"/>
      <c r="D57" s="69"/>
      <c r="E57" s="336"/>
      <c r="F57" s="337"/>
      <c r="G57" s="336"/>
      <c r="H57" s="336"/>
      <c r="I57" s="337"/>
      <c r="J57" s="336"/>
      <c r="K57" s="337"/>
      <c r="L57" s="69"/>
      <c r="M57" s="69"/>
      <c r="N57" s="69"/>
      <c r="O57" s="69"/>
      <c r="P57" s="69"/>
      <c r="Q57" s="69"/>
    </row>
    <row r="58" spans="2:18" x14ac:dyDescent="0.2">
      <c r="B58" s="69"/>
      <c r="C58" s="69"/>
      <c r="D58" s="69"/>
      <c r="E58" s="336"/>
      <c r="F58" s="337"/>
      <c r="G58" s="336"/>
      <c r="H58" s="336"/>
      <c r="I58" s="337"/>
      <c r="J58" s="336"/>
      <c r="K58" s="337"/>
      <c r="L58" s="69"/>
      <c r="M58" s="69"/>
      <c r="N58" s="69"/>
      <c r="O58" s="69"/>
      <c r="P58" s="69"/>
      <c r="Q58" s="69"/>
    </row>
    <row r="59" spans="2:18" x14ac:dyDescent="0.2">
      <c r="B59" s="69"/>
      <c r="C59" s="69"/>
      <c r="D59" s="69"/>
      <c r="E59" s="336"/>
      <c r="F59" s="337"/>
      <c r="G59" s="336"/>
      <c r="H59" s="336"/>
      <c r="I59" s="337"/>
      <c r="J59" s="336"/>
      <c r="K59" s="337"/>
      <c r="L59" s="69"/>
      <c r="M59" s="69"/>
      <c r="N59" s="69"/>
      <c r="O59" s="69"/>
      <c r="P59" s="69"/>
      <c r="Q59" s="69"/>
    </row>
    <row r="60" spans="2:18" x14ac:dyDescent="0.2">
      <c r="B60" s="69"/>
      <c r="C60" s="69"/>
      <c r="D60" s="69"/>
      <c r="E60" s="336"/>
      <c r="F60" s="337"/>
      <c r="G60" s="336"/>
      <c r="H60" s="336"/>
      <c r="I60" s="337"/>
      <c r="J60" s="336"/>
      <c r="K60" s="337"/>
      <c r="L60" s="69"/>
      <c r="M60" s="69"/>
      <c r="N60" s="69"/>
      <c r="O60" s="69"/>
      <c r="P60" s="69"/>
      <c r="Q60" s="69"/>
    </row>
    <row r="61" spans="2:18" x14ac:dyDescent="0.2">
      <c r="B61" s="69"/>
      <c r="C61" s="69"/>
      <c r="D61" s="69"/>
      <c r="E61" s="336"/>
      <c r="F61" s="337"/>
      <c r="G61" s="336"/>
      <c r="H61" s="336"/>
      <c r="I61" s="337"/>
      <c r="J61" s="336"/>
      <c r="K61" s="337"/>
      <c r="L61" s="69"/>
      <c r="M61" s="69"/>
      <c r="N61" s="69"/>
      <c r="O61" s="69"/>
      <c r="P61" s="69"/>
      <c r="Q61" s="69"/>
    </row>
    <row r="62" spans="2:18" x14ac:dyDescent="0.2">
      <c r="B62" s="69"/>
      <c r="C62" s="69"/>
      <c r="D62" s="69"/>
      <c r="E62" s="336"/>
      <c r="F62" s="337"/>
      <c r="G62" s="336"/>
      <c r="H62" s="336"/>
      <c r="I62" s="337"/>
      <c r="J62" s="336"/>
      <c r="K62" s="337"/>
      <c r="L62" s="69"/>
      <c r="M62" s="69"/>
      <c r="N62" s="69"/>
      <c r="O62" s="69"/>
      <c r="P62" s="69"/>
      <c r="Q62" s="69"/>
    </row>
    <row r="63" spans="2:18" x14ac:dyDescent="0.2">
      <c r="B63" s="69"/>
      <c r="C63" s="69"/>
      <c r="D63" s="69"/>
      <c r="E63" s="336"/>
      <c r="F63" s="337"/>
      <c r="G63" s="336"/>
      <c r="H63" s="336"/>
      <c r="I63" s="337"/>
      <c r="J63" s="336"/>
      <c r="K63" s="337"/>
      <c r="L63" s="69"/>
      <c r="M63" s="69"/>
      <c r="N63" s="69"/>
      <c r="O63" s="69"/>
      <c r="P63" s="69"/>
      <c r="Q63" s="69"/>
    </row>
    <row r="64" spans="2:18" ht="15.75" x14ac:dyDescent="0.2">
      <c r="B64" s="69"/>
      <c r="C64" s="69"/>
      <c r="D64" s="69"/>
      <c r="E64" s="336"/>
      <c r="F64" s="337"/>
      <c r="G64" s="336"/>
      <c r="H64" s="336"/>
      <c r="I64" s="337"/>
      <c r="J64" s="336"/>
      <c r="K64" s="337"/>
      <c r="L64" s="69"/>
      <c r="M64" s="69"/>
      <c r="N64" s="69"/>
      <c r="O64" s="69"/>
      <c r="P64" s="69"/>
      <c r="Q64" s="537"/>
      <c r="R64" s="536"/>
    </row>
    <row r="65" spans="2:18" x14ac:dyDescent="0.2">
      <c r="B65" s="69"/>
      <c r="C65" s="69"/>
      <c r="D65" s="69"/>
      <c r="E65" s="336"/>
      <c r="F65" s="337"/>
      <c r="G65" s="336"/>
      <c r="H65" s="336"/>
      <c r="I65" s="337"/>
      <c r="J65" s="336"/>
      <c r="K65" s="337"/>
      <c r="L65" s="69"/>
      <c r="M65" s="69"/>
      <c r="N65" s="69"/>
      <c r="O65" s="69"/>
      <c r="P65" s="69"/>
      <c r="Q65" s="537"/>
      <c r="R65" s="535"/>
    </row>
    <row r="66" spans="2:18" x14ac:dyDescent="0.2">
      <c r="B66" s="69"/>
      <c r="C66" s="69"/>
      <c r="D66" s="69"/>
      <c r="E66" s="336"/>
      <c r="F66" s="337"/>
      <c r="G66" s="336"/>
      <c r="H66" s="336"/>
      <c r="I66" s="337"/>
      <c r="J66" s="336"/>
      <c r="K66" s="337"/>
      <c r="L66" s="69"/>
      <c r="M66" s="69"/>
      <c r="N66" s="69"/>
      <c r="O66" s="69"/>
      <c r="P66" s="69"/>
      <c r="Q66" s="69"/>
    </row>
    <row r="67" spans="2:18" x14ac:dyDescent="0.2">
      <c r="B67" s="69"/>
      <c r="C67" s="69"/>
      <c r="D67" s="69"/>
      <c r="E67" s="336"/>
      <c r="F67" s="337"/>
      <c r="G67" s="336"/>
      <c r="H67" s="336"/>
      <c r="I67" s="337"/>
      <c r="J67" s="336"/>
      <c r="K67" s="337"/>
      <c r="L67" s="69"/>
      <c r="M67" s="69"/>
      <c r="N67" s="69"/>
      <c r="O67" s="69"/>
      <c r="P67" s="69"/>
      <c r="Q67" s="69"/>
    </row>
    <row r="68" spans="2:18" x14ac:dyDescent="0.2">
      <c r="B68" s="69"/>
      <c r="C68" s="69"/>
      <c r="D68" s="69"/>
      <c r="E68" s="336"/>
      <c r="F68" s="337"/>
      <c r="G68" s="336"/>
      <c r="H68" s="336"/>
      <c r="I68" s="337"/>
      <c r="J68" s="336"/>
      <c r="K68" s="337"/>
      <c r="L68" s="69"/>
      <c r="M68" s="69"/>
      <c r="N68" s="69"/>
      <c r="O68" s="69"/>
      <c r="P68" s="69"/>
      <c r="Q68" s="69"/>
    </row>
    <row r="69" spans="2:18" x14ac:dyDescent="0.2">
      <c r="B69" s="69"/>
      <c r="C69" s="69"/>
      <c r="D69" s="69"/>
      <c r="E69" s="336"/>
      <c r="F69" s="337"/>
      <c r="G69" s="336"/>
      <c r="H69" s="336"/>
      <c r="I69" s="337"/>
      <c r="J69" s="336"/>
      <c r="K69" s="337"/>
      <c r="L69" s="69"/>
      <c r="M69" s="69"/>
      <c r="N69" s="69"/>
      <c r="O69" s="69"/>
      <c r="P69" s="69"/>
      <c r="Q69" s="69"/>
    </row>
    <row r="70" spans="2:18" x14ac:dyDescent="0.2">
      <c r="M70" s="69"/>
      <c r="N70" s="69"/>
      <c r="O70" s="69"/>
      <c r="P70" s="69"/>
      <c r="Q70" s="69"/>
    </row>
    <row r="71" spans="2:18" x14ac:dyDescent="0.2">
      <c r="M71" s="69"/>
      <c r="N71" s="69"/>
      <c r="O71" s="69"/>
      <c r="P71" s="69"/>
      <c r="Q71" s="69"/>
    </row>
    <row r="72" spans="2:18" x14ac:dyDescent="0.2">
      <c r="M72" s="69"/>
      <c r="N72" s="69"/>
      <c r="O72" s="69"/>
      <c r="P72" s="69"/>
      <c r="Q72" s="69"/>
    </row>
    <row r="73" spans="2:18" x14ac:dyDescent="0.2">
      <c r="M73" s="69"/>
      <c r="N73" s="69"/>
      <c r="O73" s="69"/>
      <c r="P73" s="69"/>
      <c r="Q73" s="69"/>
    </row>
    <row r="74" spans="2:18" x14ac:dyDescent="0.2">
      <c r="M74" s="69"/>
      <c r="N74" s="69"/>
      <c r="O74" s="69"/>
      <c r="P74" s="69"/>
      <c r="Q74" s="69"/>
    </row>
    <row r="75" spans="2:18" x14ac:dyDescent="0.2">
      <c r="M75" s="69"/>
      <c r="N75" s="69"/>
      <c r="O75" s="69"/>
      <c r="P75" s="69"/>
      <c r="Q75" s="69"/>
    </row>
    <row r="76" spans="2:18" x14ac:dyDescent="0.2">
      <c r="M76" s="69"/>
      <c r="N76" s="69"/>
      <c r="O76" s="69"/>
      <c r="P76" s="69"/>
      <c r="Q76" s="69"/>
    </row>
    <row r="77" spans="2:18" x14ac:dyDescent="0.2">
      <c r="M77" s="69"/>
      <c r="N77" s="69"/>
      <c r="O77" s="69"/>
      <c r="P77" s="69"/>
      <c r="Q77" s="69"/>
    </row>
    <row r="78" spans="2:18" x14ac:dyDescent="0.2">
      <c r="M78" s="69"/>
      <c r="N78" s="69"/>
      <c r="O78" s="69"/>
      <c r="P78" s="69"/>
      <c r="Q78" s="69"/>
    </row>
    <row r="79" spans="2:18" x14ac:dyDescent="0.2">
      <c r="M79" s="69"/>
      <c r="N79" s="69"/>
      <c r="O79" s="69"/>
      <c r="P79" s="69"/>
      <c r="Q79" s="69"/>
    </row>
    <row r="80" spans="2:18" x14ac:dyDescent="0.2">
      <c r="M80" s="69"/>
      <c r="N80" s="69"/>
      <c r="O80" s="69"/>
      <c r="P80" s="69"/>
      <c r="Q80" s="69"/>
    </row>
    <row r="81" spans="2:17" x14ac:dyDescent="0.2">
      <c r="M81" s="69"/>
      <c r="N81" s="69"/>
      <c r="O81" s="69"/>
      <c r="P81" s="69"/>
      <c r="Q81" s="69"/>
    </row>
    <row r="82" spans="2:17" x14ac:dyDescent="0.2">
      <c r="M82" s="69"/>
      <c r="N82" s="69"/>
      <c r="O82" s="69"/>
      <c r="P82" s="69"/>
      <c r="Q82" s="69"/>
    </row>
    <row r="83" spans="2:17" x14ac:dyDescent="0.2">
      <c r="M83" s="69"/>
      <c r="N83" s="69"/>
      <c r="O83" s="69"/>
      <c r="P83" s="69"/>
      <c r="Q83" s="69"/>
    </row>
    <row r="84" spans="2:17" x14ac:dyDescent="0.2">
      <c r="M84" s="69"/>
      <c r="N84" s="69"/>
      <c r="O84" s="69"/>
      <c r="P84" s="69"/>
      <c r="Q84" s="69"/>
    </row>
    <row r="85" spans="2:17" x14ac:dyDescent="0.2">
      <c r="P85" s="504" t="s">
        <v>625</v>
      </c>
      <c r="Q85" s="538">
        <f>30+B11</f>
        <v>30</v>
      </c>
    </row>
    <row r="86" spans="2:17" x14ac:dyDescent="0.2">
      <c r="Q86" s="504" t="s">
        <v>626</v>
      </c>
    </row>
    <row r="87" spans="2:17" x14ac:dyDescent="0.2">
      <c r="B87" s="543">
        <f>+B9</f>
        <v>0</v>
      </c>
      <c r="Q87" s="504" t="s">
        <v>627</v>
      </c>
    </row>
    <row r="88" spans="2:17" x14ac:dyDescent="0.2">
      <c r="Q88" s="733" t="str">
        <f>+Help!B134</f>
        <v>IF-334 (27/05/2025)</v>
      </c>
    </row>
    <row r="89" spans="2:17" ht="54" customHeight="1" x14ac:dyDescent="0.2">
      <c r="B89" s="472"/>
      <c r="C89" s="473" t="s">
        <v>582</v>
      </c>
      <c r="D89" s="474"/>
      <c r="E89" s="476"/>
      <c r="F89" s="475"/>
      <c r="G89" s="476"/>
      <c r="H89" s="476"/>
      <c r="I89" s="475"/>
      <c r="J89" s="476"/>
      <c r="K89" s="475"/>
      <c r="L89" s="474"/>
      <c r="M89" s="474"/>
      <c r="N89" s="474"/>
      <c r="O89" s="474"/>
      <c r="P89" s="474"/>
      <c r="Q89" s="477"/>
    </row>
    <row r="173" spans="2:17" x14ac:dyDescent="0.2">
      <c r="P173" s="504" t="s">
        <v>625</v>
      </c>
      <c r="Q173" s="538">
        <f>+Q85</f>
        <v>30</v>
      </c>
    </row>
    <row r="174" spans="2:17" x14ac:dyDescent="0.2">
      <c r="Q174" s="504" t="s">
        <v>626</v>
      </c>
    </row>
    <row r="175" spans="2:17" x14ac:dyDescent="0.2">
      <c r="B175" s="543">
        <f>+B87</f>
        <v>0</v>
      </c>
      <c r="Q175" s="504" t="s">
        <v>627</v>
      </c>
    </row>
    <row r="177" spans="2:17" ht="54" customHeight="1" x14ac:dyDescent="0.2">
      <c r="B177" s="472"/>
      <c r="C177" s="473" t="s">
        <v>582</v>
      </c>
      <c r="D177" s="474"/>
      <c r="E177" s="476"/>
      <c r="F177" s="475"/>
      <c r="G177" s="476"/>
      <c r="H177" s="476"/>
      <c r="I177" s="475"/>
      <c r="J177" s="476"/>
      <c r="K177" s="475"/>
      <c r="L177" s="474"/>
      <c r="M177" s="474"/>
      <c r="N177" s="474"/>
      <c r="O177" s="474"/>
      <c r="P177" s="474"/>
      <c r="Q177" s="477"/>
    </row>
    <row r="261" spans="2:17" x14ac:dyDescent="0.2">
      <c r="P261" s="504" t="s">
        <v>625</v>
      </c>
      <c r="Q261" s="538">
        <f>+Q173</f>
        <v>30</v>
      </c>
    </row>
    <row r="262" spans="2:17" x14ac:dyDescent="0.2">
      <c r="Q262" s="504" t="s">
        <v>626</v>
      </c>
    </row>
    <row r="263" spans="2:17" x14ac:dyDescent="0.2">
      <c r="B263" s="543">
        <f>+B175</f>
        <v>0</v>
      </c>
      <c r="Q263" s="504" t="s">
        <v>627</v>
      </c>
    </row>
  </sheetData>
  <dataConsolidate/>
  <printOptions horizontalCentered="1"/>
  <pageMargins left="0.70866141732283472" right="0.70866141732283472" top="0.74803149606299213" bottom="0.74803149606299213" header="0.31496062992125984" footer="0.31496062992125984"/>
  <pageSetup paperSize="9" scale="58" fitToHeight="0" orientation="portrait" verticalDpi="300" r:id="rId1"/>
  <headerFooter alignWithMargins="0">
    <oddFooter>&amp;L&amp;A&amp;C&amp;B Confidencial&amp;B&amp;RPágina &amp;P</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3" tint="-0.499984740745262"/>
    <pageSetUpPr fitToPage="1"/>
  </sheetPr>
  <dimension ref="B2:L150"/>
  <sheetViews>
    <sheetView showGridLines="0" showZeros="0" showRuler="0" showOutlineSymbols="0" topLeftCell="A110" zoomScale="120" zoomScaleNormal="120" zoomScaleSheetLayoutView="100" workbookViewId="0">
      <selection activeCell="G147" sqref="G147"/>
    </sheetView>
  </sheetViews>
  <sheetFormatPr baseColWidth="10" defaultColWidth="11.42578125" defaultRowHeight="14.25" outlineLevelRow="4" x14ac:dyDescent="0.2"/>
  <cols>
    <col min="1" max="1" width="3.28515625" style="1" customWidth="1"/>
    <col min="2" max="4" width="20.7109375" style="1" customWidth="1"/>
    <col min="5" max="5" width="20.7109375" style="3" customWidth="1"/>
    <col min="6" max="6" width="20.7109375" style="2" customWidth="1"/>
    <col min="7" max="7" width="20.7109375" style="3" customWidth="1"/>
    <col min="8" max="8" width="9.7109375" style="2" customWidth="1"/>
    <col min="9" max="9" width="10.7109375" style="2" customWidth="1"/>
    <col min="10" max="10" width="10.7109375" style="3" customWidth="1"/>
    <col min="11" max="11" width="10.7109375" style="2" customWidth="1"/>
    <col min="12" max="12" width="19.7109375" style="1" customWidth="1"/>
    <col min="13" max="13" width="12.85546875" style="1" customWidth="1"/>
    <col min="14" max="14" width="15.7109375" style="1" bestFit="1" customWidth="1"/>
    <col min="15" max="15" width="11.42578125" style="1"/>
    <col min="16" max="16" width="58.28515625" style="1" bestFit="1" customWidth="1"/>
    <col min="17" max="17" width="13.85546875" style="1" bestFit="1" customWidth="1"/>
    <col min="18" max="18" width="10.5703125" style="1" customWidth="1"/>
    <col min="19" max="16384" width="11.42578125" style="1"/>
  </cols>
  <sheetData>
    <row r="2" spans="2:11" ht="54" customHeight="1" x14ac:dyDescent="0.2">
      <c r="B2" s="239"/>
      <c r="C2" s="353" t="s">
        <v>628</v>
      </c>
      <c r="D2" s="238"/>
      <c r="E2" s="241"/>
      <c r="F2" s="242"/>
      <c r="G2" s="241"/>
    </row>
    <row r="3" spans="2:11" x14ac:dyDescent="0.2">
      <c r="B3" s="243" t="s">
        <v>290</v>
      </c>
      <c r="C3" s="244"/>
      <c r="D3" s="243"/>
      <c r="E3" s="244"/>
      <c r="F3" s="243" t="s">
        <v>291</v>
      </c>
      <c r="G3" s="244"/>
    </row>
    <row r="4" spans="2:11" x14ac:dyDescent="0.2">
      <c r="B4" s="383" t="s">
        <v>292</v>
      </c>
      <c r="C4" s="392"/>
      <c r="D4" s="383" t="s">
        <v>293</v>
      </c>
      <c r="E4" s="396">
        <f>+'0. Change Control'!E4</f>
        <v>0</v>
      </c>
      <c r="F4" s="383" t="s">
        <v>294</v>
      </c>
      <c r="G4" s="398">
        <f>+'0. Change Control'!G4</f>
        <v>0</v>
      </c>
    </row>
    <row r="5" spans="2:11" x14ac:dyDescent="0.2">
      <c r="B5" s="383" t="s">
        <v>295</v>
      </c>
      <c r="C5" s="393">
        <f>+'0. Change Control'!C5</f>
        <v>0</v>
      </c>
      <c r="D5" s="383" t="s">
        <v>296</v>
      </c>
      <c r="E5" s="397">
        <f>+'0. Change Control'!E5</f>
        <v>0</v>
      </c>
      <c r="F5" s="383" t="s">
        <v>297</v>
      </c>
      <c r="G5" s="399">
        <f>+'0. Change Control'!G5</f>
        <v>0</v>
      </c>
    </row>
    <row r="6" spans="2:11" x14ac:dyDescent="0.2">
      <c r="B6" s="383" t="s">
        <v>298</v>
      </c>
      <c r="C6" s="394">
        <f>+'0. Change Control'!C6</f>
        <v>0</v>
      </c>
      <c r="D6" s="383" t="s">
        <v>299</v>
      </c>
      <c r="E6" s="396">
        <f>+'0. Change Control'!E6</f>
        <v>0</v>
      </c>
      <c r="F6" s="383" t="s">
        <v>300</v>
      </c>
      <c r="G6" s="396">
        <f>+'0. Change Control'!G6</f>
        <v>0</v>
      </c>
    </row>
    <row r="7" spans="2:11" x14ac:dyDescent="0.2">
      <c r="B7" s="383" t="s">
        <v>301</v>
      </c>
      <c r="C7" s="395">
        <f>+'0. Change Control'!C7</f>
        <v>0</v>
      </c>
      <c r="D7" s="383" t="s">
        <v>302</v>
      </c>
      <c r="E7" s="396">
        <f>+'0. Change Control'!E7</f>
        <v>0</v>
      </c>
      <c r="F7" s="383" t="s">
        <v>303</v>
      </c>
      <c r="G7" s="395" t="str">
        <f>+'0. Change Control'!G7</f>
        <v>OEM</v>
      </c>
    </row>
    <row r="8" spans="2:11" x14ac:dyDescent="0.2">
      <c r="B8" s="383" t="s">
        <v>305</v>
      </c>
      <c r="C8" s="387">
        <f>+'0. Change Control'!C8</f>
        <v>0</v>
      </c>
      <c r="D8" s="383" t="s">
        <v>306</v>
      </c>
      <c r="E8" s="396" t="str">
        <f>+'0. Change Control'!E8</f>
        <v>_</v>
      </c>
      <c r="F8" s="383" t="s">
        <v>307</v>
      </c>
      <c r="G8" s="398">
        <f ca="1">+'0. Change Control'!G8</f>
        <v>46091</v>
      </c>
    </row>
    <row r="9" spans="2:11" ht="8.1" customHeight="1" x14ac:dyDescent="0.2">
      <c r="E9" s="1"/>
    </row>
    <row r="10" spans="2:11" ht="15.75" x14ac:dyDescent="0.2">
      <c r="B10" s="378" t="s">
        <v>629</v>
      </c>
      <c r="C10" s="379"/>
      <c r="D10" s="379"/>
      <c r="E10" s="379"/>
      <c r="F10" s="379"/>
      <c r="G10" s="379"/>
    </row>
    <row r="11" spans="2:11" s="69" customFormat="1" ht="8.1" customHeight="1" x14ac:dyDescent="0.2">
      <c r="F11" s="336"/>
      <c r="G11" s="337"/>
      <c r="H11" s="336"/>
      <c r="I11" s="336"/>
      <c r="J11" s="337"/>
      <c r="K11" s="336"/>
    </row>
    <row r="12" spans="2:11" s="69" customFormat="1" ht="12.75" customHeight="1" outlineLevel="4" x14ac:dyDescent="0.2">
      <c r="B12" s="338" t="s">
        <v>630</v>
      </c>
      <c r="C12" s="339"/>
      <c r="D12" s="339"/>
      <c r="E12" s="339"/>
      <c r="F12" s="339"/>
      <c r="G12" s="339"/>
      <c r="H12" s="336"/>
      <c r="I12" s="336"/>
      <c r="J12" s="337"/>
      <c r="K12" s="336"/>
    </row>
    <row r="13" spans="2:11" s="69" customFormat="1" ht="12.75" customHeight="1" outlineLevel="4" x14ac:dyDescent="0.2">
      <c r="B13" s="340" t="s">
        <v>631</v>
      </c>
      <c r="C13" s="340"/>
      <c r="D13" s="341" t="s">
        <v>527</v>
      </c>
      <c r="E13" s="342" t="s">
        <v>632</v>
      </c>
      <c r="F13" s="340" t="s">
        <v>351</v>
      </c>
      <c r="G13" s="340"/>
      <c r="H13" s="336"/>
      <c r="I13" s="336"/>
      <c r="J13" s="337"/>
      <c r="K13" s="336"/>
    </row>
    <row r="14" spans="2:11" s="69" customFormat="1" ht="12.75" customHeight="1" outlineLevel="4" x14ac:dyDescent="0.2">
      <c r="B14" s="343" t="str">
        <f>+'1.1. Bill of materials'!Z4</f>
        <v>Gross Material Cost per piece (€)</v>
      </c>
      <c r="C14" s="344"/>
      <c r="D14" s="370">
        <f>+'1.1. Bill of materials'!Z55</f>
        <v>0</v>
      </c>
      <c r="E14" s="371" t="e">
        <f t="shared" ref="E14:E17" si="0">+D14/$D$19</f>
        <v>#DIV/0!</v>
      </c>
      <c r="F14" s="345"/>
      <c r="G14" s="346"/>
      <c r="H14" s="336"/>
    </row>
    <row r="15" spans="2:11" s="69" customFormat="1" ht="12.75" customHeight="1" outlineLevel="4" x14ac:dyDescent="0.2">
      <c r="B15" s="347" t="str">
        <f>+'1.1. Bill of materials'!AA4</f>
        <v>Transport Cost (€)</v>
      </c>
      <c r="C15" s="348"/>
      <c r="D15" s="372">
        <f>+'1.1. Bill of materials'!AA55</f>
        <v>0</v>
      </c>
      <c r="E15" s="371" t="e">
        <f t="shared" si="0"/>
        <v>#DIV/0!</v>
      </c>
      <c r="F15" s="345"/>
      <c r="G15" s="346"/>
      <c r="H15" s="336"/>
    </row>
    <row r="16" spans="2:11" s="69" customFormat="1" ht="12.75" customHeight="1" outlineLevel="4" x14ac:dyDescent="0.2">
      <c r="B16" s="347" t="str">
        <f>+'1.1. Bill of materials'!AB4</f>
        <v>Scrap cost (€)</v>
      </c>
      <c r="C16" s="348"/>
      <c r="D16" s="372">
        <f>+'1.1. Bill of materials'!AB55</f>
        <v>0</v>
      </c>
      <c r="E16" s="371" t="e">
        <f t="shared" si="0"/>
        <v>#DIV/0!</v>
      </c>
      <c r="F16" s="345"/>
      <c r="G16" s="346"/>
      <c r="H16" s="336"/>
    </row>
    <row r="17" spans="2:12" s="69" customFormat="1" ht="12.75" customHeight="1" outlineLevel="4" x14ac:dyDescent="0.2">
      <c r="B17" s="347" t="str">
        <f>+'1.1. Bill of materials'!AC4</f>
        <v>Mark-up Cost (€)</v>
      </c>
      <c r="C17" s="348"/>
      <c r="D17" s="372">
        <f>+'1.1. Bill of materials'!AC55</f>
        <v>0</v>
      </c>
      <c r="E17" s="371" t="e">
        <f t="shared" si="0"/>
        <v>#DIV/0!</v>
      </c>
      <c r="F17" s="345"/>
      <c r="G17" s="346"/>
      <c r="H17" s="336"/>
    </row>
    <row r="18" spans="2:12" s="69" customFormat="1" ht="12.75" customHeight="1" outlineLevel="4" x14ac:dyDescent="0.2">
      <c r="B18" s="347" t="str">
        <f>+'1.1. Bill of materials'!AD4</f>
        <v>Base material ratio (€)</v>
      </c>
      <c r="C18" s="348"/>
      <c r="D18" s="372">
        <f>+'1.1. Bill of materials'!AD55</f>
        <v>0</v>
      </c>
      <c r="E18" s="371" t="e">
        <f>+D18/$D$19</f>
        <v>#DIV/0!</v>
      </c>
      <c r="F18" s="345"/>
      <c r="G18" s="346"/>
      <c r="H18" s="336"/>
    </row>
    <row r="19" spans="2:12" s="69" customFormat="1" ht="12.75" customHeight="1" outlineLevel="4" x14ac:dyDescent="0.2">
      <c r="B19" s="349" t="str">
        <f>+'1.1. Bill of materials'!AE4</f>
        <v>Net Material (€/pc)</v>
      </c>
      <c r="C19" s="350"/>
      <c r="D19" s="373">
        <f>+'1.1. Bill of materials'!AE55</f>
        <v>0</v>
      </c>
      <c r="E19" s="374" t="e">
        <f>+D19/D19</f>
        <v>#DIV/0!</v>
      </c>
      <c r="F19" s="345"/>
      <c r="G19" s="346"/>
      <c r="H19" s="336"/>
    </row>
    <row r="20" spans="2:12" s="69" customFormat="1" ht="8.1" customHeight="1" x14ac:dyDescent="0.2"/>
    <row r="21" spans="2:12" s="69" customFormat="1" ht="12.75" customHeight="1" x14ac:dyDescent="0.2">
      <c r="B21" s="338" t="s">
        <v>633</v>
      </c>
      <c r="C21" s="339"/>
      <c r="D21" s="339"/>
      <c r="E21" s="339"/>
      <c r="F21" s="339"/>
      <c r="G21" s="339"/>
    </row>
    <row r="22" spans="2:12" s="69" customFormat="1" ht="12.75" customHeight="1" x14ac:dyDescent="0.2">
      <c r="B22" s="340" t="s">
        <v>631</v>
      </c>
      <c r="C22" s="340"/>
      <c r="D22" s="341" t="s">
        <v>527</v>
      </c>
      <c r="E22" s="342" t="s">
        <v>632</v>
      </c>
      <c r="F22" s="340" t="s">
        <v>351</v>
      </c>
      <c r="G22" s="340"/>
    </row>
    <row r="23" spans="2:12" s="69" customFormat="1" ht="12.75" customHeight="1" x14ac:dyDescent="0.2">
      <c r="B23" s="343" t="str">
        <f>+'LISTAS DATOS'!A58</f>
        <v>Purchased component</v>
      </c>
      <c r="C23" s="344"/>
      <c r="D23" s="370">
        <f>+SUMIF('1.1. Bill of materials'!$G$5:$G$54,'2. Cost Summary'!B23,'1.1. Bill of materials'!$AE$5:$AE$54)</f>
        <v>0</v>
      </c>
      <c r="E23" s="371" t="e">
        <f t="shared" ref="E23:E24" si="1">+D23/$D$26</f>
        <v>#DIV/0!</v>
      </c>
      <c r="F23" s="345"/>
      <c r="G23" s="346"/>
      <c r="H23" s="336"/>
      <c r="I23" s="336"/>
      <c r="J23" s="337"/>
      <c r="K23" s="336"/>
    </row>
    <row r="24" spans="2:12" s="69" customFormat="1" ht="12.75" customHeight="1" x14ac:dyDescent="0.2">
      <c r="B24" s="343" t="str">
        <f>+'LISTAS DATOS'!A59</f>
        <v>Outsourced service</v>
      </c>
      <c r="C24" s="344"/>
      <c r="D24" s="370">
        <f>+SUMIF('1.1. Bill of materials'!$G$5:$G$54,'2. Cost Summary'!B24,'1.1. Bill of materials'!$AE$5:$AE$54)</f>
        <v>0</v>
      </c>
      <c r="E24" s="371" t="e">
        <f t="shared" si="1"/>
        <v>#DIV/0!</v>
      </c>
      <c r="F24" s="345"/>
      <c r="G24" s="346"/>
      <c r="H24" s="336"/>
      <c r="I24" s="336"/>
      <c r="J24" s="337"/>
      <c r="K24" s="336"/>
    </row>
    <row r="25" spans="2:12" s="69" customFormat="1" ht="12.75" customHeight="1" x14ac:dyDescent="0.2">
      <c r="B25" s="343" t="str">
        <f>+'LISTAS DATOS'!A60</f>
        <v>Raw Material</v>
      </c>
      <c r="C25" s="344"/>
      <c r="D25" s="370">
        <f>+SUMIF('1.1. Bill of materials'!$G$5:$G$54,'2. Cost Summary'!B25,'1.1. Bill of materials'!$AE$5:$AE$54)</f>
        <v>0</v>
      </c>
      <c r="E25" s="371" t="e">
        <f>+D25/$D$26</f>
        <v>#DIV/0!</v>
      </c>
      <c r="F25" s="345"/>
      <c r="G25" s="346"/>
      <c r="H25" s="336"/>
      <c r="I25" s="336"/>
      <c r="J25" s="337"/>
      <c r="K25" s="336"/>
    </row>
    <row r="26" spans="2:12" s="69" customFormat="1" ht="12.75" customHeight="1" x14ac:dyDescent="0.2">
      <c r="B26" s="349" t="str">
        <f>+B19</f>
        <v>Net Material (€/pc)</v>
      </c>
      <c r="C26" s="350"/>
      <c r="D26" s="373">
        <f>+SUM(D23:D25)</f>
        <v>0</v>
      </c>
      <c r="E26" s="374" t="e">
        <f>+D26/D26</f>
        <v>#DIV/0!</v>
      </c>
      <c r="F26" s="345"/>
      <c r="G26" s="346"/>
    </row>
    <row r="27" spans="2:12" s="69" customFormat="1" ht="8.1" customHeight="1" x14ac:dyDescent="0.2"/>
    <row r="28" spans="2:12" ht="15.75" x14ac:dyDescent="0.2">
      <c r="B28" s="378" t="s">
        <v>634</v>
      </c>
      <c r="C28" s="379"/>
      <c r="D28" s="379"/>
      <c r="E28" s="379"/>
      <c r="F28" s="379"/>
      <c r="G28" s="379"/>
    </row>
    <row r="29" spans="2:12" s="69" customFormat="1" ht="8.1" customHeight="1" x14ac:dyDescent="0.2">
      <c r="F29" s="336"/>
      <c r="G29" s="337"/>
      <c r="L29" s="318"/>
    </row>
    <row r="30" spans="2:12" s="69" customFormat="1" ht="12.75" customHeight="1" x14ac:dyDescent="0.2">
      <c r="B30" s="338" t="s">
        <v>635</v>
      </c>
      <c r="C30" s="339"/>
      <c r="D30" s="339"/>
      <c r="E30" s="339"/>
      <c r="F30" s="339"/>
      <c r="G30" s="339"/>
      <c r="H30" s="336"/>
      <c r="I30" s="336"/>
      <c r="J30" s="337"/>
      <c r="K30" s="336"/>
    </row>
    <row r="31" spans="2:12" s="69" customFormat="1" ht="12.75" customHeight="1" x14ac:dyDescent="0.2">
      <c r="B31" s="340" t="s">
        <v>631</v>
      </c>
      <c r="C31" s="340"/>
      <c r="D31" s="341" t="s">
        <v>527</v>
      </c>
      <c r="E31" s="342" t="s">
        <v>632</v>
      </c>
      <c r="F31" s="340" t="s">
        <v>351</v>
      </c>
      <c r="G31" s="340"/>
      <c r="H31" s="336"/>
      <c r="I31" s="336"/>
      <c r="J31" s="337"/>
      <c r="K31" s="336"/>
    </row>
    <row r="32" spans="2:12" s="69" customFormat="1" ht="12.75" customHeight="1" x14ac:dyDescent="0.2">
      <c r="B32" s="351" t="s">
        <v>636</v>
      </c>
      <c r="C32" s="352"/>
      <c r="D32" s="372">
        <f>+SUM(D33:D41)</f>
        <v>0</v>
      </c>
      <c r="E32" s="371" t="e">
        <f t="shared" ref="E32:E44" si="2">+D32/$D$46</f>
        <v>#DIV/0!</v>
      </c>
      <c r="F32" s="345"/>
      <c r="G32" s="346"/>
      <c r="H32" s="336"/>
    </row>
    <row r="33" spans="2:8" s="69" customFormat="1" ht="12.75" customHeight="1" x14ac:dyDescent="0.2">
      <c r="B33" s="343" t="str">
        <f>+'LISTAS DATOS'!A10</f>
        <v>M1</v>
      </c>
      <c r="C33" s="344"/>
      <c r="D33" s="372">
        <f>+SUMIF('1.2. Working plan'!$L$6:$L$38,'2. Cost Summary'!B33,'1.2. Working plan'!$AF$6:$AF$38)</f>
        <v>0</v>
      </c>
      <c r="E33" s="371" t="e">
        <f t="shared" si="2"/>
        <v>#DIV/0!</v>
      </c>
      <c r="F33" s="345"/>
      <c r="G33" s="346"/>
      <c r="H33" s="336"/>
    </row>
    <row r="34" spans="2:8" s="69" customFormat="1" ht="12.75" customHeight="1" x14ac:dyDescent="0.2">
      <c r="B34" s="343" t="str">
        <f>+'LISTAS DATOS'!A11</f>
        <v>M2</v>
      </c>
      <c r="C34" s="344"/>
      <c r="D34" s="372">
        <f>+SUMIF('1.2. Working plan'!$L$6:$L$38,'2. Cost Summary'!B34,'1.2. Working plan'!$AF$6:$AF$38)</f>
        <v>0</v>
      </c>
      <c r="E34" s="371" t="e">
        <f t="shared" si="2"/>
        <v>#DIV/0!</v>
      </c>
      <c r="F34" s="345"/>
      <c r="G34" s="346"/>
      <c r="H34" s="336"/>
    </row>
    <row r="35" spans="2:8" s="69" customFormat="1" ht="12.75" customHeight="1" x14ac:dyDescent="0.2">
      <c r="B35" s="343" t="str">
        <f>+'LISTAS DATOS'!A12</f>
        <v>M3</v>
      </c>
      <c r="C35" s="344"/>
      <c r="D35" s="372">
        <f>+SUMIF('1.2. Working plan'!$L$6:$L$38,'2. Cost Summary'!B35,'1.2. Working plan'!$AF$6:$AF$38)</f>
        <v>0</v>
      </c>
      <c r="E35" s="371" t="e">
        <f t="shared" si="2"/>
        <v>#DIV/0!</v>
      </c>
      <c r="F35" s="345"/>
      <c r="G35" s="346"/>
      <c r="H35" s="336"/>
    </row>
    <row r="36" spans="2:8" s="69" customFormat="1" ht="12.75" customHeight="1" x14ac:dyDescent="0.2">
      <c r="B36" s="343" t="str">
        <f>+'LISTAS DATOS'!A13</f>
        <v>M4</v>
      </c>
      <c r="C36" s="344"/>
      <c r="D36" s="372">
        <f>+SUMIF('1.2. Working plan'!$L$6:$L$38,'2. Cost Summary'!B36,'1.2. Working plan'!$AF$6:$AF$38)</f>
        <v>0</v>
      </c>
      <c r="E36" s="371" t="e">
        <f t="shared" si="2"/>
        <v>#DIV/0!</v>
      </c>
      <c r="F36" s="345"/>
      <c r="G36" s="346"/>
      <c r="H36" s="336"/>
    </row>
    <row r="37" spans="2:8" s="69" customFormat="1" ht="12.75" customHeight="1" x14ac:dyDescent="0.2">
      <c r="B37" s="343" t="str">
        <f>+'LISTAS DATOS'!A14</f>
        <v>M5</v>
      </c>
      <c r="C37" s="344"/>
      <c r="D37" s="372">
        <f>+SUMIF('1.2. Working plan'!$L$6:$L$38,'2. Cost Summary'!B37,'1.2. Working plan'!$AF$6:$AF$38)</f>
        <v>0</v>
      </c>
      <c r="E37" s="371" t="e">
        <f t="shared" si="2"/>
        <v>#DIV/0!</v>
      </c>
      <c r="F37" s="345"/>
      <c r="G37" s="346"/>
      <c r="H37" s="336"/>
    </row>
    <row r="38" spans="2:8" s="69" customFormat="1" ht="12.75" customHeight="1" x14ac:dyDescent="0.2">
      <c r="B38" s="343" t="str">
        <f>+'LISTAS DATOS'!A15</f>
        <v>LAB. ENSAYOS</v>
      </c>
      <c r="C38" s="344"/>
      <c r="D38" s="372">
        <f>+SUMIF('1.2. Working plan'!$L$6:$L$38,'2. Cost Summary'!B38,'1.2. Working plan'!$AF$6:$AF$38)</f>
        <v>0</v>
      </c>
      <c r="E38" s="371" t="e">
        <f t="shared" si="2"/>
        <v>#DIV/0!</v>
      </c>
      <c r="F38" s="345"/>
      <c r="G38" s="346"/>
      <c r="H38" s="336"/>
    </row>
    <row r="39" spans="2:8" s="69" customFormat="1" ht="12.75" customHeight="1" x14ac:dyDescent="0.2">
      <c r="B39" s="343" t="str">
        <f>+'LISTAS DATOS'!A16</f>
        <v>ENV</v>
      </c>
      <c r="C39" s="344"/>
      <c r="D39" s="372">
        <f>+SUMIF('1.2. Working plan'!$L$6:$L$38,'2. Cost Summary'!B39,'1.2. Working plan'!$AF$6:$AF$38)</f>
        <v>0</v>
      </c>
      <c r="E39" s="371" t="e">
        <f t="shared" si="2"/>
        <v>#DIV/0!</v>
      </c>
      <c r="F39" s="345"/>
      <c r="G39" s="346"/>
      <c r="H39" s="336"/>
    </row>
    <row r="40" spans="2:8" s="69" customFormat="1" ht="12.75" customHeight="1" x14ac:dyDescent="0.2">
      <c r="B40" s="343" t="str">
        <f>+'LISTAS DATOS'!A17</f>
        <v>SB</v>
      </c>
      <c r="C40" s="344"/>
      <c r="D40" s="372">
        <f>+SUMIF('1.2. Working plan'!$L$6:$L$38,'2. Cost Summary'!B40,'1.2. Working plan'!$AF$6:$AF$38)</f>
        <v>0</v>
      </c>
      <c r="E40" s="371" t="e">
        <f t="shared" si="2"/>
        <v>#DIV/0!</v>
      </c>
      <c r="F40" s="345"/>
      <c r="G40" s="346"/>
      <c r="H40" s="336"/>
    </row>
    <row r="41" spans="2:8" s="69" customFormat="1" ht="12.75" customHeight="1" x14ac:dyDescent="0.2">
      <c r="B41" s="343" t="str">
        <f>+'LISTAS DATOS'!A18</f>
        <v>SL</v>
      </c>
      <c r="C41" s="344"/>
      <c r="D41" s="372">
        <f>+SUMIF('1.2. Working plan'!$L$6:$L$38,'2. Cost Summary'!B41,'1.2. Working plan'!$AF$6:$AF$38)</f>
        <v>0</v>
      </c>
      <c r="E41" s="371" t="e">
        <f t="shared" si="2"/>
        <v>#DIV/0!</v>
      </c>
      <c r="F41" s="345"/>
      <c r="G41" s="346"/>
      <c r="H41" s="336"/>
    </row>
    <row r="42" spans="2:8" s="69" customFormat="1" ht="12.75" customHeight="1" x14ac:dyDescent="0.2">
      <c r="B42" s="351" t="s">
        <v>637</v>
      </c>
      <c r="C42" s="352"/>
      <c r="D42" s="372">
        <f>+SUM(D43:D45)</f>
        <v>0</v>
      </c>
      <c r="E42" s="371" t="e">
        <f t="shared" si="2"/>
        <v>#DIV/0!</v>
      </c>
      <c r="F42" s="345"/>
      <c r="G42" s="346"/>
      <c r="H42" s="336"/>
    </row>
    <row r="43" spans="2:8" s="69" customFormat="1" ht="12.75" customHeight="1" x14ac:dyDescent="0.2">
      <c r="B43" s="343" t="str">
        <f>+'LISTAS DATOS'!A19</f>
        <v>GUIMFA</v>
      </c>
      <c r="C43" s="344"/>
      <c r="D43" s="372">
        <f>+SUMIF('1.2. Working plan'!$L$6:$L$38,'2. Cost Summary'!B43,'1.2. Working plan'!$AF$6:$AF$38)</f>
        <v>0</v>
      </c>
      <c r="E43" s="371" t="e">
        <f t="shared" si="2"/>
        <v>#DIV/0!</v>
      </c>
      <c r="F43" s="345"/>
      <c r="G43" s="346"/>
      <c r="H43" s="336"/>
    </row>
    <row r="44" spans="2:8" s="69" customFormat="1" ht="12.75" customHeight="1" x14ac:dyDescent="0.2">
      <c r="B44" s="343" t="str">
        <f>+'LISTAS DATOS'!A20</f>
        <v>MUNTFA</v>
      </c>
      <c r="C44" s="344"/>
      <c r="D44" s="372">
        <f>+SUMIF('1.2. Working plan'!$L$6:$L$38,'2. Cost Summary'!B44,'1.2. Working plan'!$AF$6:$AF$38)</f>
        <v>0</v>
      </c>
      <c r="E44" s="371" t="e">
        <f t="shared" si="2"/>
        <v>#DIV/0!</v>
      </c>
      <c r="F44" s="345"/>
      <c r="G44" s="346"/>
      <c r="H44" s="336"/>
    </row>
    <row r="45" spans="2:8" s="69" customFormat="1" ht="12.75" customHeight="1" x14ac:dyDescent="0.2">
      <c r="B45" s="343" t="str">
        <f>+'LISTAS DATOS'!A21</f>
        <v>ZERVE3</v>
      </c>
      <c r="C45" s="344"/>
      <c r="D45" s="372">
        <f>+SUMIF('1.2. Working plan'!$L$6:$L$38,'2. Cost Summary'!B45,'1.2. Working plan'!$AF$6:$AF$38)</f>
        <v>0</v>
      </c>
      <c r="E45" s="371" t="e">
        <f>+D45/$D$46</f>
        <v>#DIV/0!</v>
      </c>
      <c r="F45" s="345"/>
      <c r="G45" s="346"/>
      <c r="H45" s="336"/>
    </row>
    <row r="46" spans="2:8" s="69" customFormat="1" ht="12.75" customHeight="1" x14ac:dyDescent="0.2">
      <c r="B46" s="349" t="str">
        <f>+B58</f>
        <v>Labor &amp; Operations Total (€/pc)</v>
      </c>
      <c r="C46" s="350"/>
      <c r="D46" s="373">
        <f>+SUM(D42,D32)</f>
        <v>0</v>
      </c>
      <c r="E46" s="374" t="e">
        <f>+D46/D46</f>
        <v>#DIV/0!</v>
      </c>
      <c r="F46" s="345"/>
      <c r="G46" s="346"/>
      <c r="H46" s="336"/>
    </row>
    <row r="47" spans="2:8" s="69" customFormat="1" ht="8.1" customHeight="1" x14ac:dyDescent="0.2"/>
    <row r="48" spans="2:8" s="69" customFormat="1" ht="12.75" customHeight="1" x14ac:dyDescent="0.2">
      <c r="B48" s="338" t="s">
        <v>638</v>
      </c>
      <c r="C48" s="339"/>
      <c r="D48" s="339"/>
      <c r="E48" s="339"/>
      <c r="F48" s="339"/>
      <c r="G48" s="339"/>
    </row>
    <row r="49" spans="2:11" s="69" customFormat="1" ht="12.75" customHeight="1" x14ac:dyDescent="0.2">
      <c r="B49" s="340" t="s">
        <v>631</v>
      </c>
      <c r="C49" s="340"/>
      <c r="D49" s="341" t="s">
        <v>527</v>
      </c>
      <c r="E49" s="342" t="s">
        <v>632</v>
      </c>
      <c r="F49" s="340" t="s">
        <v>351</v>
      </c>
      <c r="G49" s="340"/>
    </row>
    <row r="50" spans="2:11" s="69" customFormat="1" ht="12.75" customHeight="1" x14ac:dyDescent="0.2">
      <c r="B50" s="343" t="str">
        <f>+'1.2. Working plan'!X5</f>
        <v>Labor cost (€/pc)</v>
      </c>
      <c r="C50" s="344"/>
      <c r="D50" s="370">
        <f>+'1.2. Working plan'!X39</f>
        <v>0</v>
      </c>
      <c r="E50" s="371" t="e">
        <f>+D50/$D$58</f>
        <v>#DIV/0!</v>
      </c>
      <c r="F50" s="345"/>
      <c r="G50" s="346"/>
      <c r="H50" s="336"/>
      <c r="I50" s="336"/>
      <c r="J50" s="337"/>
      <c r="K50" s="336"/>
    </row>
    <row r="51" spans="2:11" s="69" customFormat="1" ht="12.75" customHeight="1" x14ac:dyDescent="0.2">
      <c r="B51" s="343" t="str">
        <f>+'1.2. Working plan'!Y5</f>
        <v>Profit (€/pc)</v>
      </c>
      <c r="C51" s="344"/>
      <c r="D51" s="370">
        <f>+'1.2. Working plan'!Y39</f>
        <v>0</v>
      </c>
      <c r="E51" s="371" t="e">
        <f t="shared" ref="E51:E57" si="3">+D51/$D$58</f>
        <v>#DIV/0!</v>
      </c>
      <c r="F51" s="345"/>
      <c r="G51" s="346"/>
      <c r="H51" s="336"/>
      <c r="I51" s="336"/>
      <c r="J51" s="337"/>
      <c r="K51" s="336"/>
    </row>
    <row r="52" spans="2:11" s="69" customFormat="1" ht="12.75" customHeight="1" x14ac:dyDescent="0.2">
      <c r="B52" s="343" t="str">
        <f>+'1.2. Working plan'!Z5</f>
        <v>Overheads (€/pc)</v>
      </c>
      <c r="C52" s="344"/>
      <c r="D52" s="370">
        <f>+'1.2. Working plan'!Z39</f>
        <v>0</v>
      </c>
      <c r="E52" s="371" t="e">
        <f t="shared" si="3"/>
        <v>#DIV/0!</v>
      </c>
      <c r="F52" s="345"/>
      <c r="G52" s="346"/>
      <c r="H52" s="336"/>
      <c r="I52" s="336"/>
      <c r="J52" s="337"/>
      <c r="K52" s="336"/>
    </row>
    <row r="53" spans="2:11" s="69" customFormat="1" ht="12.75" customHeight="1" x14ac:dyDescent="0.2">
      <c r="B53" s="343" t="str">
        <f>+'1.2. Working plan'!AA5</f>
        <v>Variable Cost (€/pc)</v>
      </c>
      <c r="C53" s="344"/>
      <c r="D53" s="370">
        <f>+'1.2. Working plan'!AA39</f>
        <v>0</v>
      </c>
      <c r="E53" s="371" t="e">
        <f t="shared" si="3"/>
        <v>#DIV/0!</v>
      </c>
      <c r="F53" s="345"/>
      <c r="G53" s="346"/>
      <c r="H53" s="336"/>
      <c r="I53" s="336"/>
      <c r="J53" s="337"/>
      <c r="K53" s="336"/>
    </row>
    <row r="54" spans="2:11" s="69" customFormat="1" ht="12.75" customHeight="1" x14ac:dyDescent="0.2">
      <c r="B54" s="343" t="str">
        <f>+'1.2. Working plan'!AB5</f>
        <v>Machine cost (€/pc)</v>
      </c>
      <c r="C54" s="344"/>
      <c r="D54" s="370">
        <f>+'1.2. Working plan'!AB39</f>
        <v>0</v>
      </c>
      <c r="E54" s="371" t="e">
        <f t="shared" si="3"/>
        <v>#DIV/0!</v>
      </c>
      <c r="F54" s="345"/>
      <c r="G54" s="346"/>
      <c r="H54" s="336"/>
      <c r="I54" s="336"/>
      <c r="J54" s="337"/>
      <c r="K54" s="336"/>
    </row>
    <row r="55" spans="2:11" s="69" customFormat="1" ht="12.75" customHeight="1" x14ac:dyDescent="0.2">
      <c r="B55" s="343" t="str">
        <f>+'1.2. Working plan'!AC5</f>
        <v>Set-up (€/pc)</v>
      </c>
      <c r="C55" s="344"/>
      <c r="D55" s="370">
        <f>+'1.2. Working plan'!AC39</f>
        <v>0</v>
      </c>
      <c r="E55" s="371" t="e">
        <f t="shared" si="3"/>
        <v>#DIV/0!</v>
      </c>
      <c r="F55" s="345"/>
      <c r="G55" s="346"/>
      <c r="H55" s="336"/>
      <c r="I55" s="336"/>
      <c r="J55" s="337"/>
      <c r="K55" s="336"/>
    </row>
    <row r="56" spans="2:11" s="69" customFormat="1" ht="12.75" customHeight="1" x14ac:dyDescent="0.2">
      <c r="B56" s="343" t="str">
        <f>+'1.2. Working plan'!AD5</f>
        <v>Scrap (€/pc)</v>
      </c>
      <c r="C56" s="344"/>
      <c r="D56" s="370">
        <f>+'1.2. Working plan'!AD39</f>
        <v>0</v>
      </c>
      <c r="E56" s="371" t="e">
        <f t="shared" si="3"/>
        <v>#DIV/0!</v>
      </c>
      <c r="F56" s="345"/>
      <c r="G56" s="346"/>
      <c r="H56" s="336"/>
      <c r="I56" s="336"/>
      <c r="J56" s="337"/>
      <c r="K56" s="336"/>
    </row>
    <row r="57" spans="2:11" s="69" customFormat="1" ht="12.75" customHeight="1" x14ac:dyDescent="0.2">
      <c r="B57" s="343" t="str">
        <f>+'1.2. Working plan'!AE5</f>
        <v>Mark-up (€/pc)</v>
      </c>
      <c r="C57" s="344"/>
      <c r="D57" s="370">
        <f>+'1.2. Working plan'!AE39</f>
        <v>0</v>
      </c>
      <c r="E57" s="371" t="e">
        <f t="shared" si="3"/>
        <v>#DIV/0!</v>
      </c>
      <c r="F57" s="345"/>
      <c r="G57" s="346"/>
      <c r="H57" s="336"/>
      <c r="I57" s="336"/>
      <c r="J57" s="337"/>
      <c r="K57" s="336"/>
    </row>
    <row r="58" spans="2:11" s="69" customFormat="1" ht="12.75" customHeight="1" x14ac:dyDescent="0.2">
      <c r="B58" s="349" t="str">
        <f>+'1.2. Working plan'!AF5</f>
        <v>Labor &amp; Operations Total (€/pc)</v>
      </c>
      <c r="C58" s="350"/>
      <c r="D58" s="373">
        <f>+'1.2. Working plan'!AF39</f>
        <v>0</v>
      </c>
      <c r="E58" s="374" t="e">
        <f>+D58/D58</f>
        <v>#DIV/0!</v>
      </c>
      <c r="F58" s="345"/>
      <c r="G58" s="346"/>
    </row>
    <row r="59" spans="2:11" ht="8.1" customHeight="1" x14ac:dyDescent="0.2"/>
    <row r="60" spans="2:11" ht="15.75" x14ac:dyDescent="0.2">
      <c r="B60" s="378" t="s">
        <v>639</v>
      </c>
      <c r="C60" s="379"/>
      <c r="D60" s="379"/>
      <c r="E60" s="379"/>
      <c r="F60" s="379"/>
      <c r="G60" s="379"/>
    </row>
    <row r="61" spans="2:11" s="69" customFormat="1" ht="8.1" customHeight="1" x14ac:dyDescent="0.2">
      <c r="F61" s="336"/>
      <c r="G61" s="337"/>
      <c r="H61" s="336"/>
      <c r="I61" s="336"/>
      <c r="J61" s="337"/>
      <c r="K61" s="336"/>
    </row>
    <row r="62" spans="2:11" s="69" customFormat="1" ht="12.75" customHeight="1" x14ac:dyDescent="0.2">
      <c r="B62" s="338" t="s">
        <v>640</v>
      </c>
      <c r="C62" s="339"/>
      <c r="D62" s="339"/>
      <c r="E62" s="339"/>
      <c r="F62" s="339"/>
      <c r="G62" s="339"/>
      <c r="H62" s="336"/>
      <c r="I62" s="336"/>
      <c r="J62" s="337"/>
      <c r="K62" s="336"/>
    </row>
    <row r="63" spans="2:11" s="69" customFormat="1" ht="12.75" customHeight="1" x14ac:dyDescent="0.2">
      <c r="B63" s="340" t="s">
        <v>631</v>
      </c>
      <c r="C63" s="340"/>
      <c r="D63" s="341" t="s">
        <v>527</v>
      </c>
      <c r="E63" s="342" t="s">
        <v>632</v>
      </c>
      <c r="F63" s="340" t="s">
        <v>351</v>
      </c>
      <c r="G63" s="340"/>
      <c r="H63" s="336"/>
      <c r="I63" s="336"/>
      <c r="J63" s="337"/>
      <c r="K63" s="336"/>
    </row>
    <row r="64" spans="2:11" s="69" customFormat="1" ht="12.75" customHeight="1" x14ac:dyDescent="0.2">
      <c r="B64" s="343" t="str">
        <f>+'LISTAS DATOS'!A68</f>
        <v>Off-tool</v>
      </c>
      <c r="C64" s="344"/>
      <c r="D64" s="370">
        <f>+SUMIF('1.4. Investments &amp; Development'!$D$5:$D$29,'2. Cost Summary'!B64,'1.4. Investments &amp; Development'!$J$5:$J$29)</f>
        <v>0</v>
      </c>
      <c r="E64" s="371" t="e">
        <f>+D64/$D$69</f>
        <v>#DIV/0!</v>
      </c>
      <c r="F64" s="345"/>
      <c r="G64" s="346"/>
      <c r="H64" s="336"/>
    </row>
    <row r="65" spans="2:11" s="69" customFormat="1" ht="12.75" customHeight="1" x14ac:dyDescent="0.2">
      <c r="B65" s="343" t="str">
        <f>+'LISTAS DATOS'!A69</f>
        <v>Off-Process</v>
      </c>
      <c r="C65" s="348"/>
      <c r="D65" s="370">
        <f>+SUMIF('1.4. Investments &amp; Development'!$D$5:$D$29,'2. Cost Summary'!B65,'1.4. Investments &amp; Development'!$J$5:$J$29)</f>
        <v>0</v>
      </c>
      <c r="E65" s="371" t="e">
        <f t="shared" ref="E65:E68" si="4">+D65/$D$69</f>
        <v>#DIV/0!</v>
      </c>
      <c r="F65" s="345"/>
      <c r="G65" s="346"/>
      <c r="H65" s="336"/>
    </row>
    <row r="66" spans="2:11" s="69" customFormat="1" ht="12.75" customHeight="1" x14ac:dyDescent="0.2">
      <c r="B66" s="343" t="str">
        <f>+'LISTAS DATOS'!A70</f>
        <v>Validation</v>
      </c>
      <c r="C66" s="348"/>
      <c r="D66" s="370">
        <f>+SUMIF('1.4. Investments &amp; Development'!$D$5:$D$29,'2. Cost Summary'!B66,'1.4. Investments &amp; Development'!$J$5:$J$29)</f>
        <v>0</v>
      </c>
      <c r="E66" s="371" t="e">
        <f t="shared" si="4"/>
        <v>#DIV/0!</v>
      </c>
      <c r="F66" s="345"/>
      <c r="G66" s="346"/>
      <c r="H66" s="336"/>
    </row>
    <row r="67" spans="2:11" s="69" customFormat="1" ht="12.75" customHeight="1" x14ac:dyDescent="0.2">
      <c r="B67" s="343" t="str">
        <f>+'LISTAS DATOS'!A71</f>
        <v>Project</v>
      </c>
      <c r="C67" s="348"/>
      <c r="D67" s="370">
        <f>+SUMIF('1.4. Investments &amp; Development'!$D$5:$D$29,'2. Cost Summary'!B67,'1.4. Investments &amp; Development'!$J$5:$J$29)</f>
        <v>0</v>
      </c>
      <c r="E67" s="371" t="e">
        <f t="shared" si="4"/>
        <v>#DIV/0!</v>
      </c>
      <c r="F67" s="345"/>
      <c r="G67" s="346"/>
      <c r="H67" s="336"/>
    </row>
    <row r="68" spans="2:11" s="69" customFormat="1" ht="12.75" customHeight="1" x14ac:dyDescent="0.2">
      <c r="B68" s="343" t="str">
        <f>+'LISTAS DATOS'!A72</f>
        <v>Development</v>
      </c>
      <c r="C68" s="348"/>
      <c r="D68" s="370">
        <f>+SUMIF('1.4. Investments &amp; Development'!$D$5:$D$29,'2. Cost Summary'!B68,'1.4. Investments &amp; Development'!$J$5:$J$29)</f>
        <v>0</v>
      </c>
      <c r="E68" s="371" t="e">
        <f t="shared" si="4"/>
        <v>#DIV/0!</v>
      </c>
      <c r="F68" s="345"/>
      <c r="G68" s="346"/>
      <c r="H68" s="336"/>
    </row>
    <row r="69" spans="2:11" s="69" customFormat="1" ht="12.75" customHeight="1" x14ac:dyDescent="0.2">
      <c r="B69" s="349" t="s">
        <v>641</v>
      </c>
      <c r="C69" s="350"/>
      <c r="D69" s="373">
        <f>+SUM(D64:D68)</f>
        <v>0</v>
      </c>
      <c r="E69" s="374" t="e">
        <f>+D69/D69</f>
        <v>#DIV/0!</v>
      </c>
      <c r="F69" s="345"/>
      <c r="G69" s="346"/>
      <c r="H69" s="336"/>
    </row>
    <row r="70" spans="2:11" s="69" customFormat="1" ht="8.1" customHeight="1" x14ac:dyDescent="0.2"/>
    <row r="71" spans="2:11" s="69" customFormat="1" ht="12.75" customHeight="1" x14ac:dyDescent="0.2">
      <c r="B71" s="338" t="s">
        <v>642</v>
      </c>
      <c r="C71" s="339"/>
      <c r="D71" s="339"/>
      <c r="E71" s="339"/>
      <c r="F71" s="339"/>
      <c r="G71" s="339"/>
    </row>
    <row r="72" spans="2:11" s="69" customFormat="1" ht="12.75" customHeight="1" x14ac:dyDescent="0.2">
      <c r="B72" s="340" t="s">
        <v>631</v>
      </c>
      <c r="C72" s="340"/>
      <c r="D72" s="341" t="s">
        <v>527</v>
      </c>
      <c r="E72" s="342" t="s">
        <v>632</v>
      </c>
      <c r="F72" s="340" t="s">
        <v>351</v>
      </c>
      <c r="G72" s="340"/>
    </row>
    <row r="73" spans="2:11" s="69" customFormat="1" ht="12.75" customHeight="1" x14ac:dyDescent="0.2">
      <c r="B73" s="343" t="str">
        <f>+'LISTAS DATOS'!A68</f>
        <v>Off-tool</v>
      </c>
      <c r="C73" s="344"/>
      <c r="D73" s="370">
        <f>+SUMIF('1.4. Investments &amp; Development'!$D$5:$D$29,'2. Cost Summary'!B73,'1.4. Investments &amp; Development'!$L$5:$L$29)</f>
        <v>0</v>
      </c>
      <c r="E73" s="371" t="e">
        <f>+D73/$D$78</f>
        <v>#DIV/0!</v>
      </c>
      <c r="F73" s="345"/>
      <c r="G73" s="346"/>
    </row>
    <row r="74" spans="2:11" s="69" customFormat="1" ht="12.75" customHeight="1" x14ac:dyDescent="0.2">
      <c r="B74" s="343" t="str">
        <f>+'LISTAS DATOS'!A69</f>
        <v>Off-Process</v>
      </c>
      <c r="C74" s="344"/>
      <c r="D74" s="370">
        <f>+SUMIF('1.4. Investments &amp; Development'!$D$5:$D$29,'2. Cost Summary'!B74,'1.4. Investments &amp; Development'!$L$5:$L$29)</f>
        <v>0</v>
      </c>
      <c r="E74" s="371" t="e">
        <f>+D74/$D$78</f>
        <v>#DIV/0!</v>
      </c>
      <c r="F74" s="345"/>
      <c r="G74" s="346"/>
    </row>
    <row r="75" spans="2:11" s="69" customFormat="1" ht="12.75" customHeight="1" x14ac:dyDescent="0.2">
      <c r="B75" s="343" t="str">
        <f>+'LISTAS DATOS'!A70</f>
        <v>Validation</v>
      </c>
      <c r="C75" s="344"/>
      <c r="D75" s="370">
        <f>+SUMIF('1.4. Investments &amp; Development'!$D$5:$D$29,'2. Cost Summary'!B75,'1.4. Investments &amp; Development'!$L$5:$L$29)</f>
        <v>0</v>
      </c>
      <c r="E75" s="371" t="e">
        <f>+D75/$D$78</f>
        <v>#DIV/0!</v>
      </c>
      <c r="F75" s="345"/>
      <c r="G75" s="346"/>
    </row>
    <row r="76" spans="2:11" s="69" customFormat="1" ht="12.75" customHeight="1" x14ac:dyDescent="0.2">
      <c r="B76" s="343" t="str">
        <f>+'LISTAS DATOS'!A71</f>
        <v>Project</v>
      </c>
      <c r="C76" s="344"/>
      <c r="D76" s="370">
        <f>+SUMIF('1.4. Investments &amp; Development'!$D$5:$D$29,'2. Cost Summary'!B76,'1.4. Investments &amp; Development'!$L$5:$L$29)</f>
        <v>0</v>
      </c>
      <c r="E76" s="371" t="e">
        <f>+D76/$D$78</f>
        <v>#DIV/0!</v>
      </c>
      <c r="F76" s="345"/>
      <c r="G76" s="346"/>
      <c r="H76" s="336"/>
      <c r="I76" s="336"/>
      <c r="J76" s="337"/>
      <c r="K76" s="336"/>
    </row>
    <row r="77" spans="2:11" s="69" customFormat="1" ht="12.75" customHeight="1" x14ac:dyDescent="0.2">
      <c r="B77" s="343" t="str">
        <f>+'LISTAS DATOS'!A72</f>
        <v>Development</v>
      </c>
      <c r="C77" s="344"/>
      <c r="D77" s="370">
        <f>+SUMIF('1.4. Investments &amp; Development'!$D$5:$D$29,'2. Cost Summary'!B77,'1.4. Investments &amp; Development'!$L$5:$L$29)</f>
        <v>0</v>
      </c>
      <c r="E77" s="371" t="e">
        <f>+D77/$D$78</f>
        <v>#DIV/0!</v>
      </c>
      <c r="F77" s="345"/>
      <c r="G77" s="346"/>
      <c r="H77" s="336"/>
      <c r="I77" s="336"/>
      <c r="J77" s="337"/>
      <c r="K77" s="336"/>
    </row>
    <row r="78" spans="2:11" s="69" customFormat="1" ht="12.75" customHeight="1" x14ac:dyDescent="0.2">
      <c r="B78" s="349" t="str">
        <f>+B69</f>
        <v>TOTAL Cost (€/pc)</v>
      </c>
      <c r="C78" s="350"/>
      <c r="D78" s="373">
        <f>+SUM(D73:D77)</f>
        <v>0</v>
      </c>
      <c r="E78" s="374" t="e">
        <f>+D78/D78</f>
        <v>#DIV/0!</v>
      </c>
      <c r="F78" s="345"/>
      <c r="G78" s="346"/>
    </row>
    <row r="79" spans="2:11" ht="8.1" customHeight="1" x14ac:dyDescent="0.2">
      <c r="E79" s="69"/>
    </row>
    <row r="80" spans="2:11" s="69" customFormat="1" ht="12.75" customHeight="1" x14ac:dyDescent="0.2">
      <c r="B80" s="338" t="s">
        <v>643</v>
      </c>
      <c r="C80" s="339"/>
      <c r="D80" s="339"/>
      <c r="E80" s="339"/>
      <c r="F80" s="339"/>
      <c r="G80" s="339"/>
    </row>
    <row r="81" spans="2:11" s="69" customFormat="1" ht="12.75" customHeight="1" x14ac:dyDescent="0.2">
      <c r="B81" s="340" t="s">
        <v>631</v>
      </c>
      <c r="C81" s="340"/>
      <c r="D81" s="341" t="s">
        <v>527</v>
      </c>
      <c r="E81" s="342" t="s">
        <v>632</v>
      </c>
      <c r="F81" s="340" t="s">
        <v>351</v>
      </c>
      <c r="G81" s="340"/>
    </row>
    <row r="82" spans="2:11" s="69" customFormat="1" ht="12.75" customHeight="1" x14ac:dyDescent="0.2">
      <c r="B82" s="343" t="str">
        <f>+'LISTAS DATOS'!A68</f>
        <v>Off-tool</v>
      </c>
      <c r="C82" s="344"/>
      <c r="D82" s="370">
        <f>+D64-D73</f>
        <v>0</v>
      </c>
      <c r="E82" s="371" t="e">
        <f>+D82/$D$87</f>
        <v>#DIV/0!</v>
      </c>
      <c r="F82" s="345"/>
      <c r="G82" s="346"/>
    </row>
    <row r="83" spans="2:11" s="69" customFormat="1" ht="12.75" customHeight="1" x14ac:dyDescent="0.2">
      <c r="B83" s="343" t="str">
        <f>+'LISTAS DATOS'!A69</f>
        <v>Off-Process</v>
      </c>
      <c r="C83" s="344"/>
      <c r="D83" s="370">
        <f t="shared" ref="D83:D86" si="5">+D65-D74</f>
        <v>0</v>
      </c>
      <c r="E83" s="371" t="e">
        <f t="shared" ref="E83:E86" si="6">+D83/$D$87</f>
        <v>#DIV/0!</v>
      </c>
      <c r="F83" s="345"/>
      <c r="G83" s="346"/>
    </row>
    <row r="84" spans="2:11" s="69" customFormat="1" ht="12.75" customHeight="1" x14ac:dyDescent="0.2">
      <c r="B84" s="343" t="str">
        <f>+'LISTAS DATOS'!A70</f>
        <v>Validation</v>
      </c>
      <c r="C84" s="344"/>
      <c r="D84" s="370">
        <f t="shared" si="5"/>
        <v>0</v>
      </c>
      <c r="E84" s="371" t="e">
        <f t="shared" si="6"/>
        <v>#DIV/0!</v>
      </c>
      <c r="F84" s="345"/>
      <c r="G84" s="346"/>
    </row>
    <row r="85" spans="2:11" s="69" customFormat="1" ht="12.75" customHeight="1" x14ac:dyDescent="0.2">
      <c r="B85" s="343" t="str">
        <f>+'LISTAS DATOS'!A71</f>
        <v>Project</v>
      </c>
      <c r="C85" s="344"/>
      <c r="D85" s="370">
        <f t="shared" si="5"/>
        <v>0</v>
      </c>
      <c r="E85" s="371" t="e">
        <f t="shared" si="6"/>
        <v>#DIV/0!</v>
      </c>
      <c r="F85" s="345"/>
      <c r="G85" s="346"/>
      <c r="H85" s="336"/>
      <c r="I85" s="336"/>
      <c r="J85" s="337"/>
      <c r="K85" s="336"/>
    </row>
    <row r="86" spans="2:11" s="69" customFormat="1" ht="12.75" customHeight="1" x14ac:dyDescent="0.2">
      <c r="B86" s="343" t="str">
        <f>+'LISTAS DATOS'!A72</f>
        <v>Development</v>
      </c>
      <c r="C86" s="344"/>
      <c r="D86" s="370">
        <f t="shared" si="5"/>
        <v>0</v>
      </c>
      <c r="E86" s="371" t="e">
        <f t="shared" si="6"/>
        <v>#DIV/0!</v>
      </c>
      <c r="F86" s="345"/>
      <c r="G86" s="346"/>
      <c r="H86" s="336"/>
      <c r="I86" s="336"/>
      <c r="J86" s="337"/>
      <c r="K86" s="336"/>
    </row>
    <row r="87" spans="2:11" s="69" customFormat="1" ht="12.75" customHeight="1" x14ac:dyDescent="0.2">
      <c r="B87" s="349" t="str">
        <f>+B78</f>
        <v>TOTAL Cost (€/pc)</v>
      </c>
      <c r="C87" s="350"/>
      <c r="D87" s="373">
        <f>+SUM(D82:D86)</f>
        <v>0</v>
      </c>
      <c r="E87" s="374" t="e">
        <f>+D87/D87</f>
        <v>#DIV/0!</v>
      </c>
      <c r="F87" s="345"/>
      <c r="G87" s="346"/>
    </row>
    <row r="88" spans="2:11" ht="8.1" customHeight="1" x14ac:dyDescent="0.2"/>
    <row r="89" spans="2:11" x14ac:dyDescent="0.2">
      <c r="B89" s="338" t="s">
        <v>644</v>
      </c>
      <c r="C89" s="339"/>
      <c r="D89" s="339"/>
      <c r="E89" s="339"/>
      <c r="F89" s="339"/>
      <c r="G89" s="339"/>
    </row>
    <row r="90" spans="2:11" x14ac:dyDescent="0.2">
      <c r="B90" s="340" t="s">
        <v>631</v>
      </c>
      <c r="C90" s="340"/>
      <c r="D90" s="341" t="s">
        <v>527</v>
      </c>
      <c r="E90" s="342" t="s">
        <v>632</v>
      </c>
      <c r="F90" s="340" t="s">
        <v>351</v>
      </c>
      <c r="G90" s="340"/>
    </row>
    <row r="91" spans="2:11" x14ac:dyDescent="0.2">
      <c r="B91" s="343" t="str">
        <f>+'LISTAS DATOS'!A68</f>
        <v>Off-tool</v>
      </c>
      <c r="C91" s="344"/>
      <c r="D91" s="370">
        <f>+SUMIF('1.4. Investments &amp; Development'!$D$5:$D$29,'2. Cost Summary'!B91,'1.4. Investments &amp; Development'!$Q$5:$Q$29)</f>
        <v>0</v>
      </c>
      <c r="E91" s="371" t="e">
        <f>+D91/$D$96</f>
        <v>#DIV/0!</v>
      </c>
      <c r="F91" s="345"/>
      <c r="G91" s="346"/>
    </row>
    <row r="92" spans="2:11" x14ac:dyDescent="0.2">
      <c r="B92" s="343" t="str">
        <f>+'LISTAS DATOS'!A69</f>
        <v>Off-Process</v>
      </c>
      <c r="C92" s="344"/>
      <c r="D92" s="370">
        <f>+SUMIF('1.4. Investments &amp; Development'!$D$5:$D$29,'2. Cost Summary'!B92,'1.4. Investments &amp; Development'!$Q$5:$Q$29)</f>
        <v>0</v>
      </c>
      <c r="E92" s="371" t="e">
        <f t="shared" ref="E92:E95" si="7">+D92/$D$96</f>
        <v>#DIV/0!</v>
      </c>
      <c r="F92" s="345"/>
      <c r="G92" s="346"/>
    </row>
    <row r="93" spans="2:11" x14ac:dyDescent="0.2">
      <c r="B93" s="343" t="str">
        <f>+'LISTAS DATOS'!A70</f>
        <v>Validation</v>
      </c>
      <c r="C93" s="344"/>
      <c r="D93" s="370">
        <f>+SUMIF('1.4. Investments &amp; Development'!$D$5:$D$29,'2. Cost Summary'!B93,'1.4. Investments &amp; Development'!$Q$5:$Q$29)</f>
        <v>0</v>
      </c>
      <c r="E93" s="371" t="e">
        <f t="shared" si="7"/>
        <v>#DIV/0!</v>
      </c>
      <c r="F93" s="345"/>
      <c r="G93" s="346"/>
    </row>
    <row r="94" spans="2:11" x14ac:dyDescent="0.2">
      <c r="B94" s="343" t="str">
        <f>+'LISTAS DATOS'!A71</f>
        <v>Project</v>
      </c>
      <c r="C94" s="344"/>
      <c r="D94" s="370">
        <f>+SUMIF('1.4. Investments &amp; Development'!$D$5:$D$29,'2. Cost Summary'!B94,'1.4. Investments &amp; Development'!$Q$5:$Q$29)</f>
        <v>0</v>
      </c>
      <c r="E94" s="371" t="e">
        <f t="shared" si="7"/>
        <v>#DIV/0!</v>
      </c>
      <c r="F94" s="345"/>
      <c r="G94" s="346"/>
    </row>
    <row r="95" spans="2:11" x14ac:dyDescent="0.2">
      <c r="B95" s="343" t="str">
        <f>+'LISTAS DATOS'!A72</f>
        <v>Development</v>
      </c>
      <c r="C95" s="344"/>
      <c r="D95" s="370">
        <f>+SUMIF('1.4. Investments &amp; Development'!$D$5:$D$29,'2. Cost Summary'!B95,'1.4. Investments &amp; Development'!$Q$5:$Q$29)</f>
        <v>0</v>
      </c>
      <c r="E95" s="371" t="e">
        <f t="shared" si="7"/>
        <v>#DIV/0!</v>
      </c>
      <c r="F95" s="345"/>
      <c r="G95" s="346"/>
    </row>
    <row r="96" spans="2:11" x14ac:dyDescent="0.2">
      <c r="B96" s="349" t="str">
        <f>+B87</f>
        <v>TOTAL Cost (€/pc)</v>
      </c>
      <c r="C96" s="350"/>
      <c r="D96" s="373">
        <f>+SUM(D91:D95)</f>
        <v>0</v>
      </c>
      <c r="E96" s="374" t="e">
        <f>+D96/D96</f>
        <v>#DIV/0!</v>
      </c>
      <c r="F96" s="345"/>
      <c r="G96" s="346"/>
    </row>
    <row r="97" spans="2:11" ht="8.1" customHeight="1" x14ac:dyDescent="0.2"/>
    <row r="98" spans="2:11" ht="15.75" x14ac:dyDescent="0.2">
      <c r="B98" s="378" t="s">
        <v>645</v>
      </c>
      <c r="C98" s="379"/>
      <c r="D98" s="379"/>
      <c r="E98" s="379"/>
      <c r="F98" s="379"/>
      <c r="G98" s="379"/>
    </row>
    <row r="99" spans="2:11" ht="8.1" customHeight="1" x14ac:dyDescent="0.2"/>
    <row r="100" spans="2:11" s="69" customFormat="1" ht="12.75" customHeight="1" x14ac:dyDescent="0.2">
      <c r="B100" s="338" t="s">
        <v>646</v>
      </c>
      <c r="C100" s="339"/>
      <c r="D100" s="339"/>
      <c r="E100" s="339"/>
      <c r="F100" s="339"/>
      <c r="G100" s="339"/>
    </row>
    <row r="101" spans="2:11" s="69" customFormat="1" ht="12.75" customHeight="1" x14ac:dyDescent="0.2">
      <c r="B101" s="340" t="s">
        <v>631</v>
      </c>
      <c r="C101" s="340"/>
      <c r="D101" s="341" t="s">
        <v>527</v>
      </c>
      <c r="E101" s="342" t="s">
        <v>632</v>
      </c>
      <c r="F101" s="340" t="s">
        <v>351</v>
      </c>
      <c r="G101" s="340"/>
    </row>
    <row r="102" spans="2:11" s="69" customFormat="1" ht="12.75" customHeight="1" x14ac:dyDescent="0.2">
      <c r="B102" s="343" t="str">
        <f>+B26</f>
        <v>Net Material (€/pc)</v>
      </c>
      <c r="C102" s="344"/>
      <c r="D102" s="370">
        <f>+D26</f>
        <v>0</v>
      </c>
      <c r="E102" s="371" t="e">
        <f>+D102/$D$108</f>
        <v>#DIV/0!</v>
      </c>
      <c r="F102" s="345"/>
      <c r="G102" s="346"/>
      <c r="H102" s="336"/>
      <c r="I102" s="336"/>
      <c r="J102" s="337"/>
      <c r="K102" s="336"/>
    </row>
    <row r="103" spans="2:11" s="69" customFormat="1" ht="12.75" customHeight="1" x14ac:dyDescent="0.2">
      <c r="B103" s="343" t="str">
        <f>CONCATENATE("FAE Cervera ",+B46)</f>
        <v>FAE Cervera Labor &amp; Operations Total (€/pc)</v>
      </c>
      <c r="C103" s="344"/>
      <c r="D103" s="370">
        <f>+D42</f>
        <v>0</v>
      </c>
      <c r="E103" s="371" t="e">
        <f>+D103/$D$108</f>
        <v>#DIV/0!</v>
      </c>
      <c r="F103" s="345"/>
      <c r="G103" s="346"/>
      <c r="H103" s="336"/>
      <c r="I103" s="336"/>
      <c r="J103" s="337"/>
      <c r="K103" s="336"/>
    </row>
    <row r="104" spans="2:11" s="69" customFormat="1" ht="12.75" customHeight="1" x14ac:dyDescent="0.2">
      <c r="B104" s="343" t="s">
        <v>647</v>
      </c>
      <c r="C104" s="344"/>
      <c r="D104" s="380"/>
      <c r="E104" s="371" t="e">
        <f>+D104/$D$108</f>
        <v>#DIV/0!</v>
      </c>
      <c r="F104" s="345"/>
      <c r="G104" s="346"/>
      <c r="H104" s="336"/>
      <c r="I104" s="336"/>
      <c r="J104" s="337"/>
      <c r="K104" s="336"/>
    </row>
    <row r="105" spans="2:11" s="69" customFormat="1" ht="12.75" customHeight="1" x14ac:dyDescent="0.2">
      <c r="B105" s="343" t="s">
        <v>648</v>
      </c>
      <c r="C105" s="344"/>
      <c r="D105" s="380"/>
      <c r="E105" s="371" t="e">
        <f t="shared" ref="E105" si="8">+D105/$D$108</f>
        <v>#DIV/0!</v>
      </c>
      <c r="F105" s="345"/>
      <c r="G105" s="346"/>
      <c r="H105" s="336"/>
      <c r="I105" s="336"/>
      <c r="J105" s="337"/>
      <c r="K105" s="336"/>
    </row>
    <row r="106" spans="2:11" s="69" customFormat="1" ht="12.75" customHeight="1" x14ac:dyDescent="0.2">
      <c r="B106" s="349" t="s">
        <v>649</v>
      </c>
      <c r="C106" s="350"/>
      <c r="D106" s="373">
        <f>+SUM(D102:D105)</f>
        <v>0</v>
      </c>
      <c r="E106" s="375" t="e">
        <f>+D106/$D$108</f>
        <v>#DIV/0!</v>
      </c>
      <c r="F106" s="345"/>
      <c r="G106" s="346"/>
      <c r="H106" s="336"/>
      <c r="I106" s="336"/>
      <c r="J106" s="358" t="s">
        <v>650</v>
      </c>
      <c r="K106" s="359" t="s">
        <v>651</v>
      </c>
    </row>
    <row r="107" spans="2:11" s="69" customFormat="1" ht="12.75" customHeight="1" thickBot="1" x14ac:dyDescent="0.25">
      <c r="B107" s="343" t="s">
        <v>652</v>
      </c>
      <c r="C107" s="344"/>
      <c r="D107" s="376" t="e">
        <f>+E107*D108</f>
        <v>#DIV/0!</v>
      </c>
      <c r="E107" s="371" t="e">
        <f>+(D108-D106)/D108</f>
        <v>#DIV/0!</v>
      </c>
      <c r="F107" s="345" t="s">
        <v>653</v>
      </c>
      <c r="G107" s="346"/>
      <c r="H107" s="336"/>
      <c r="I107" s="357" t="s">
        <v>654</v>
      </c>
      <c r="J107" s="356">
        <v>0.45</v>
      </c>
      <c r="K107" s="356">
        <v>0.33</v>
      </c>
    </row>
    <row r="108" spans="2:11" s="69" customFormat="1" ht="12.75" customHeight="1" thickBot="1" x14ac:dyDescent="0.25">
      <c r="B108" s="349" t="s">
        <v>655</v>
      </c>
      <c r="C108" s="354"/>
      <c r="D108" s="355"/>
      <c r="E108" s="377" t="e">
        <f>+D108/D108</f>
        <v>#DIV/0!</v>
      </c>
      <c r="F108" s="381" t="s">
        <v>656</v>
      </c>
      <c r="G108" s="346"/>
    </row>
    <row r="109" spans="2:11" ht="8.1" customHeight="1" x14ac:dyDescent="0.2">
      <c r="D109" s="369"/>
    </row>
    <row r="110" spans="2:11" s="69" customFormat="1" ht="12.75" customHeight="1" x14ac:dyDescent="0.2">
      <c r="B110" s="338" t="s">
        <v>657</v>
      </c>
      <c r="C110" s="339"/>
      <c r="D110" s="339"/>
      <c r="E110" s="339"/>
      <c r="F110" s="339"/>
      <c r="G110" s="339"/>
    </row>
    <row r="111" spans="2:11" s="69" customFormat="1" ht="12.75" customHeight="1" x14ac:dyDescent="0.2">
      <c r="B111" s="340" t="s">
        <v>631</v>
      </c>
      <c r="C111" s="340"/>
      <c r="D111" s="341" t="s">
        <v>527</v>
      </c>
      <c r="E111" s="342" t="s">
        <v>632</v>
      </c>
      <c r="F111" s="340" t="s">
        <v>351</v>
      </c>
      <c r="G111" s="340"/>
    </row>
    <row r="112" spans="2:11" s="69" customFormat="1" ht="12.75" customHeight="1" x14ac:dyDescent="0.2">
      <c r="B112" s="343" t="str">
        <f>+B26</f>
        <v>Net Material (€/pc)</v>
      </c>
      <c r="C112" s="344"/>
      <c r="D112" s="370">
        <f>+D26</f>
        <v>0</v>
      </c>
      <c r="E112" s="371" t="e">
        <f>+D112/$D$119</f>
        <v>#DIV/0!</v>
      </c>
      <c r="F112" s="345"/>
      <c r="G112" s="346"/>
      <c r="H112" s="336"/>
      <c r="I112" s="336"/>
      <c r="J112" s="337"/>
      <c r="K112" s="336"/>
    </row>
    <row r="113" spans="2:11" s="69" customFormat="1" ht="12.75" customHeight="1" x14ac:dyDescent="0.2">
      <c r="B113" s="343" t="str">
        <f>CONCATENATE("FAE L'Hospitalet ",+B46)</f>
        <v>FAE L'Hospitalet Labor &amp; Operations Total (€/pc)</v>
      </c>
      <c r="C113" s="344"/>
      <c r="D113" s="370">
        <f>+D32</f>
        <v>0</v>
      </c>
      <c r="E113" s="371" t="e">
        <f>+D113/$D$119</f>
        <v>#DIV/0!</v>
      </c>
      <c r="F113" s="345"/>
      <c r="G113" s="346"/>
      <c r="H113" s="336"/>
      <c r="I113" s="336"/>
      <c r="J113" s="337"/>
      <c r="K113" s="336"/>
    </row>
    <row r="114" spans="2:11" s="69" customFormat="1" ht="12.75" customHeight="1" x14ac:dyDescent="0.2">
      <c r="B114" s="343" t="str">
        <f>CONCATENATE("FAE Cervera ",+B46)</f>
        <v>FAE Cervera Labor &amp; Operations Total (€/pc)</v>
      </c>
      <c r="C114" s="344"/>
      <c r="D114" s="370">
        <f>+D42</f>
        <v>0</v>
      </c>
      <c r="E114" s="371" t="e">
        <f>+D114/$D$119</f>
        <v>#DIV/0!</v>
      </c>
      <c r="F114" s="345"/>
      <c r="G114" s="346"/>
      <c r="H114" s="336"/>
      <c r="I114" s="336"/>
      <c r="J114" s="337"/>
      <c r="K114" s="336"/>
    </row>
    <row r="115" spans="2:11" s="69" customFormat="1" ht="12.75" customHeight="1" x14ac:dyDescent="0.2">
      <c r="B115" s="343" t="s">
        <v>647</v>
      </c>
      <c r="C115" s="344"/>
      <c r="D115" s="380"/>
      <c r="E115" s="371" t="e">
        <f t="shared" ref="E115:E116" si="9">+D115/$D$119</f>
        <v>#DIV/0!</v>
      </c>
      <c r="F115" s="345"/>
      <c r="G115" s="346"/>
      <c r="H115" s="336"/>
      <c r="I115" s="336"/>
      <c r="J115" s="337"/>
      <c r="K115" s="336"/>
    </row>
    <row r="116" spans="2:11" s="69" customFormat="1" ht="12.75" customHeight="1" x14ac:dyDescent="0.2">
      <c r="B116" s="343" t="s">
        <v>648</v>
      </c>
      <c r="C116" s="344"/>
      <c r="D116" s="380">
        <f>1%*SUM(D112:D115)</f>
        <v>0</v>
      </c>
      <c r="E116" s="371" t="e">
        <f t="shared" si="9"/>
        <v>#DIV/0!</v>
      </c>
      <c r="F116" s="345"/>
      <c r="G116" s="346"/>
      <c r="H116" s="336"/>
      <c r="I116" s="336"/>
      <c r="J116" s="337"/>
      <c r="K116" s="336"/>
    </row>
    <row r="117" spans="2:11" s="69" customFormat="1" ht="12.75" customHeight="1" x14ac:dyDescent="0.2">
      <c r="B117" s="349" t="s">
        <v>649</v>
      </c>
      <c r="C117" s="350"/>
      <c r="D117" s="373">
        <f>+SUM(D112:D116)</f>
        <v>0</v>
      </c>
      <c r="E117" s="375" t="e">
        <f>+D117/$D$119</f>
        <v>#DIV/0!</v>
      </c>
      <c r="F117" s="345"/>
      <c r="G117" s="346"/>
      <c r="H117" s="336"/>
      <c r="I117" s="336"/>
      <c r="J117" s="337"/>
      <c r="K117" s="336"/>
    </row>
    <row r="118" spans="2:11" s="69" customFormat="1" ht="12.75" customHeight="1" x14ac:dyDescent="0.2">
      <c r="B118" s="343" t="s">
        <v>652</v>
      </c>
      <c r="C118" s="344"/>
      <c r="D118" s="376" t="e">
        <f>+E118*D119</f>
        <v>#DIV/0!</v>
      </c>
      <c r="E118" s="371" t="e">
        <f>+(D119-D117)/D119</f>
        <v>#DIV/0!</v>
      </c>
      <c r="F118" s="345" t="s">
        <v>658</v>
      </c>
      <c r="G118" s="346"/>
      <c r="H118" s="336"/>
      <c r="I118" s="336"/>
      <c r="J118" s="337"/>
      <c r="K118" s="336"/>
    </row>
    <row r="119" spans="2:11" s="69" customFormat="1" ht="12.75" customHeight="1" x14ac:dyDescent="0.2">
      <c r="B119" s="349" t="s">
        <v>655</v>
      </c>
      <c r="C119" s="354"/>
      <c r="D119" s="373">
        <f>+D108</f>
        <v>0</v>
      </c>
      <c r="E119" s="377" t="e">
        <f>+D119/D119</f>
        <v>#DIV/0!</v>
      </c>
      <c r="F119" s="345"/>
      <c r="G119" s="346"/>
    </row>
    <row r="120" spans="2:11" ht="8.1" customHeight="1" x14ac:dyDescent="0.2"/>
    <row r="121" spans="2:11" ht="15.75" x14ac:dyDescent="0.2">
      <c r="B121" s="378" t="s">
        <v>659</v>
      </c>
      <c r="C121" s="379"/>
      <c r="D121" s="379"/>
      <c r="E121" s="379"/>
      <c r="F121" s="379"/>
      <c r="G121" s="379"/>
    </row>
    <row r="122" spans="2:11" ht="8.1" customHeight="1" x14ac:dyDescent="0.2"/>
    <row r="123" spans="2:11" s="69" customFormat="1" ht="12.75" customHeight="1" x14ac:dyDescent="0.2">
      <c r="B123" s="338" t="s">
        <v>646</v>
      </c>
      <c r="C123" s="339"/>
      <c r="D123" s="339"/>
      <c r="E123" s="339"/>
      <c r="F123" s="339"/>
      <c r="G123" s="339"/>
    </row>
    <row r="124" spans="2:11" s="69" customFormat="1" ht="12.75" customHeight="1" x14ac:dyDescent="0.2">
      <c r="B124" s="340" t="s">
        <v>631</v>
      </c>
      <c r="C124" s="340"/>
      <c r="D124" s="341" t="s">
        <v>527</v>
      </c>
      <c r="E124" s="342" t="s">
        <v>632</v>
      </c>
      <c r="F124" s="340" t="s">
        <v>351</v>
      </c>
      <c r="G124" s="340"/>
    </row>
    <row r="125" spans="2:11" s="69" customFormat="1" ht="12.75" customHeight="1" x14ac:dyDescent="0.2">
      <c r="B125" s="343" t="s">
        <v>660</v>
      </c>
      <c r="C125" s="344"/>
      <c r="D125" s="370">
        <f>+D106</f>
        <v>0</v>
      </c>
      <c r="E125" s="371" t="e">
        <f>+D125/$D$128</f>
        <v>#DIV/0!</v>
      </c>
      <c r="F125" s="345"/>
      <c r="G125" s="346"/>
      <c r="H125" s="336"/>
      <c r="I125" s="336"/>
      <c r="J125" s="337"/>
      <c r="K125" s="336"/>
    </row>
    <row r="126" spans="2:11" s="69" customFormat="1" ht="12.75" customHeight="1" x14ac:dyDescent="0.2">
      <c r="B126" s="343" t="s">
        <v>661</v>
      </c>
      <c r="C126" s="344"/>
      <c r="D126" s="370" t="e">
        <f>+D107</f>
        <v>#DIV/0!</v>
      </c>
      <c r="E126" s="371" t="e">
        <f t="shared" ref="E126:E127" si="10">+D126/$D$128</f>
        <v>#DIV/0!</v>
      </c>
      <c r="F126" s="345"/>
      <c r="G126" s="346"/>
      <c r="H126" s="336"/>
      <c r="I126" s="336"/>
      <c r="J126" s="337"/>
      <c r="K126" s="336"/>
    </row>
    <row r="127" spans="2:11" s="69" customFormat="1" ht="12.75" customHeight="1" x14ac:dyDescent="0.2">
      <c r="B127" s="343" t="s">
        <v>662</v>
      </c>
      <c r="C127" s="344"/>
      <c r="D127" s="370">
        <f>+D96</f>
        <v>0</v>
      </c>
      <c r="E127" s="371" t="e">
        <f t="shared" si="10"/>
        <v>#DIV/0!</v>
      </c>
      <c r="F127" s="345"/>
      <c r="G127" s="346"/>
      <c r="H127" s="336"/>
      <c r="I127" s="336"/>
      <c r="J127" s="337"/>
      <c r="K127" s="336"/>
    </row>
    <row r="128" spans="2:11" s="69" customFormat="1" ht="12.75" customHeight="1" x14ac:dyDescent="0.2">
      <c r="B128" s="349" t="s">
        <v>663</v>
      </c>
      <c r="C128" s="354"/>
      <c r="D128" s="373" t="e">
        <f>+SUM(D125:D127)</f>
        <v>#DIV/0!</v>
      </c>
      <c r="E128" s="377" t="e">
        <f>+D128/D128</f>
        <v>#DIV/0!</v>
      </c>
      <c r="F128" s="345"/>
      <c r="G128" s="346"/>
    </row>
    <row r="130" spans="2:11" s="69" customFormat="1" ht="12.75" customHeight="1" x14ac:dyDescent="0.2">
      <c r="B130" s="338" t="s">
        <v>657</v>
      </c>
      <c r="C130" s="339"/>
      <c r="D130" s="339"/>
      <c r="E130" s="339"/>
      <c r="F130" s="339"/>
      <c r="G130" s="339"/>
    </row>
    <row r="131" spans="2:11" s="69" customFormat="1" ht="12.75" customHeight="1" x14ac:dyDescent="0.2">
      <c r="B131" s="340" t="s">
        <v>631</v>
      </c>
      <c r="C131" s="340"/>
      <c r="D131" s="341" t="s">
        <v>527</v>
      </c>
      <c r="E131" s="342" t="s">
        <v>632</v>
      </c>
      <c r="F131" s="340" t="s">
        <v>351</v>
      </c>
      <c r="G131" s="340"/>
    </row>
    <row r="132" spans="2:11" s="69" customFormat="1" ht="12.75" customHeight="1" x14ac:dyDescent="0.2">
      <c r="B132" s="343" t="s">
        <v>660</v>
      </c>
      <c r="C132" s="344"/>
      <c r="D132" s="370">
        <f>+D117</f>
        <v>0</v>
      </c>
      <c r="E132" s="371" t="e">
        <f>+D132/$D$135</f>
        <v>#DIV/0!</v>
      </c>
      <c r="F132" s="345"/>
      <c r="G132" s="346"/>
      <c r="H132" s="336"/>
      <c r="I132" s="336"/>
      <c r="J132" s="337"/>
      <c r="K132" s="336"/>
    </row>
    <row r="133" spans="2:11" s="69" customFormat="1" ht="12.75" customHeight="1" x14ac:dyDescent="0.2">
      <c r="B133" s="343" t="s">
        <v>661</v>
      </c>
      <c r="C133" s="344"/>
      <c r="D133" s="370" t="e">
        <f>+D118</f>
        <v>#DIV/0!</v>
      </c>
      <c r="E133" s="371" t="e">
        <f>+D133/$D$135</f>
        <v>#DIV/0!</v>
      </c>
      <c r="F133" s="345"/>
      <c r="G133" s="346"/>
      <c r="H133" s="336"/>
      <c r="I133" s="336"/>
      <c r="J133" s="337"/>
      <c r="K133" s="336"/>
    </row>
    <row r="134" spans="2:11" s="69" customFormat="1" ht="12.75" customHeight="1" x14ac:dyDescent="0.2">
      <c r="B134" s="343" t="s">
        <v>662</v>
      </c>
      <c r="C134" s="344"/>
      <c r="D134" s="370">
        <f>+D96</f>
        <v>0</v>
      </c>
      <c r="E134" s="371" t="e">
        <f>+D134/$D$135</f>
        <v>#DIV/0!</v>
      </c>
      <c r="F134" s="345"/>
      <c r="G134" s="346"/>
      <c r="H134" s="336"/>
      <c r="I134" s="336"/>
      <c r="J134" s="337"/>
      <c r="K134" s="336"/>
    </row>
    <row r="135" spans="2:11" s="69" customFormat="1" ht="12.75" customHeight="1" x14ac:dyDescent="0.2">
      <c r="B135" s="349" t="s">
        <v>663</v>
      </c>
      <c r="C135" s="354"/>
      <c r="D135" s="373" t="e">
        <f>+SUM(D132:D134)</f>
        <v>#DIV/0!</v>
      </c>
      <c r="E135" s="377" t="e">
        <f>+D135/D135</f>
        <v>#DIV/0!</v>
      </c>
      <c r="F135" s="345"/>
      <c r="G135" s="346"/>
      <c r="H135" s="336"/>
      <c r="I135" s="336"/>
      <c r="J135" s="337"/>
      <c r="K135" s="336"/>
    </row>
    <row r="136" spans="2:11" ht="8.1" customHeight="1" x14ac:dyDescent="0.2"/>
    <row r="137" spans="2:11" ht="15.75" x14ac:dyDescent="0.2">
      <c r="B137" s="378" t="s">
        <v>664</v>
      </c>
      <c r="C137" s="379"/>
      <c r="D137" s="379"/>
      <c r="E137" s="379"/>
      <c r="F137" s="379"/>
      <c r="G137" s="379"/>
    </row>
    <row r="138" spans="2:11" ht="8.1" customHeight="1" x14ac:dyDescent="0.2"/>
    <row r="139" spans="2:11" x14ac:dyDescent="0.2">
      <c r="B139" s="340" t="s">
        <v>631</v>
      </c>
      <c r="C139" s="340"/>
      <c r="D139" s="341" t="s">
        <v>602</v>
      </c>
      <c r="E139" s="340" t="s">
        <v>351</v>
      </c>
      <c r="F139" s="340"/>
      <c r="G139" s="340"/>
    </row>
    <row r="140" spans="2:11" x14ac:dyDescent="0.2">
      <c r="B140" s="349" t="s">
        <v>663</v>
      </c>
      <c r="C140" s="354"/>
      <c r="D140" s="373" t="e">
        <f>+D135</f>
        <v>#DIV/0!</v>
      </c>
      <c r="E140" s="345"/>
      <c r="F140" s="368"/>
      <c r="G140" s="346"/>
    </row>
    <row r="141" spans="2:11" x14ac:dyDescent="0.2">
      <c r="B141" s="338" t="s">
        <v>665</v>
      </c>
      <c r="C141" s="339"/>
      <c r="D141" s="339"/>
      <c r="E141" s="339"/>
      <c r="F141" s="339"/>
      <c r="G141" s="339"/>
    </row>
    <row r="142" spans="2:11" x14ac:dyDescent="0.2">
      <c r="B142" s="340" t="s">
        <v>631</v>
      </c>
      <c r="C142" s="340"/>
      <c r="D142" s="341" t="s">
        <v>527</v>
      </c>
      <c r="E142" s="342" t="s">
        <v>632</v>
      </c>
      <c r="F142" s="340" t="s">
        <v>351</v>
      </c>
      <c r="G142" s="340"/>
    </row>
    <row r="143" spans="2:11" x14ac:dyDescent="0.2">
      <c r="B143" s="343" t="str">
        <f>+B73</f>
        <v>Off-tool</v>
      </c>
      <c r="C143" s="344"/>
      <c r="D143" s="370">
        <f>+SUMIF('1.4. Investments &amp; Development'!$D$5:$D$29,'2. Cost Summary'!B143,'1.4. Investments &amp; Development'!$L$5:$L$29)</f>
        <v>0</v>
      </c>
      <c r="E143" s="371" t="e">
        <f>+D143/$D$78</f>
        <v>#DIV/0!</v>
      </c>
      <c r="F143" s="345"/>
      <c r="G143" s="346"/>
    </row>
    <row r="144" spans="2:11" x14ac:dyDescent="0.2">
      <c r="B144" s="343" t="str">
        <f t="shared" ref="B144:B147" si="11">+B74</f>
        <v>Off-Process</v>
      </c>
      <c r="C144" s="344"/>
      <c r="D144" s="370">
        <f>+SUMIF('1.4. Investments &amp; Development'!$D$5:$D$29,'2. Cost Summary'!B144,'1.4. Investments &amp; Development'!$L$5:$L$29)</f>
        <v>0</v>
      </c>
      <c r="E144" s="371" t="e">
        <f>+D144/$D$78</f>
        <v>#DIV/0!</v>
      </c>
      <c r="F144" s="345"/>
      <c r="G144" s="346"/>
    </row>
    <row r="145" spans="2:7" x14ac:dyDescent="0.2">
      <c r="B145" s="343" t="str">
        <f t="shared" si="11"/>
        <v>Validation</v>
      </c>
      <c r="C145" s="344"/>
      <c r="D145" s="370">
        <f>+SUMIF('1.4. Investments &amp; Development'!$D$5:$D$29,'2. Cost Summary'!B145,'1.4. Investments &amp; Development'!$L$5:$L$29)</f>
        <v>0</v>
      </c>
      <c r="E145" s="371" t="e">
        <f>+D145/$D$78</f>
        <v>#DIV/0!</v>
      </c>
      <c r="F145" s="345"/>
      <c r="G145" s="346"/>
    </row>
    <row r="146" spans="2:7" x14ac:dyDescent="0.2">
      <c r="B146" s="343" t="str">
        <f t="shared" si="11"/>
        <v>Project</v>
      </c>
      <c r="C146" s="344"/>
      <c r="D146" s="370">
        <f>+SUMIF('1.4. Investments &amp; Development'!$D$5:$D$29,'2. Cost Summary'!B146,'1.4. Investments &amp; Development'!$L$5:$L$29)</f>
        <v>0</v>
      </c>
      <c r="E146" s="371" t="e">
        <f>+D146/$D$78</f>
        <v>#DIV/0!</v>
      </c>
      <c r="F146" s="345"/>
      <c r="G146" s="346"/>
    </row>
    <row r="147" spans="2:7" x14ac:dyDescent="0.2">
      <c r="B147" s="343" t="str">
        <f t="shared" si="11"/>
        <v>Development</v>
      </c>
      <c r="C147" s="344"/>
      <c r="D147" s="370">
        <f>+SUMIF('1.4. Investments &amp; Development'!$D$5:$D$29,'2. Cost Summary'!B147,'1.4. Investments &amp; Development'!$L$5:$L$29)</f>
        <v>0</v>
      </c>
      <c r="E147" s="371" t="e">
        <f>+D147/$D$78</f>
        <v>#DIV/0!</v>
      </c>
      <c r="F147" s="345"/>
      <c r="G147" s="346"/>
    </row>
    <row r="148" spans="2:7" x14ac:dyDescent="0.2">
      <c r="B148" s="349" t="s">
        <v>666</v>
      </c>
      <c r="C148" s="350"/>
      <c r="D148" s="373">
        <f>+SUM(D143:D147)</f>
        <v>0</v>
      </c>
      <c r="E148" s="374" t="e">
        <f>+D148/D148</f>
        <v>#DIV/0!</v>
      </c>
      <c r="F148" s="345"/>
      <c r="G148" s="346"/>
    </row>
    <row r="150" spans="2:7" x14ac:dyDescent="0.2">
      <c r="B150" s="194" t="str">
        <f>+Help!B134</f>
        <v>IF-334 (27/05/2025)</v>
      </c>
    </row>
  </sheetData>
  <dataConsolidate/>
  <customSheetViews>
    <customSheetView guid="{FB0F6CE0-FA24-4C91-B94D-E1D3F29C4E59}" scale="90" showPageBreaks="1" showGridLines="0" outlineSymbols="0" zeroValues="0" fitToPage="1" printArea="1" showRuler="0">
      <selection activeCell="K8" sqref="K8"/>
      <pageMargins left="0" right="0" top="0" bottom="0" header="0" footer="0"/>
      <printOptions horizontalCentered="1"/>
      <pageSetup paperSize="9" scale="90" orientation="portrait" horizontalDpi="300" verticalDpi="300" r:id="rId1"/>
      <headerFooter alignWithMargins="0">
        <oddFooter>&amp;L&amp;7&amp;F, &amp;A&amp;C&amp;7Formato: 4.0    Pagina &amp;P&amp;R&amp;7Impreso: &amp;D &amp;T</oddFooter>
      </headerFooter>
    </customSheetView>
  </customSheetViews>
  <phoneticPr fontId="0" type="noConversion"/>
  <conditionalFormatting sqref="E107">
    <cfRule type="iconSet" priority="6">
      <iconSet iconSet="3Symbols">
        <cfvo type="percent" val="0"/>
        <cfvo type="num" val="$K$107"/>
        <cfvo type="num" val="$J$107"/>
      </iconSet>
    </cfRule>
  </conditionalFormatting>
  <conditionalFormatting sqref="E118">
    <cfRule type="iconSet" priority="4">
      <iconSet iconSet="3Symbols">
        <cfvo type="percent" val="0"/>
        <cfvo type="num" val="$K$107"/>
        <cfvo type="num" val="$J$107"/>
      </iconSet>
    </cfRule>
  </conditionalFormatting>
  <printOptions horizontalCentered="1"/>
  <pageMargins left="0.70866141732283472" right="0.70866141732283472" top="0.74803149606299213" bottom="0.74803149606299213" header="0.31496062992125984" footer="0.31496062992125984"/>
  <pageSetup paperSize="9" scale="71" fitToHeight="0" orientation="portrait" verticalDpi="300" r:id="rId2"/>
  <headerFooter alignWithMargins="0">
    <oddFooter>Página &amp;P&amp;R&amp;F</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7FE67-FC65-464A-AB44-F3F96FF3AB56}">
  <sheetPr codeName="Hoja7">
    <tabColor theme="8" tint="-0.499984740745262"/>
    <pageSetUpPr fitToPage="1"/>
  </sheetPr>
  <dimension ref="B2:R96"/>
  <sheetViews>
    <sheetView zoomScale="120" zoomScaleNormal="120" zoomScaleSheetLayoutView="150" workbookViewId="0">
      <selection activeCell="Q3" sqref="Q3"/>
    </sheetView>
  </sheetViews>
  <sheetFormatPr baseColWidth="10" defaultColWidth="11.42578125" defaultRowHeight="12.75" customHeight="1" x14ac:dyDescent="0.2"/>
  <cols>
    <col min="1" max="2" width="2.85546875" style="551" customWidth="1"/>
    <col min="3" max="3" width="35.28515625" style="551" bestFit="1" customWidth="1"/>
    <col min="4" max="5" width="12.7109375" style="672" customWidth="1"/>
    <col min="6" max="6" width="12.7109375" style="673" customWidth="1"/>
    <col min="7" max="18" width="12.7109375" style="551" customWidth="1"/>
    <col min="19" max="16384" width="11.42578125" style="551"/>
  </cols>
  <sheetData>
    <row r="2" spans="2:18" ht="31.5" customHeight="1" x14ac:dyDescent="0.45">
      <c r="B2" s="676"/>
      <c r="C2" s="677"/>
      <c r="D2" s="678" t="s">
        <v>667</v>
      </c>
      <c r="E2" s="679"/>
      <c r="F2" s="680"/>
      <c r="G2" s="681"/>
      <c r="H2" s="681"/>
      <c r="I2" s="681"/>
      <c r="J2" s="681"/>
      <c r="K2" s="681"/>
      <c r="L2" s="682"/>
      <c r="M2" s="683" t="s">
        <v>668</v>
      </c>
      <c r="N2" s="682"/>
      <c r="O2" s="682"/>
      <c r="P2" s="682"/>
      <c r="Q2" s="682"/>
      <c r="R2" s="684"/>
    </row>
    <row r="3" spans="2:18" ht="12.75" customHeight="1" x14ac:dyDescent="0.2">
      <c r="B3" s="685"/>
      <c r="C3" s="554"/>
      <c r="D3" s="564"/>
      <c r="E3" s="564"/>
      <c r="F3" s="565"/>
      <c r="G3" s="554"/>
      <c r="H3" s="554"/>
      <c r="I3" s="554"/>
      <c r="J3" s="554"/>
      <c r="K3" s="554"/>
      <c r="L3" s="554"/>
      <c r="M3" s="655"/>
      <c r="N3" s="656"/>
      <c r="O3" s="656"/>
      <c r="P3" s="657" t="s">
        <v>669</v>
      </c>
      <c r="Q3" s="647"/>
      <c r="R3" s="555"/>
    </row>
    <row r="4" spans="2:18" ht="12.75" customHeight="1" x14ac:dyDescent="0.2">
      <c r="B4" s="685"/>
      <c r="C4" s="383" t="s">
        <v>670</v>
      </c>
      <c r="D4" s="556" t="s">
        <v>671</v>
      </c>
      <c r="E4" s="556" t="s">
        <v>672</v>
      </c>
      <c r="F4" s="556" t="s">
        <v>673</v>
      </c>
      <c r="G4" s="557" t="s">
        <v>674</v>
      </c>
      <c r="H4" s="556" t="s">
        <v>675</v>
      </c>
      <c r="I4" s="554"/>
      <c r="J4" s="554"/>
      <c r="K4" s="554"/>
      <c r="L4" s="554"/>
      <c r="M4" s="649" t="s">
        <v>676</v>
      </c>
      <c r="N4" s="686">
        <f>+H7</f>
        <v>0</v>
      </c>
      <c r="O4" s="687" t="s">
        <v>677</v>
      </c>
      <c r="P4" s="688">
        <f>+D18+D19</f>
        <v>0</v>
      </c>
      <c r="Q4" s="650"/>
      <c r="R4" s="555"/>
    </row>
    <row r="5" spans="2:18" ht="12.75" customHeight="1" x14ac:dyDescent="0.2">
      <c r="B5" s="685"/>
      <c r="C5" s="383" t="s">
        <v>678</v>
      </c>
      <c r="D5" s="592" t="s">
        <v>544</v>
      </c>
      <c r="E5" s="592" t="s">
        <v>544</v>
      </c>
      <c r="F5" s="592" t="s">
        <v>544</v>
      </c>
      <c r="G5" s="592" t="s">
        <v>679</v>
      </c>
      <c r="H5" s="592" t="s">
        <v>544</v>
      </c>
      <c r="I5" s="554"/>
      <c r="J5" s="554"/>
      <c r="K5" s="554"/>
      <c r="L5" s="554"/>
      <c r="M5" s="651" t="s">
        <v>680</v>
      </c>
      <c r="N5" s="689" t="e">
        <f>+G8</f>
        <v>#DIV/0!</v>
      </c>
      <c r="O5" s="690" t="s">
        <v>681</v>
      </c>
      <c r="P5" s="691">
        <f>+G7</f>
        <v>0</v>
      </c>
      <c r="Q5" s="650"/>
      <c r="R5" s="555"/>
    </row>
    <row r="6" spans="2:18" s="566" customFormat="1" ht="12.75" customHeight="1" x14ac:dyDescent="0.2">
      <c r="B6" s="692"/>
      <c r="C6" s="383" t="s">
        <v>510</v>
      </c>
      <c r="D6" s="558" t="s">
        <v>682</v>
      </c>
      <c r="E6" s="558" t="s">
        <v>683</v>
      </c>
      <c r="F6" s="558" t="s">
        <v>684</v>
      </c>
      <c r="G6" s="558" t="s">
        <v>654</v>
      </c>
      <c r="H6" s="558" t="s">
        <v>685</v>
      </c>
      <c r="I6" s="554"/>
      <c r="J6" s="554"/>
      <c r="K6" s="554"/>
      <c r="L6" s="554"/>
      <c r="M6" s="651" t="s">
        <v>686</v>
      </c>
      <c r="N6" s="693">
        <f>+D35</f>
        <v>0</v>
      </c>
      <c r="O6" s="690" t="s">
        <v>687</v>
      </c>
      <c r="P6" s="694">
        <f>+D64</f>
        <v>0</v>
      </c>
      <c r="Q6" s="650"/>
      <c r="R6" s="555"/>
    </row>
    <row r="7" spans="2:18" ht="12.75" customHeight="1" x14ac:dyDescent="0.2">
      <c r="B7" s="685"/>
      <c r="C7" s="383" t="s">
        <v>688</v>
      </c>
      <c r="D7" s="560">
        <f>+'2. Cost Summary'!D106</f>
        <v>0</v>
      </c>
      <c r="E7" s="560">
        <f>+'2. Cost Summary'!D117</f>
        <v>0</v>
      </c>
      <c r="F7" s="560">
        <f>+'2. Cost Summary'!D96</f>
        <v>0</v>
      </c>
      <c r="G7" s="560">
        <f>+H7-D7</f>
        <v>0</v>
      </c>
      <c r="H7" s="561"/>
      <c r="I7" s="554"/>
      <c r="J7" s="554"/>
      <c r="K7" s="554"/>
      <c r="L7" s="554"/>
      <c r="M7" s="651" t="s">
        <v>689</v>
      </c>
      <c r="N7" s="695" t="e">
        <f>+D32</f>
        <v>#VALUE!</v>
      </c>
      <c r="O7" s="690" t="s">
        <v>690</v>
      </c>
      <c r="P7" s="696">
        <f>+D60</f>
        <v>0</v>
      </c>
      <c r="Q7" s="650"/>
      <c r="R7" s="555"/>
    </row>
    <row r="8" spans="2:18" ht="12.75" customHeight="1" x14ac:dyDescent="0.2">
      <c r="B8" s="685"/>
      <c r="C8" s="383" t="s">
        <v>632</v>
      </c>
      <c r="D8" s="562" t="e">
        <f>+D7/$H$7</f>
        <v>#DIV/0!</v>
      </c>
      <c r="E8" s="562" t="e">
        <f>+E7/$H$7</f>
        <v>#DIV/0!</v>
      </c>
      <c r="F8" s="562" t="e">
        <f>+F7/$H$7</f>
        <v>#DIV/0!</v>
      </c>
      <c r="G8" s="562" t="e">
        <f>+G7/$H$7</f>
        <v>#DIV/0!</v>
      </c>
      <c r="H8" s="562" t="e">
        <f>+H7/$H$7</f>
        <v>#DIV/0!</v>
      </c>
      <c r="I8" s="554"/>
      <c r="J8" s="554"/>
      <c r="K8" s="554"/>
      <c r="L8" s="554"/>
      <c r="M8" s="652" t="s">
        <v>691</v>
      </c>
      <c r="N8" s="648">
        <f>+D38</f>
        <v>0</v>
      </c>
      <c r="O8" s="653" t="s">
        <v>692</v>
      </c>
      <c r="P8" s="648">
        <f>+D66</f>
        <v>0</v>
      </c>
      <c r="Q8" s="654"/>
      <c r="R8" s="555"/>
    </row>
    <row r="9" spans="2:18" ht="12.75" customHeight="1" x14ac:dyDescent="0.2">
      <c r="B9" s="685"/>
      <c r="C9" s="554"/>
      <c r="D9" s="554"/>
      <c r="E9" s="554"/>
      <c r="F9" s="554"/>
      <c r="G9" s="554"/>
      <c r="H9" s="554"/>
      <c r="I9" s="554"/>
      <c r="J9" s="554"/>
      <c r="K9" s="554"/>
      <c r="L9" s="554"/>
      <c r="M9" s="554"/>
      <c r="N9" s="554"/>
      <c r="O9" s="554"/>
      <c r="P9" s="554"/>
      <c r="Q9" s="554"/>
      <c r="R9" s="555"/>
    </row>
    <row r="10" spans="2:18" ht="12.75" customHeight="1" x14ac:dyDescent="0.2">
      <c r="B10" s="685"/>
      <c r="C10" s="697" t="s">
        <v>693</v>
      </c>
      <c r="D10" s="554"/>
      <c r="E10" s="554"/>
      <c r="F10" s="554"/>
      <c r="G10" s="554"/>
      <c r="H10" s="554"/>
      <c r="I10" s="554"/>
      <c r="J10" s="554"/>
      <c r="K10" s="554"/>
      <c r="L10" s="554"/>
      <c r="M10" s="554"/>
      <c r="N10" s="554"/>
      <c r="O10" s="554"/>
      <c r="P10" s="554"/>
      <c r="Q10" s="554"/>
      <c r="R10" s="555"/>
    </row>
    <row r="11" spans="2:18" ht="12.75" customHeight="1" x14ac:dyDescent="0.2">
      <c r="B11" s="685"/>
      <c r="C11" s="383" t="s">
        <v>694</v>
      </c>
      <c r="D11" s="365">
        <v>0</v>
      </c>
      <c r="E11" s="365" t="str">
        <f t="shared" ref="E11:P11" si="0">IF(E12="","",D11+1)</f>
        <v/>
      </c>
      <c r="F11" s="365" t="str">
        <f t="shared" si="0"/>
        <v/>
      </c>
      <c r="G11" s="365" t="str">
        <f t="shared" si="0"/>
        <v/>
      </c>
      <c r="H11" s="365" t="str">
        <f t="shared" si="0"/>
        <v/>
      </c>
      <c r="I11" s="365" t="str">
        <f t="shared" si="0"/>
        <v/>
      </c>
      <c r="J11" s="365" t="str">
        <f t="shared" si="0"/>
        <v/>
      </c>
      <c r="K11" s="365" t="str">
        <f t="shared" si="0"/>
        <v/>
      </c>
      <c r="L11" s="365" t="str">
        <f t="shared" si="0"/>
        <v/>
      </c>
      <c r="M11" s="365" t="str">
        <f t="shared" si="0"/>
        <v/>
      </c>
      <c r="N11" s="365" t="str">
        <f t="shared" si="0"/>
        <v/>
      </c>
      <c r="O11" s="365" t="str">
        <f>IF(O12="","",N11+1)</f>
        <v/>
      </c>
      <c r="P11" s="365" t="str">
        <f t="shared" si="0"/>
        <v/>
      </c>
      <c r="Q11" s="658" t="s">
        <v>695</v>
      </c>
      <c r="R11" s="658" t="s">
        <v>696</v>
      </c>
    </row>
    <row r="12" spans="2:18" ht="12.75" customHeight="1" x14ac:dyDescent="0.2">
      <c r="B12" s="685"/>
      <c r="C12" s="383" t="s">
        <v>617</v>
      </c>
      <c r="D12" s="583"/>
      <c r="E12" s="583"/>
      <c r="F12" s="583"/>
      <c r="G12" s="583"/>
      <c r="H12" s="583"/>
      <c r="I12" s="583"/>
      <c r="J12" s="583"/>
      <c r="K12" s="583"/>
      <c r="L12" s="583"/>
      <c r="M12" s="583"/>
      <c r="N12" s="583"/>
      <c r="O12" s="583"/>
      <c r="P12" s="583"/>
      <c r="Q12" s="584">
        <f>SUM(D12:P12)</f>
        <v>0</v>
      </c>
      <c r="R12" s="585" t="e">
        <f>AVERAGE(E12:P12)</f>
        <v>#DIV/0!</v>
      </c>
    </row>
    <row r="13" spans="2:18" ht="12.75" customHeight="1" x14ac:dyDescent="0.2">
      <c r="B13" s="685"/>
      <c r="C13" s="383" t="s">
        <v>697</v>
      </c>
      <c r="D13" s="567">
        <f>+H7</f>
        <v>0</v>
      </c>
      <c r="E13" s="567">
        <f>D13</f>
        <v>0</v>
      </c>
      <c r="F13" s="567" t="str">
        <f t="shared" ref="F13:P13" si="1">IF(F12="","",E13)</f>
        <v/>
      </c>
      <c r="G13" s="567" t="str">
        <f t="shared" si="1"/>
        <v/>
      </c>
      <c r="H13" s="567" t="str">
        <f t="shared" si="1"/>
        <v/>
      </c>
      <c r="I13" s="567" t="str">
        <f t="shared" si="1"/>
        <v/>
      </c>
      <c r="J13" s="567" t="str">
        <f t="shared" si="1"/>
        <v/>
      </c>
      <c r="K13" s="567" t="str">
        <f t="shared" si="1"/>
        <v/>
      </c>
      <c r="L13" s="567" t="str">
        <f t="shared" si="1"/>
        <v/>
      </c>
      <c r="M13" s="567" t="str">
        <f t="shared" si="1"/>
        <v/>
      </c>
      <c r="N13" s="567" t="str">
        <f t="shared" si="1"/>
        <v/>
      </c>
      <c r="O13" s="567" t="str">
        <f t="shared" si="1"/>
        <v/>
      </c>
      <c r="P13" s="567" t="str">
        <f t="shared" si="1"/>
        <v/>
      </c>
      <c r="Q13" s="698"/>
      <c r="R13" s="699"/>
    </row>
    <row r="14" spans="2:18" ht="12.75" customHeight="1" x14ac:dyDescent="0.2">
      <c r="B14" s="685"/>
      <c r="C14" s="554"/>
      <c r="D14" s="554"/>
      <c r="E14" s="554"/>
      <c r="F14" s="554"/>
      <c r="G14" s="554"/>
      <c r="H14" s="554"/>
      <c r="I14" s="554"/>
      <c r="J14" s="554"/>
      <c r="K14" s="554"/>
      <c r="L14" s="554"/>
      <c r="M14" s="554"/>
      <c r="N14" s="554"/>
      <c r="O14" s="554"/>
      <c r="P14" s="554"/>
      <c r="Q14" s="554"/>
      <c r="R14" s="555"/>
    </row>
    <row r="15" spans="2:18" ht="12.75" customHeight="1" x14ac:dyDescent="0.2">
      <c r="B15" s="685"/>
      <c r="C15" s="700" t="s">
        <v>698</v>
      </c>
      <c r="D15" s="700"/>
      <c r="E15" s="701"/>
      <c r="F15" s="701"/>
      <c r="G15" s="701"/>
      <c r="H15" s="701"/>
      <c r="I15" s="701"/>
      <c r="J15" s="701"/>
      <c r="K15" s="701"/>
      <c r="L15" s="701"/>
      <c r="M15" s="701"/>
      <c r="N15" s="701"/>
      <c r="O15" s="701"/>
      <c r="P15" s="701"/>
      <c r="Q15" s="701"/>
      <c r="R15" s="702"/>
    </row>
    <row r="16" spans="2:18" ht="12.75" customHeight="1" x14ac:dyDescent="0.2">
      <c r="B16" s="685"/>
      <c r="C16" s="383" t="s">
        <v>699</v>
      </c>
      <c r="D16" s="567">
        <f>+'2. Cost Summary'!D117</f>
        <v>0</v>
      </c>
      <c r="E16" s="567">
        <f>D16</f>
        <v>0</v>
      </c>
      <c r="F16" s="567" t="str">
        <f t="shared" ref="F16:P16" si="2">IF(F12="","",E16)</f>
        <v/>
      </c>
      <c r="G16" s="567" t="str">
        <f t="shared" si="2"/>
        <v/>
      </c>
      <c r="H16" s="567" t="str">
        <f t="shared" si="2"/>
        <v/>
      </c>
      <c r="I16" s="567" t="str">
        <f t="shared" si="2"/>
        <v/>
      </c>
      <c r="J16" s="567" t="str">
        <f t="shared" si="2"/>
        <v/>
      </c>
      <c r="K16" s="567" t="str">
        <f t="shared" si="2"/>
        <v/>
      </c>
      <c r="L16" s="567" t="str">
        <f t="shared" si="2"/>
        <v/>
      </c>
      <c r="M16" s="567" t="str">
        <f t="shared" si="2"/>
        <v/>
      </c>
      <c r="N16" s="567" t="str">
        <f t="shared" si="2"/>
        <v/>
      </c>
      <c r="O16" s="567" t="str">
        <f t="shared" si="2"/>
        <v/>
      </c>
      <c r="P16" s="567" t="str">
        <f t="shared" si="2"/>
        <v/>
      </c>
      <c r="Q16" s="317" t="s">
        <v>700</v>
      </c>
      <c r="R16" s="703"/>
    </row>
    <row r="17" spans="2:18" ht="12.75" customHeight="1" x14ac:dyDescent="0.2">
      <c r="B17" s="685"/>
      <c r="C17" s="383" t="s">
        <v>701</v>
      </c>
      <c r="D17" s="382" t="e">
        <f>IF(D16="","",(D13-'3. Price decision matrix'!D16)/D13)</f>
        <v>#DIV/0!</v>
      </c>
      <c r="E17" s="382" t="e">
        <f>IF(E16="","",(E13-'3. Price decision matrix'!E16)/E13)</f>
        <v>#DIV/0!</v>
      </c>
      <c r="F17" s="382" t="str">
        <f>IF(F16="","",(F13-'3. Price decision matrix'!F16)/F13)</f>
        <v/>
      </c>
      <c r="G17" s="382" t="str">
        <f>IF(G16="","",(G13-'3. Price decision matrix'!G16)/G13)</f>
        <v/>
      </c>
      <c r="H17" s="382" t="str">
        <f>IF(H16="","",(H13-'3. Price decision matrix'!H16)/H13)</f>
        <v/>
      </c>
      <c r="I17" s="382" t="str">
        <f>IF(I16="","",(I13-'3. Price decision matrix'!I16)/I13)</f>
        <v/>
      </c>
      <c r="J17" s="382" t="str">
        <f>IF(J16="","",(J13-'3. Price decision matrix'!J16)/J13)</f>
        <v/>
      </c>
      <c r="K17" s="382" t="str">
        <f>IF(K16="","",(K13-'3. Price decision matrix'!K16)/K13)</f>
        <v/>
      </c>
      <c r="L17" s="382" t="str">
        <f>IF(L16="","",(L13-'3. Price decision matrix'!L16)/L13)</f>
        <v/>
      </c>
      <c r="M17" s="382" t="str">
        <f>IF(M16="","",(M13-'3. Price decision matrix'!M16)/M13)</f>
        <v/>
      </c>
      <c r="N17" s="382" t="str">
        <f>IF(N16="","",(N13-'3. Price decision matrix'!N16)/N13)</f>
        <v/>
      </c>
      <c r="O17" s="382" t="str">
        <f>IF(O16="","",(O13-'3. Price decision matrix'!O16)/O13)</f>
        <v/>
      </c>
      <c r="P17" s="382" t="str">
        <f>IF(P16="","",(P13-'3. Price decision matrix'!P16)/P13)</f>
        <v/>
      </c>
      <c r="Q17" s="569"/>
      <c r="R17" s="703"/>
    </row>
    <row r="18" spans="2:18" ht="12.75" customHeight="1" x14ac:dyDescent="0.2">
      <c r="B18" s="685"/>
      <c r="C18" s="383" t="s">
        <v>702</v>
      </c>
      <c r="D18" s="568">
        <f>+'2. Cost Summary'!D69</f>
        <v>0</v>
      </c>
      <c r="E18" s="579"/>
      <c r="F18" s="581"/>
      <c r="G18" s="581"/>
      <c r="H18" s="581"/>
      <c r="I18" s="581"/>
      <c r="J18" s="581"/>
      <c r="K18" s="581"/>
      <c r="L18" s="581"/>
      <c r="M18" s="581"/>
      <c r="N18" s="581"/>
      <c r="O18" s="581"/>
      <c r="P18" s="577"/>
      <c r="Q18" s="588">
        <f>SUM(D18:P18)</f>
        <v>0</v>
      </c>
      <c r="R18" s="703"/>
    </row>
    <row r="19" spans="2:18" ht="12.75" customHeight="1" x14ac:dyDescent="0.2">
      <c r="B19" s="685"/>
      <c r="C19" s="383" t="s">
        <v>703</v>
      </c>
      <c r="D19" s="568">
        <f>-'2. Cost Summary'!D87</f>
        <v>0</v>
      </c>
      <c r="E19" s="580"/>
      <c r="F19" s="582"/>
      <c r="G19" s="582"/>
      <c r="H19" s="582"/>
      <c r="I19" s="582"/>
      <c r="J19" s="582"/>
      <c r="K19" s="582"/>
      <c r="L19" s="582"/>
      <c r="M19" s="582"/>
      <c r="N19" s="582"/>
      <c r="O19" s="582"/>
      <c r="P19" s="578"/>
      <c r="Q19" s="588">
        <f>SUM(D19:P19)</f>
        <v>0</v>
      </c>
      <c r="R19" s="703"/>
    </row>
    <row r="20" spans="2:18" ht="12.75" customHeight="1" x14ac:dyDescent="0.2">
      <c r="B20" s="685"/>
      <c r="C20" s="383" t="s">
        <v>704</v>
      </c>
      <c r="D20" s="568">
        <f>+D12*D13</f>
        <v>0</v>
      </c>
      <c r="E20" s="568">
        <f t="shared" ref="E20:P20" si="3">IFERROR(E12*E13,"")</f>
        <v>0</v>
      </c>
      <c r="F20" s="568" t="str">
        <f t="shared" si="3"/>
        <v/>
      </c>
      <c r="G20" s="568" t="str">
        <f t="shared" si="3"/>
        <v/>
      </c>
      <c r="H20" s="568" t="str">
        <f t="shared" si="3"/>
        <v/>
      </c>
      <c r="I20" s="568" t="str">
        <f t="shared" si="3"/>
        <v/>
      </c>
      <c r="J20" s="568" t="str">
        <f t="shared" si="3"/>
        <v/>
      </c>
      <c r="K20" s="568" t="str">
        <f t="shared" si="3"/>
        <v/>
      </c>
      <c r="L20" s="568" t="str">
        <f t="shared" si="3"/>
        <v/>
      </c>
      <c r="M20" s="568" t="str">
        <f t="shared" si="3"/>
        <v/>
      </c>
      <c r="N20" s="568" t="str">
        <f t="shared" si="3"/>
        <v/>
      </c>
      <c r="O20" s="568" t="str">
        <f t="shared" si="3"/>
        <v/>
      </c>
      <c r="P20" s="568" t="str">
        <f t="shared" si="3"/>
        <v/>
      </c>
      <c r="Q20" s="588">
        <f>SUM(D20:P20)</f>
        <v>0</v>
      </c>
      <c r="R20" s="704"/>
    </row>
    <row r="21" spans="2:18" ht="12.75" customHeight="1" x14ac:dyDescent="0.2">
      <c r="B21" s="685"/>
      <c r="C21" s="383" t="s">
        <v>705</v>
      </c>
      <c r="D21" s="568">
        <f>+D12*D16*-1</f>
        <v>0</v>
      </c>
      <c r="E21" s="568">
        <f t="shared" ref="E21:P21" si="4">IFERROR(E12*E16*-1,"")</f>
        <v>0</v>
      </c>
      <c r="F21" s="568" t="str">
        <f t="shared" si="4"/>
        <v/>
      </c>
      <c r="G21" s="568" t="str">
        <f t="shared" si="4"/>
        <v/>
      </c>
      <c r="H21" s="568" t="str">
        <f t="shared" si="4"/>
        <v/>
      </c>
      <c r="I21" s="568" t="str">
        <f t="shared" si="4"/>
        <v/>
      </c>
      <c r="J21" s="568" t="str">
        <f t="shared" si="4"/>
        <v/>
      </c>
      <c r="K21" s="568" t="str">
        <f t="shared" si="4"/>
        <v/>
      </c>
      <c r="L21" s="568" t="str">
        <f t="shared" si="4"/>
        <v/>
      </c>
      <c r="M21" s="568" t="str">
        <f t="shared" si="4"/>
        <v/>
      </c>
      <c r="N21" s="568" t="str">
        <f t="shared" si="4"/>
        <v/>
      </c>
      <c r="O21" s="568" t="str">
        <f t="shared" si="4"/>
        <v/>
      </c>
      <c r="P21" s="568" t="str">
        <f t="shared" si="4"/>
        <v/>
      </c>
      <c r="Q21" s="588">
        <f>SUM(D21:P21)*-1</f>
        <v>0</v>
      </c>
      <c r="R21" s="704"/>
    </row>
    <row r="22" spans="2:18" ht="12.75" customHeight="1" x14ac:dyDescent="0.2">
      <c r="B22" s="685"/>
      <c r="C22" s="383" t="s">
        <v>706</v>
      </c>
      <c r="D22" s="586">
        <f>+SUM(D20,D21,D19)</f>
        <v>0</v>
      </c>
      <c r="E22" s="586" t="str">
        <f t="shared" ref="E22:P22" si="5">IF(E12="","",SUM(E20,E21,E19))</f>
        <v/>
      </c>
      <c r="F22" s="586" t="str">
        <f t="shared" si="5"/>
        <v/>
      </c>
      <c r="G22" s="586" t="str">
        <f t="shared" si="5"/>
        <v/>
      </c>
      <c r="H22" s="586" t="str">
        <f t="shared" si="5"/>
        <v/>
      </c>
      <c r="I22" s="586" t="str">
        <f t="shared" si="5"/>
        <v/>
      </c>
      <c r="J22" s="586" t="str">
        <f t="shared" si="5"/>
        <v/>
      </c>
      <c r="K22" s="586" t="str">
        <f t="shared" si="5"/>
        <v/>
      </c>
      <c r="L22" s="586" t="str">
        <f t="shared" si="5"/>
        <v/>
      </c>
      <c r="M22" s="586" t="str">
        <f t="shared" si="5"/>
        <v/>
      </c>
      <c r="N22" s="586" t="str">
        <f t="shared" si="5"/>
        <v/>
      </c>
      <c r="O22" s="586" t="str">
        <f t="shared" si="5"/>
        <v/>
      </c>
      <c r="P22" s="586" t="str">
        <f t="shared" si="5"/>
        <v/>
      </c>
      <c r="Q22" s="588">
        <f>SUM(D22:P22)</f>
        <v>0</v>
      </c>
      <c r="R22" s="702"/>
    </row>
    <row r="23" spans="2:18" ht="12.75" customHeight="1" x14ac:dyDescent="0.2">
      <c r="B23" s="685"/>
      <c r="C23" s="705"/>
      <c r="D23" s="706"/>
      <c r="E23" s="706"/>
      <c r="F23" s="706"/>
      <c r="G23" s="706"/>
      <c r="H23" s="706"/>
      <c r="I23" s="706"/>
      <c r="J23" s="706"/>
      <c r="K23" s="706"/>
      <c r="L23" s="706"/>
      <c r="M23" s="706"/>
      <c r="N23" s="706"/>
      <c r="O23" s="706"/>
      <c r="P23" s="706"/>
      <c r="Q23" s="707"/>
      <c r="R23" s="702"/>
    </row>
    <row r="24" spans="2:18" ht="12.75" customHeight="1" x14ac:dyDescent="0.2">
      <c r="B24" s="685"/>
      <c r="C24" s="383" t="s">
        <v>707</v>
      </c>
      <c r="D24" s="587">
        <f>D22</f>
        <v>0</v>
      </c>
      <c r="E24" s="587" t="str">
        <f t="shared" ref="E24:P24" si="6">IF(E12="","",E22+D24)</f>
        <v/>
      </c>
      <c r="F24" s="586" t="str">
        <f t="shared" si="6"/>
        <v/>
      </c>
      <c r="G24" s="586" t="str">
        <f t="shared" si="6"/>
        <v/>
      </c>
      <c r="H24" s="586" t="str">
        <f t="shared" si="6"/>
        <v/>
      </c>
      <c r="I24" s="586" t="str">
        <f t="shared" si="6"/>
        <v/>
      </c>
      <c r="J24" s="586" t="str">
        <f t="shared" si="6"/>
        <v/>
      </c>
      <c r="K24" s="586" t="str">
        <f t="shared" si="6"/>
        <v/>
      </c>
      <c r="L24" s="586" t="str">
        <f t="shared" si="6"/>
        <v/>
      </c>
      <c r="M24" s="586" t="str">
        <f t="shared" si="6"/>
        <v/>
      </c>
      <c r="N24" s="586" t="str">
        <f t="shared" si="6"/>
        <v/>
      </c>
      <c r="O24" s="586" t="str">
        <f t="shared" si="6"/>
        <v/>
      </c>
      <c r="P24" s="586" t="str">
        <f t="shared" si="6"/>
        <v/>
      </c>
      <c r="Q24" s="708"/>
      <c r="R24" s="702"/>
    </row>
    <row r="25" spans="2:18" ht="12.75" customHeight="1" x14ac:dyDescent="0.2">
      <c r="B25" s="685"/>
      <c r="C25" s="383" t="s">
        <v>708</v>
      </c>
      <c r="D25" s="571" t="str">
        <f>IF(D24&gt;0,IF(C25&gt;0,"","ok"),"")</f>
        <v/>
      </c>
      <c r="E25" s="571" t="str">
        <f t="shared" ref="E25:P25" si="7">IF(E24&gt;0,IF(D24&gt;0,"","ok"),"")</f>
        <v>ok</v>
      </c>
      <c r="F25" s="572" t="str">
        <f t="shared" si="7"/>
        <v/>
      </c>
      <c r="G25" s="572" t="str">
        <f t="shared" si="7"/>
        <v/>
      </c>
      <c r="H25" s="572" t="str">
        <f t="shared" si="7"/>
        <v/>
      </c>
      <c r="I25" s="572" t="str">
        <f t="shared" si="7"/>
        <v/>
      </c>
      <c r="J25" s="572" t="str">
        <f t="shared" si="7"/>
        <v/>
      </c>
      <c r="K25" s="572" t="str">
        <f t="shared" si="7"/>
        <v/>
      </c>
      <c r="L25" s="572" t="str">
        <f t="shared" si="7"/>
        <v/>
      </c>
      <c r="M25" s="572" t="str">
        <f t="shared" si="7"/>
        <v/>
      </c>
      <c r="N25" s="572" t="str">
        <f t="shared" si="7"/>
        <v/>
      </c>
      <c r="O25" s="572" t="str">
        <f t="shared" si="7"/>
        <v/>
      </c>
      <c r="P25" s="572" t="str">
        <f t="shared" si="7"/>
        <v/>
      </c>
      <c r="Q25" s="570" t="e">
        <f>(MAX(D26:P26)-1)+(-D19-SUMIFS(D22:P22,D24:P24,"&lt;=0"))/(SUMIFS(D22:P22,D26:P26,MAX(D26:P26)))</f>
        <v>#DIV/0!</v>
      </c>
      <c r="R25" s="658" t="s">
        <v>709</v>
      </c>
    </row>
    <row r="26" spans="2:18" ht="12.75" customHeight="1" x14ac:dyDescent="0.2">
      <c r="B26" s="685"/>
      <c r="C26" s="383" t="s">
        <v>708</v>
      </c>
      <c r="D26" s="573">
        <f t="shared" ref="D26:P26" si="8">IF(D24&gt;0,IF(C24&gt;0,"",D11),D11)</f>
        <v>0</v>
      </c>
      <c r="E26" s="573" t="str">
        <f t="shared" si="8"/>
        <v/>
      </c>
      <c r="F26" s="573" t="str">
        <f t="shared" si="8"/>
        <v/>
      </c>
      <c r="G26" s="573" t="str">
        <f t="shared" si="8"/>
        <v/>
      </c>
      <c r="H26" s="573" t="str">
        <f t="shared" si="8"/>
        <v/>
      </c>
      <c r="I26" s="573" t="str">
        <f t="shared" si="8"/>
        <v/>
      </c>
      <c r="J26" s="573" t="str">
        <f t="shared" si="8"/>
        <v/>
      </c>
      <c r="K26" s="573" t="str">
        <f t="shared" si="8"/>
        <v/>
      </c>
      <c r="L26" s="573" t="str">
        <f t="shared" si="8"/>
        <v/>
      </c>
      <c r="M26" s="573" t="str">
        <f t="shared" si="8"/>
        <v/>
      </c>
      <c r="N26" s="573" t="str">
        <f t="shared" si="8"/>
        <v/>
      </c>
      <c r="O26" s="573" t="str">
        <f t="shared" si="8"/>
        <v/>
      </c>
      <c r="P26" s="573" t="str">
        <f t="shared" si="8"/>
        <v/>
      </c>
      <c r="Q26" s="709"/>
      <c r="R26" s="703"/>
    </row>
    <row r="27" spans="2:18" ht="12.75" customHeight="1" x14ac:dyDescent="0.2">
      <c r="B27" s="685"/>
      <c r="C27" s="701"/>
      <c r="D27" s="710"/>
      <c r="E27" s="710"/>
      <c r="F27" s="710"/>
      <c r="G27" s="710"/>
      <c r="H27" s="710"/>
      <c r="I27" s="710"/>
      <c r="J27" s="710"/>
      <c r="K27" s="710"/>
      <c r="L27" s="710"/>
      <c r="M27" s="710"/>
      <c r="N27" s="710"/>
      <c r="O27" s="710"/>
      <c r="P27" s="710"/>
      <c r="Q27" s="709"/>
      <c r="R27" s="704"/>
    </row>
    <row r="28" spans="2:18" ht="12.75" customHeight="1" x14ac:dyDescent="0.2">
      <c r="B28" s="685"/>
      <c r="C28" s="383" t="s">
        <v>533</v>
      </c>
      <c r="D28" s="574">
        <v>0.03</v>
      </c>
      <c r="E28" s="710"/>
      <c r="F28" s="710"/>
      <c r="G28" s="710"/>
      <c r="H28" s="710"/>
      <c r="I28" s="710"/>
      <c r="J28" s="710"/>
      <c r="K28" s="710"/>
      <c r="L28" s="710"/>
      <c r="M28" s="710"/>
      <c r="N28" s="710"/>
      <c r="O28" s="710"/>
      <c r="P28" s="710"/>
      <c r="Q28" s="711"/>
      <c r="R28" s="703"/>
    </row>
    <row r="29" spans="2:18" ht="12.75" customHeight="1" x14ac:dyDescent="0.2">
      <c r="B29" s="685"/>
      <c r="C29" s="383" t="s">
        <v>710</v>
      </c>
      <c r="D29" s="575" t="str">
        <f t="shared" ref="D29:P29" si="9">IF(D12="","",(1+$D$28)^-D11)</f>
        <v/>
      </c>
      <c r="E29" s="575" t="str">
        <f t="shared" si="9"/>
        <v/>
      </c>
      <c r="F29" s="575" t="str">
        <f t="shared" si="9"/>
        <v/>
      </c>
      <c r="G29" s="575" t="str">
        <f t="shared" si="9"/>
        <v/>
      </c>
      <c r="H29" s="575" t="str">
        <f t="shared" si="9"/>
        <v/>
      </c>
      <c r="I29" s="575" t="str">
        <f t="shared" si="9"/>
        <v/>
      </c>
      <c r="J29" s="575" t="str">
        <f t="shared" si="9"/>
        <v/>
      </c>
      <c r="K29" s="575" t="str">
        <f t="shared" si="9"/>
        <v/>
      </c>
      <c r="L29" s="575" t="str">
        <f t="shared" si="9"/>
        <v/>
      </c>
      <c r="M29" s="575" t="str">
        <f t="shared" si="9"/>
        <v/>
      </c>
      <c r="N29" s="575" t="str">
        <f t="shared" si="9"/>
        <v/>
      </c>
      <c r="O29" s="575" t="str">
        <f t="shared" si="9"/>
        <v/>
      </c>
      <c r="P29" s="575" t="str">
        <f t="shared" si="9"/>
        <v/>
      </c>
      <c r="Q29" s="709"/>
      <c r="R29" s="703"/>
    </row>
    <row r="30" spans="2:18" ht="12.75" customHeight="1" x14ac:dyDescent="0.2">
      <c r="B30" s="685"/>
      <c r="C30" s="383" t="s">
        <v>711</v>
      </c>
      <c r="D30" s="586" t="e">
        <f>+D22*D29</f>
        <v>#VALUE!</v>
      </c>
      <c r="E30" s="586" t="str">
        <f t="shared" ref="E30:P30" si="10">IF(E12="","",E22*E29)</f>
        <v/>
      </c>
      <c r="F30" s="586" t="str">
        <f t="shared" si="10"/>
        <v/>
      </c>
      <c r="G30" s="586" t="str">
        <f t="shared" si="10"/>
        <v/>
      </c>
      <c r="H30" s="586" t="str">
        <f t="shared" si="10"/>
        <v/>
      </c>
      <c r="I30" s="586" t="str">
        <f t="shared" si="10"/>
        <v/>
      </c>
      <c r="J30" s="586" t="str">
        <f t="shared" si="10"/>
        <v/>
      </c>
      <c r="K30" s="586" t="str">
        <f t="shared" si="10"/>
        <v/>
      </c>
      <c r="L30" s="586" t="str">
        <f t="shared" si="10"/>
        <v/>
      </c>
      <c r="M30" s="586" t="str">
        <f t="shared" si="10"/>
        <v/>
      </c>
      <c r="N30" s="586" t="str">
        <f t="shared" si="10"/>
        <v/>
      </c>
      <c r="O30" s="586" t="str">
        <f t="shared" si="10"/>
        <v/>
      </c>
      <c r="P30" s="586" t="str">
        <f t="shared" si="10"/>
        <v/>
      </c>
      <c r="Q30" s="712"/>
      <c r="R30" s="702"/>
    </row>
    <row r="31" spans="2:18" ht="12.75" customHeight="1" x14ac:dyDescent="0.2">
      <c r="B31" s="685"/>
      <c r="C31" s="709"/>
      <c r="D31" s="698"/>
      <c r="E31" s="698"/>
      <c r="F31" s="698"/>
      <c r="G31" s="698"/>
      <c r="H31" s="698"/>
      <c r="I31" s="698"/>
      <c r="J31" s="698"/>
      <c r="K31" s="698"/>
      <c r="L31" s="698"/>
      <c r="M31" s="698"/>
      <c r="N31" s="698"/>
      <c r="O31" s="698"/>
      <c r="P31" s="698"/>
      <c r="Q31" s="701"/>
      <c r="R31" s="703"/>
    </row>
    <row r="32" spans="2:18" ht="12.75" customHeight="1" x14ac:dyDescent="0.2">
      <c r="B32" s="685"/>
      <c r="C32" s="383" t="s">
        <v>712</v>
      </c>
      <c r="D32" s="740" t="e">
        <f>SUM(D30:P30)</f>
        <v>#VALUE!</v>
      </c>
      <c r="E32" s="740"/>
      <c r="F32" s="698"/>
      <c r="G32" s="710"/>
      <c r="H32" s="710"/>
      <c r="I32" s="710"/>
      <c r="J32" s="710"/>
      <c r="K32" s="698"/>
      <c r="L32" s="698"/>
      <c r="M32" s="713"/>
      <c r="N32" s="713"/>
      <c r="O32" s="713"/>
      <c r="P32" s="713"/>
      <c r="Q32" s="709"/>
      <c r="R32" s="703"/>
    </row>
    <row r="33" spans="2:18" ht="12.75" customHeight="1" x14ac:dyDescent="0.2">
      <c r="B33" s="685"/>
      <c r="C33" s="701"/>
      <c r="D33" s="714"/>
      <c r="E33" s="714"/>
      <c r="F33" s="710"/>
      <c r="G33" s="710"/>
      <c r="H33" s="710"/>
      <c r="I33" s="710"/>
      <c r="J33" s="710"/>
      <c r="K33" s="710"/>
      <c r="L33" s="710"/>
      <c r="M33" s="710"/>
      <c r="N33" s="710"/>
      <c r="O33" s="710"/>
      <c r="P33" s="710"/>
      <c r="Q33" s="709"/>
      <c r="R33" s="703"/>
    </row>
    <row r="34" spans="2:18" ht="12.75" customHeight="1" x14ac:dyDescent="0.2">
      <c r="B34" s="685"/>
      <c r="C34" s="383" t="s">
        <v>713</v>
      </c>
      <c r="D34" s="715"/>
      <c r="E34" s="715"/>
      <c r="F34" s="716"/>
      <c r="G34" s="716"/>
      <c r="H34" s="716"/>
      <c r="I34" s="716"/>
      <c r="J34" s="716"/>
      <c r="K34" s="716"/>
      <c r="L34" s="716"/>
      <c r="M34" s="716"/>
      <c r="N34" s="716"/>
      <c r="O34" s="716"/>
      <c r="P34" s="716"/>
      <c r="Q34" s="709"/>
      <c r="R34" s="703"/>
    </row>
    <row r="35" spans="2:18" ht="12.75" customHeight="1" x14ac:dyDescent="0.2">
      <c r="B35" s="685"/>
      <c r="C35" s="383" t="s">
        <v>714</v>
      </c>
      <c r="D35" s="740">
        <f>Q20/COUNTIF(D20:P20,"&lt;&gt;0")</f>
        <v>0</v>
      </c>
      <c r="E35" s="740"/>
      <c r="F35" s="716"/>
      <c r="G35" s="716"/>
      <c r="H35" s="716"/>
      <c r="I35" s="716"/>
      <c r="J35" s="716"/>
      <c r="K35" s="716"/>
      <c r="L35" s="716"/>
      <c r="M35" s="716"/>
      <c r="N35" s="716"/>
      <c r="O35" s="716"/>
      <c r="P35" s="716"/>
      <c r="Q35" s="709"/>
      <c r="R35" s="703"/>
    </row>
    <row r="36" spans="2:18" ht="12.75" customHeight="1" x14ac:dyDescent="0.2">
      <c r="B36" s="685"/>
      <c r="C36" s="383" t="s">
        <v>715</v>
      </c>
      <c r="D36" s="740">
        <f>Q20</f>
        <v>0</v>
      </c>
      <c r="E36" s="740"/>
      <c r="F36" s="716"/>
      <c r="G36" s="716"/>
      <c r="H36" s="716"/>
      <c r="I36" s="716"/>
      <c r="J36" s="716"/>
      <c r="K36" s="716"/>
      <c r="L36" s="716"/>
      <c r="M36" s="716"/>
      <c r="N36" s="716"/>
      <c r="O36" s="716"/>
      <c r="P36" s="716"/>
      <c r="Q36" s="709"/>
      <c r="R36" s="703"/>
    </row>
    <row r="37" spans="2:18" ht="12.75" customHeight="1" x14ac:dyDescent="0.2">
      <c r="B37" s="685"/>
      <c r="C37" s="705"/>
      <c r="D37" s="716"/>
      <c r="E37" s="716"/>
      <c r="F37" s="716"/>
      <c r="G37" s="716"/>
      <c r="H37" s="716"/>
      <c r="I37" s="716"/>
      <c r="J37" s="716"/>
      <c r="K37" s="716"/>
      <c r="L37" s="716"/>
      <c r="M37" s="716"/>
      <c r="N37" s="716"/>
      <c r="O37" s="716"/>
      <c r="P37" s="716"/>
      <c r="Q37" s="709"/>
      <c r="R37" s="703"/>
    </row>
    <row r="38" spans="2:18" ht="12.75" customHeight="1" x14ac:dyDescent="0.2">
      <c r="B38" s="685"/>
      <c r="C38" s="383" t="s">
        <v>716</v>
      </c>
      <c r="D38" s="741">
        <f>IFERROR(IRR(D22:P22),0)</f>
        <v>0</v>
      </c>
      <c r="E38" s="741"/>
      <c r="F38" s="576" t="s">
        <v>717</v>
      </c>
      <c r="G38" s="698"/>
      <c r="H38" s="698"/>
      <c r="I38" s="698"/>
      <c r="J38" s="698"/>
      <c r="K38" s="698"/>
      <c r="L38" s="698"/>
      <c r="M38" s="698"/>
      <c r="N38" s="698"/>
      <c r="O38" s="698"/>
      <c r="P38" s="698"/>
      <c r="Q38" s="709"/>
      <c r="R38" s="555"/>
    </row>
    <row r="39" spans="2:18" ht="12.75" customHeight="1" x14ac:dyDescent="0.2">
      <c r="B39" s="685"/>
      <c r="C39" s="554"/>
      <c r="D39" s="564"/>
      <c r="E39" s="564"/>
      <c r="F39" s="565"/>
      <c r="G39" s="554"/>
      <c r="H39" s="554"/>
      <c r="I39" s="554"/>
      <c r="J39" s="554"/>
      <c r="K39" s="554"/>
      <c r="L39" s="554"/>
      <c r="M39" s="554"/>
      <c r="N39" s="554"/>
      <c r="O39" s="554"/>
      <c r="P39" s="554"/>
      <c r="Q39" s="554"/>
      <c r="R39" s="555"/>
    </row>
    <row r="40" spans="2:18" ht="12.75" customHeight="1" x14ac:dyDescent="0.2">
      <c r="B40" s="685"/>
      <c r="C40" s="700" t="s">
        <v>718</v>
      </c>
      <c r="D40" s="551"/>
      <c r="E40" s="551"/>
      <c r="F40" s="551"/>
      <c r="Q40" s="554"/>
      <c r="R40" s="555"/>
    </row>
    <row r="41" spans="2:18" ht="12.75" hidden="1" customHeight="1" x14ac:dyDescent="0.2">
      <c r="B41" s="685"/>
      <c r="C41" s="383" t="s">
        <v>694</v>
      </c>
      <c r="D41" s="365">
        <v>0</v>
      </c>
      <c r="E41" s="365" t="str">
        <f>IF(E42="","",D41+1)</f>
        <v/>
      </c>
      <c r="F41" s="365" t="str">
        <f t="shared" ref="F41:P41" si="11">IF(F42="","",E41+1)</f>
        <v/>
      </c>
      <c r="G41" s="365" t="str">
        <f t="shared" si="11"/>
        <v/>
      </c>
      <c r="H41" s="365" t="str">
        <f t="shared" si="11"/>
        <v/>
      </c>
      <c r="I41" s="365" t="str">
        <f t="shared" si="11"/>
        <v/>
      </c>
      <c r="J41" s="365" t="str">
        <f t="shared" si="11"/>
        <v/>
      </c>
      <c r="K41" s="365" t="str">
        <f t="shared" si="11"/>
        <v/>
      </c>
      <c r="L41" s="365" t="str">
        <f t="shared" si="11"/>
        <v/>
      </c>
      <c r="M41" s="365" t="str">
        <f t="shared" si="11"/>
        <v/>
      </c>
      <c r="N41" s="365" t="str">
        <f t="shared" si="11"/>
        <v/>
      </c>
      <c r="O41" s="365" t="str">
        <f t="shared" si="11"/>
        <v/>
      </c>
      <c r="P41" s="365" t="str">
        <f t="shared" si="11"/>
        <v/>
      </c>
      <c r="Q41" s="365" t="s">
        <v>695</v>
      </c>
      <c r="R41" s="365" t="s">
        <v>696</v>
      </c>
    </row>
    <row r="42" spans="2:18" ht="12.75" hidden="1" customHeight="1" x14ac:dyDescent="0.2">
      <c r="B42" s="685"/>
      <c r="C42" s="383" t="s">
        <v>617</v>
      </c>
      <c r="D42" s="366">
        <f>+D12</f>
        <v>0</v>
      </c>
      <c r="E42" s="365" t="str">
        <f>IF(E11="","",E12)</f>
        <v/>
      </c>
      <c r="F42" s="365" t="str">
        <f t="shared" ref="F42:P42" si="12">IF(F11="","",F12)</f>
        <v/>
      </c>
      <c r="G42" s="365" t="str">
        <f t="shared" si="12"/>
        <v/>
      </c>
      <c r="H42" s="365" t="str">
        <f t="shared" si="12"/>
        <v/>
      </c>
      <c r="I42" s="365" t="str">
        <f t="shared" si="12"/>
        <v/>
      </c>
      <c r="J42" s="365" t="str">
        <f t="shared" si="12"/>
        <v/>
      </c>
      <c r="K42" s="365" t="str">
        <f t="shared" si="12"/>
        <v/>
      </c>
      <c r="L42" s="365" t="str">
        <f t="shared" si="12"/>
        <v/>
      </c>
      <c r="M42" s="365" t="str">
        <f t="shared" si="12"/>
        <v/>
      </c>
      <c r="N42" s="365" t="str">
        <f t="shared" si="12"/>
        <v/>
      </c>
      <c r="O42" s="365" t="str">
        <f t="shared" si="12"/>
        <v/>
      </c>
      <c r="P42" s="365" t="str">
        <f t="shared" si="12"/>
        <v/>
      </c>
      <c r="Q42" s="365">
        <f>SUM(D42:P42)</f>
        <v>0</v>
      </c>
      <c r="R42" s="365" t="e">
        <f>AVERAGE(E42:P42)</f>
        <v>#DIV/0!</v>
      </c>
    </row>
    <row r="43" spans="2:18" ht="12.75" customHeight="1" x14ac:dyDescent="0.2">
      <c r="B43" s="685"/>
      <c r="C43" s="364" t="s">
        <v>697</v>
      </c>
      <c r="D43" s="567">
        <f>+D13</f>
        <v>0</v>
      </c>
      <c r="E43" s="567">
        <f>D43</f>
        <v>0</v>
      </c>
      <c r="F43" s="567" t="str">
        <f t="shared" ref="F43:N43" si="13">IF(F42="","",E43)</f>
        <v/>
      </c>
      <c r="G43" s="567" t="str">
        <f t="shared" si="13"/>
        <v/>
      </c>
      <c r="H43" s="567" t="str">
        <f t="shared" si="13"/>
        <v/>
      </c>
      <c r="I43" s="567" t="str">
        <f t="shared" si="13"/>
        <v/>
      </c>
      <c r="J43" s="567" t="str">
        <f t="shared" si="13"/>
        <v/>
      </c>
      <c r="K43" s="567" t="str">
        <f t="shared" si="13"/>
        <v/>
      </c>
      <c r="L43" s="567" t="str">
        <f t="shared" si="13"/>
        <v/>
      </c>
      <c r="M43" s="567" t="str">
        <f t="shared" si="13"/>
        <v/>
      </c>
      <c r="N43" s="567" t="str">
        <f t="shared" si="13"/>
        <v/>
      </c>
      <c r="O43" s="563" t="str">
        <f t="shared" ref="O43:P43" si="14">IF(O42="","",N43)</f>
        <v/>
      </c>
      <c r="P43" s="563" t="str">
        <f t="shared" si="14"/>
        <v/>
      </c>
      <c r="Q43" s="717"/>
      <c r="R43" s="718"/>
    </row>
    <row r="44" spans="2:18" ht="12.75" customHeight="1" x14ac:dyDescent="0.2">
      <c r="B44" s="685"/>
      <c r="C44" s="383" t="s">
        <v>719</v>
      </c>
      <c r="D44" s="567">
        <f>+'2. Cost Summary'!D106</f>
        <v>0</v>
      </c>
      <c r="E44" s="567">
        <f>D44</f>
        <v>0</v>
      </c>
      <c r="F44" s="567" t="str">
        <f>IF('3. Price decision matrix'!F42="","",E44)</f>
        <v/>
      </c>
      <c r="G44" s="567" t="str">
        <f>IF('3. Price decision matrix'!G42="","",F44)</f>
        <v/>
      </c>
      <c r="H44" s="567" t="str">
        <f>IF('3. Price decision matrix'!H42="","",G44)</f>
        <v/>
      </c>
      <c r="I44" s="567" t="str">
        <f>IF('3. Price decision matrix'!I42="","",H44)</f>
        <v/>
      </c>
      <c r="J44" s="567" t="str">
        <f>IF('3. Price decision matrix'!J42="","",I44)</f>
        <v/>
      </c>
      <c r="K44" s="567" t="str">
        <f>IF('3. Price decision matrix'!K42="","",J44)</f>
        <v/>
      </c>
      <c r="L44" s="567" t="str">
        <f>IF('3. Price decision matrix'!L42="","",K44)</f>
        <v/>
      </c>
      <c r="M44" s="567" t="str">
        <f>IF('3. Price decision matrix'!M42="","",L44)</f>
        <v/>
      </c>
      <c r="N44" s="567" t="str">
        <f>IF('3. Price decision matrix'!N42="","",M44)</f>
        <v/>
      </c>
      <c r="O44" s="567" t="str">
        <f>IF('3. Price decision matrix'!O42="","",N44)</f>
        <v/>
      </c>
      <c r="P44" s="567" t="str">
        <f>IF('3. Price decision matrix'!P42="","",O44)</f>
        <v/>
      </c>
      <c r="Q44" s="317" t="s">
        <v>700</v>
      </c>
      <c r="R44" s="703"/>
    </row>
    <row r="45" spans="2:18" ht="12.75" customHeight="1" x14ac:dyDescent="0.2">
      <c r="B45" s="685"/>
      <c r="C45" s="383" t="s">
        <v>701</v>
      </c>
      <c r="D45" s="382" t="e">
        <f>IF(D44="","",(D43-'3. Price decision matrix'!D44)/D43)</f>
        <v>#DIV/0!</v>
      </c>
      <c r="E45" s="382" t="e">
        <f>IF(E44="","",(E43-'3. Price decision matrix'!E44)/E43)</f>
        <v>#DIV/0!</v>
      </c>
      <c r="F45" s="382" t="str">
        <f>IF(F44="","",(F43-'3. Price decision matrix'!F44)/F43)</f>
        <v/>
      </c>
      <c r="G45" s="382" t="str">
        <f>IF(G44="","",(G43-'3. Price decision matrix'!G44)/G43)</f>
        <v/>
      </c>
      <c r="H45" s="382" t="str">
        <f>IF(H44="","",(H43-'3. Price decision matrix'!H44)/H43)</f>
        <v/>
      </c>
      <c r="I45" s="382" t="str">
        <f>IF(I44="","",(I43-'3. Price decision matrix'!I44)/I43)</f>
        <v/>
      </c>
      <c r="J45" s="382" t="str">
        <f>IF(J44="","",(J43-'3. Price decision matrix'!J44)/J43)</f>
        <v/>
      </c>
      <c r="K45" s="382" t="str">
        <f>IF(K44="","",(K43-'3. Price decision matrix'!K44)/K43)</f>
        <v/>
      </c>
      <c r="L45" s="382" t="str">
        <f>IF(L44="","",(L43-'3. Price decision matrix'!L44)/L43)</f>
        <v/>
      </c>
      <c r="M45" s="382" t="str">
        <f>IF(M44="","",(M43-'3. Price decision matrix'!M44)/M43)</f>
        <v/>
      </c>
      <c r="N45" s="382" t="str">
        <f>IF(N44="","",(N43-'3. Price decision matrix'!N44)/N43)</f>
        <v/>
      </c>
      <c r="O45" s="382" t="str">
        <f>IF(O44="","",(O43-'3. Price decision matrix'!O44)/O43)</f>
        <v/>
      </c>
      <c r="P45" s="382" t="str">
        <f>IF(P44="","",(P43-'3. Price decision matrix'!P44)/P43)</f>
        <v/>
      </c>
      <c r="Q45" s="569"/>
      <c r="R45" s="703"/>
    </row>
    <row r="46" spans="2:18" ht="12.75" customHeight="1" x14ac:dyDescent="0.2">
      <c r="B46" s="685"/>
      <c r="C46" s="383" t="s">
        <v>702</v>
      </c>
      <c r="D46" s="568">
        <f>+'2. Cost Summary'!D69</f>
        <v>0</v>
      </c>
      <c r="E46" s="579"/>
      <c r="F46" s="581"/>
      <c r="G46" s="581"/>
      <c r="H46" s="581"/>
      <c r="I46" s="581"/>
      <c r="J46" s="581"/>
      <c r="K46" s="581"/>
      <c r="L46" s="581"/>
      <c r="M46" s="581"/>
      <c r="N46" s="581"/>
      <c r="O46" s="581"/>
      <c r="P46" s="577"/>
      <c r="Q46" s="588">
        <f>SUM(D46:P46)</f>
        <v>0</v>
      </c>
      <c r="R46" s="703"/>
    </row>
    <row r="47" spans="2:18" ht="12.75" customHeight="1" x14ac:dyDescent="0.2">
      <c r="B47" s="685"/>
      <c r="C47" s="383" t="s">
        <v>703</v>
      </c>
      <c r="D47" s="568">
        <f>-'2. Cost Summary'!D87</f>
        <v>0</v>
      </c>
      <c r="E47" s="580"/>
      <c r="F47" s="582"/>
      <c r="G47" s="582"/>
      <c r="H47" s="582"/>
      <c r="I47" s="582"/>
      <c r="J47" s="582"/>
      <c r="K47" s="582"/>
      <c r="L47" s="582"/>
      <c r="M47" s="582"/>
      <c r="N47" s="582"/>
      <c r="O47" s="582"/>
      <c r="P47" s="578"/>
      <c r="Q47" s="588">
        <f>SUM(D47:P47)</f>
        <v>0</v>
      </c>
      <c r="R47" s="703"/>
    </row>
    <row r="48" spans="2:18" ht="12.75" customHeight="1" x14ac:dyDescent="0.2">
      <c r="B48" s="685"/>
      <c r="C48" s="383" t="s">
        <v>704</v>
      </c>
      <c r="D48" s="568">
        <f>+D42*D43</f>
        <v>0</v>
      </c>
      <c r="E48" s="568" t="str">
        <f t="shared" ref="E48:N48" si="15">IFERROR(E42*E43,"")</f>
        <v/>
      </c>
      <c r="F48" s="568" t="str">
        <f t="shared" si="15"/>
        <v/>
      </c>
      <c r="G48" s="568" t="str">
        <f t="shared" si="15"/>
        <v/>
      </c>
      <c r="H48" s="568" t="str">
        <f t="shared" si="15"/>
        <v/>
      </c>
      <c r="I48" s="568" t="str">
        <f t="shared" si="15"/>
        <v/>
      </c>
      <c r="J48" s="568" t="str">
        <f t="shared" si="15"/>
        <v/>
      </c>
      <c r="K48" s="568" t="str">
        <f t="shared" si="15"/>
        <v/>
      </c>
      <c r="L48" s="568" t="str">
        <f t="shared" si="15"/>
        <v/>
      </c>
      <c r="M48" s="568" t="str">
        <f t="shared" si="15"/>
        <v/>
      </c>
      <c r="N48" s="568" t="str">
        <f t="shared" si="15"/>
        <v/>
      </c>
      <c r="O48" s="568" t="str">
        <f t="shared" ref="O48:P48" si="16">IFERROR(O42*O43,"")</f>
        <v/>
      </c>
      <c r="P48" s="568" t="str">
        <f t="shared" si="16"/>
        <v/>
      </c>
      <c r="Q48" s="588">
        <f>SUM(D48:P48)</f>
        <v>0</v>
      </c>
      <c r="R48" s="704"/>
    </row>
    <row r="49" spans="2:18" ht="12.75" customHeight="1" x14ac:dyDescent="0.2">
      <c r="B49" s="685"/>
      <c r="C49" s="383" t="s">
        <v>705</v>
      </c>
      <c r="D49" s="568">
        <f>+D42*'3. Price decision matrix'!D44*-1</f>
        <v>0</v>
      </c>
      <c r="E49" s="568" t="str">
        <f>IFERROR(E42*'3. Price decision matrix'!E44*-1,"")</f>
        <v/>
      </c>
      <c r="F49" s="568" t="str">
        <f>IFERROR(F42*'3. Price decision matrix'!F44*-1,"")</f>
        <v/>
      </c>
      <c r="G49" s="568" t="str">
        <f>IFERROR(G42*'3. Price decision matrix'!G44*-1,"")</f>
        <v/>
      </c>
      <c r="H49" s="568" t="str">
        <f>IFERROR(H42*'3. Price decision matrix'!H44*-1,"")</f>
        <v/>
      </c>
      <c r="I49" s="568" t="str">
        <f>IFERROR(I42*'3. Price decision matrix'!I44*-1,"")</f>
        <v/>
      </c>
      <c r="J49" s="568" t="str">
        <f>IFERROR(J42*'3. Price decision matrix'!J44*-1,"")</f>
        <v/>
      </c>
      <c r="K49" s="568" t="str">
        <f>IFERROR(K42*'3. Price decision matrix'!K44*-1,"")</f>
        <v/>
      </c>
      <c r="L49" s="568" t="str">
        <f>IFERROR(L42*'3. Price decision matrix'!L44*-1,"")</f>
        <v/>
      </c>
      <c r="M49" s="568" t="str">
        <f>IFERROR(M42*'3. Price decision matrix'!M44*-1,"")</f>
        <v/>
      </c>
      <c r="N49" s="568" t="str">
        <f>IFERROR(N42*'3. Price decision matrix'!N44*-1,"")</f>
        <v/>
      </c>
      <c r="O49" s="568" t="str">
        <f>IFERROR(O42*'3. Price decision matrix'!O44*-1,"")</f>
        <v/>
      </c>
      <c r="P49" s="568" t="str">
        <f>IFERROR(P42*'3. Price decision matrix'!P44*-1,"")</f>
        <v/>
      </c>
      <c r="Q49" s="588">
        <f>SUM(D49:P49)*-1</f>
        <v>0</v>
      </c>
      <c r="R49" s="704"/>
    </row>
    <row r="50" spans="2:18" ht="12.75" customHeight="1" x14ac:dyDescent="0.2">
      <c r="B50" s="685"/>
      <c r="C50" s="383" t="s">
        <v>706</v>
      </c>
      <c r="D50" s="589">
        <f>+SUM(D47:D49)</f>
        <v>0</v>
      </c>
      <c r="E50" s="589" t="str">
        <f t="shared" ref="E50:P50" si="17">IF(E42="","",SUM(E48:E49))</f>
        <v/>
      </c>
      <c r="F50" s="589" t="str">
        <f t="shared" si="17"/>
        <v/>
      </c>
      <c r="G50" s="589" t="str">
        <f t="shared" si="17"/>
        <v/>
      </c>
      <c r="H50" s="589" t="str">
        <f t="shared" si="17"/>
        <v/>
      </c>
      <c r="I50" s="589" t="str">
        <f t="shared" si="17"/>
        <v/>
      </c>
      <c r="J50" s="589" t="str">
        <f t="shared" si="17"/>
        <v/>
      </c>
      <c r="K50" s="589" t="str">
        <f t="shared" si="17"/>
        <v/>
      </c>
      <c r="L50" s="589" t="str">
        <f t="shared" si="17"/>
        <v/>
      </c>
      <c r="M50" s="589" t="str">
        <f t="shared" si="17"/>
        <v/>
      </c>
      <c r="N50" s="589" t="str">
        <f t="shared" si="17"/>
        <v/>
      </c>
      <c r="O50" s="589" t="str">
        <f t="shared" si="17"/>
        <v/>
      </c>
      <c r="P50" s="589" t="str">
        <f t="shared" si="17"/>
        <v/>
      </c>
      <c r="Q50" s="591">
        <f>SUM(D50:P50)</f>
        <v>0</v>
      </c>
      <c r="R50" s="702"/>
    </row>
    <row r="51" spans="2:18" ht="12.75" customHeight="1" x14ac:dyDescent="0.2">
      <c r="B51" s="685"/>
      <c r="C51" s="705"/>
      <c r="D51" s="719"/>
      <c r="E51" s="719"/>
      <c r="F51" s="719"/>
      <c r="G51" s="719"/>
      <c r="H51" s="719"/>
      <c r="I51" s="719"/>
      <c r="J51" s="719"/>
      <c r="K51" s="719"/>
      <c r="L51" s="719"/>
      <c r="M51" s="719"/>
      <c r="N51" s="719"/>
      <c r="O51" s="719"/>
      <c r="P51" s="719"/>
      <c r="Q51" s="720"/>
      <c r="R51" s="702"/>
    </row>
    <row r="52" spans="2:18" ht="12.75" customHeight="1" x14ac:dyDescent="0.2">
      <c r="B52" s="685"/>
      <c r="C52" s="383" t="s">
        <v>707</v>
      </c>
      <c r="D52" s="590">
        <f>D50</f>
        <v>0</v>
      </c>
      <c r="E52" s="590" t="str">
        <f t="shared" ref="E52:P52" si="18">IF(E42="","",E50+D52)</f>
        <v/>
      </c>
      <c r="F52" s="589" t="str">
        <f t="shared" si="18"/>
        <v/>
      </c>
      <c r="G52" s="589" t="str">
        <f t="shared" si="18"/>
        <v/>
      </c>
      <c r="H52" s="589" t="str">
        <f t="shared" si="18"/>
        <v/>
      </c>
      <c r="I52" s="589" t="str">
        <f t="shared" si="18"/>
        <v/>
      </c>
      <c r="J52" s="589" t="str">
        <f t="shared" si="18"/>
        <v/>
      </c>
      <c r="K52" s="589" t="str">
        <f t="shared" si="18"/>
        <v/>
      </c>
      <c r="L52" s="589" t="str">
        <f t="shared" si="18"/>
        <v/>
      </c>
      <c r="M52" s="589" t="str">
        <f t="shared" si="18"/>
        <v/>
      </c>
      <c r="N52" s="589" t="str">
        <f t="shared" si="18"/>
        <v/>
      </c>
      <c r="O52" s="589" t="str">
        <f t="shared" si="18"/>
        <v/>
      </c>
      <c r="P52" s="589" t="str">
        <f t="shared" si="18"/>
        <v/>
      </c>
      <c r="Q52" s="720"/>
      <c r="R52" s="702"/>
    </row>
    <row r="53" spans="2:18" ht="12.75" customHeight="1" x14ac:dyDescent="0.2">
      <c r="B53" s="685"/>
      <c r="C53" s="383" t="s">
        <v>708</v>
      </c>
      <c r="D53" s="571" t="str">
        <f>IF(D52&gt;0,IF(C53&gt;0,"","ok"),"")</f>
        <v/>
      </c>
      <c r="E53" s="571" t="str">
        <f t="shared" ref="E53:P53" si="19">IF(E52&gt;0,IF(D52&gt;0,"","ok"),"")</f>
        <v>ok</v>
      </c>
      <c r="F53" s="572" t="str">
        <f t="shared" si="19"/>
        <v/>
      </c>
      <c r="G53" s="572" t="str">
        <f t="shared" si="19"/>
        <v/>
      </c>
      <c r="H53" s="572" t="str">
        <f t="shared" si="19"/>
        <v/>
      </c>
      <c r="I53" s="572" t="str">
        <f t="shared" si="19"/>
        <v/>
      </c>
      <c r="J53" s="572" t="str">
        <f t="shared" si="19"/>
        <v/>
      </c>
      <c r="K53" s="572" t="str">
        <f t="shared" si="19"/>
        <v/>
      </c>
      <c r="L53" s="572" t="str">
        <f t="shared" si="19"/>
        <v/>
      </c>
      <c r="M53" s="572" t="str">
        <f t="shared" si="19"/>
        <v/>
      </c>
      <c r="N53" s="572" t="str">
        <f t="shared" si="19"/>
        <v/>
      </c>
      <c r="O53" s="572" t="str">
        <f t="shared" si="19"/>
        <v/>
      </c>
      <c r="P53" s="572" t="str">
        <f t="shared" si="19"/>
        <v/>
      </c>
      <c r="Q53" s="570" t="e">
        <f>(MAX(D54:P54)-1)+(-D47-SUMIFS(D50:P50,D52:P52,"&lt;=0"))/(SUMIFS(D50:P50,D54:P54,MAX(D54:P54)))</f>
        <v>#DIV/0!</v>
      </c>
      <c r="R53" s="658" t="s">
        <v>709</v>
      </c>
    </row>
    <row r="54" spans="2:18" ht="12.75" customHeight="1" x14ac:dyDescent="0.2">
      <c r="B54" s="685"/>
      <c r="C54" s="383" t="s">
        <v>708</v>
      </c>
      <c r="D54" s="573">
        <f t="shared" ref="D54:P54" si="20">IF(D52&gt;0,IF(C52&gt;0,"",D41),D41)</f>
        <v>0</v>
      </c>
      <c r="E54" s="573" t="str">
        <f t="shared" si="20"/>
        <v/>
      </c>
      <c r="F54" s="573" t="str">
        <f t="shared" si="20"/>
        <v/>
      </c>
      <c r="G54" s="573" t="str">
        <f t="shared" si="20"/>
        <v/>
      </c>
      <c r="H54" s="573" t="str">
        <f t="shared" si="20"/>
        <v/>
      </c>
      <c r="I54" s="573" t="str">
        <f t="shared" si="20"/>
        <v/>
      </c>
      <c r="J54" s="573" t="str">
        <f t="shared" si="20"/>
        <v/>
      </c>
      <c r="K54" s="573" t="str">
        <f t="shared" si="20"/>
        <v/>
      </c>
      <c r="L54" s="573" t="str">
        <f t="shared" si="20"/>
        <v/>
      </c>
      <c r="M54" s="573" t="str">
        <f t="shared" si="20"/>
        <v/>
      </c>
      <c r="N54" s="573" t="str">
        <f t="shared" si="20"/>
        <v/>
      </c>
      <c r="O54" s="573" t="str">
        <f t="shared" si="20"/>
        <v/>
      </c>
      <c r="P54" s="573" t="str">
        <f t="shared" si="20"/>
        <v/>
      </c>
      <c r="Q54" s="709"/>
      <c r="R54" s="704"/>
    </row>
    <row r="55" spans="2:18" ht="12.75" customHeight="1" x14ac:dyDescent="0.2">
      <c r="B55" s="685"/>
      <c r="C55" s="701"/>
      <c r="D55" s="710"/>
      <c r="E55" s="710"/>
      <c r="F55" s="710"/>
      <c r="G55" s="710"/>
      <c r="H55" s="710"/>
      <c r="I55" s="710"/>
      <c r="J55" s="710"/>
      <c r="K55" s="710"/>
      <c r="L55" s="710"/>
      <c r="M55" s="710"/>
      <c r="N55" s="710"/>
      <c r="O55" s="710"/>
      <c r="P55" s="710"/>
      <c r="Q55" s="709"/>
      <c r="R55" s="704"/>
    </row>
    <row r="56" spans="2:18" ht="12.75" customHeight="1" x14ac:dyDescent="0.2">
      <c r="B56" s="685"/>
      <c r="C56" s="383" t="s">
        <v>533</v>
      </c>
      <c r="D56" s="574">
        <v>0.03</v>
      </c>
      <c r="E56" s="710"/>
      <c r="F56" s="710"/>
      <c r="G56" s="710"/>
      <c r="H56" s="710"/>
      <c r="I56" s="710"/>
      <c r="J56" s="710"/>
      <c r="K56" s="710"/>
      <c r="L56" s="710"/>
      <c r="M56" s="710"/>
      <c r="N56" s="710"/>
      <c r="O56" s="710"/>
      <c r="P56" s="710"/>
      <c r="Q56" s="711"/>
      <c r="R56" s="703"/>
    </row>
    <row r="57" spans="2:18" ht="12.75" customHeight="1" x14ac:dyDescent="0.2">
      <c r="B57" s="685"/>
      <c r="C57" s="383" t="s">
        <v>710</v>
      </c>
      <c r="D57" s="575">
        <f t="shared" ref="D57:P57" si="21">IF(D42="","",(1+$D$56)^-D41)</f>
        <v>1</v>
      </c>
      <c r="E57" s="575" t="str">
        <f t="shared" si="21"/>
        <v/>
      </c>
      <c r="F57" s="575" t="str">
        <f t="shared" si="21"/>
        <v/>
      </c>
      <c r="G57" s="575" t="str">
        <f t="shared" si="21"/>
        <v/>
      </c>
      <c r="H57" s="575" t="str">
        <f t="shared" si="21"/>
        <v/>
      </c>
      <c r="I57" s="575" t="str">
        <f t="shared" si="21"/>
        <v/>
      </c>
      <c r="J57" s="575" t="str">
        <f t="shared" si="21"/>
        <v/>
      </c>
      <c r="K57" s="575" t="str">
        <f t="shared" si="21"/>
        <v/>
      </c>
      <c r="L57" s="575" t="str">
        <f t="shared" si="21"/>
        <v/>
      </c>
      <c r="M57" s="575" t="str">
        <f t="shared" si="21"/>
        <v/>
      </c>
      <c r="N57" s="575" t="str">
        <f t="shared" si="21"/>
        <v/>
      </c>
      <c r="O57" s="575" t="str">
        <f t="shared" si="21"/>
        <v/>
      </c>
      <c r="P57" s="575" t="str">
        <f t="shared" si="21"/>
        <v/>
      </c>
      <c r="Q57" s="709"/>
      <c r="R57" s="703"/>
    </row>
    <row r="58" spans="2:18" ht="12.75" customHeight="1" x14ac:dyDescent="0.2">
      <c r="B58" s="685"/>
      <c r="C58" s="383" t="s">
        <v>711</v>
      </c>
      <c r="D58" s="586">
        <f>+D50*D57</f>
        <v>0</v>
      </c>
      <c r="E58" s="586" t="str">
        <f t="shared" ref="E58:P58" si="22">IF(E42="","",E50*E57)</f>
        <v/>
      </c>
      <c r="F58" s="586" t="str">
        <f t="shared" si="22"/>
        <v/>
      </c>
      <c r="G58" s="586" t="str">
        <f t="shared" si="22"/>
        <v/>
      </c>
      <c r="H58" s="586" t="str">
        <f t="shared" si="22"/>
        <v/>
      </c>
      <c r="I58" s="586" t="str">
        <f t="shared" si="22"/>
        <v/>
      </c>
      <c r="J58" s="586" t="str">
        <f t="shared" si="22"/>
        <v/>
      </c>
      <c r="K58" s="586" t="str">
        <f t="shared" si="22"/>
        <v/>
      </c>
      <c r="L58" s="586" t="str">
        <f t="shared" si="22"/>
        <v/>
      </c>
      <c r="M58" s="586" t="str">
        <f t="shared" si="22"/>
        <v/>
      </c>
      <c r="N58" s="586" t="str">
        <f t="shared" si="22"/>
        <v/>
      </c>
      <c r="O58" s="586" t="str">
        <f t="shared" si="22"/>
        <v/>
      </c>
      <c r="P58" s="586" t="str">
        <f t="shared" si="22"/>
        <v/>
      </c>
      <c r="Q58" s="712"/>
      <c r="R58" s="702"/>
    </row>
    <row r="59" spans="2:18" ht="12.75" customHeight="1" x14ac:dyDescent="0.2">
      <c r="B59" s="685"/>
      <c r="C59" s="709"/>
      <c r="D59" s="706"/>
      <c r="E59" s="706"/>
      <c r="F59" s="706"/>
      <c r="G59" s="706"/>
      <c r="H59" s="706"/>
      <c r="I59" s="706"/>
      <c r="J59" s="706"/>
      <c r="K59" s="706"/>
      <c r="L59" s="706"/>
      <c r="M59" s="706"/>
      <c r="N59" s="706"/>
      <c r="O59" s="706"/>
      <c r="P59" s="706"/>
      <c r="Q59" s="701"/>
      <c r="R59" s="703"/>
    </row>
    <row r="60" spans="2:18" ht="12.75" customHeight="1" x14ac:dyDescent="0.2">
      <c r="B60" s="685"/>
      <c r="C60" s="383" t="s">
        <v>712</v>
      </c>
      <c r="D60" s="742">
        <f>SUM(D58:P58)</f>
        <v>0</v>
      </c>
      <c r="E60" s="742"/>
      <c r="F60" s="706"/>
      <c r="G60" s="721"/>
      <c r="H60" s="721"/>
      <c r="I60" s="721"/>
      <c r="J60" s="721"/>
      <c r="K60" s="706"/>
      <c r="L60" s="706"/>
      <c r="M60" s="706"/>
      <c r="N60" s="706"/>
      <c r="O60" s="706"/>
      <c r="P60" s="706"/>
      <c r="Q60" s="709"/>
      <c r="R60" s="703"/>
    </row>
    <row r="61" spans="2:18" ht="12.75" customHeight="1" x14ac:dyDescent="0.2">
      <c r="B61" s="685"/>
      <c r="C61" s="701"/>
      <c r="D61" s="721"/>
      <c r="E61" s="721"/>
      <c r="F61" s="721"/>
      <c r="G61" s="721"/>
      <c r="H61" s="721"/>
      <c r="I61" s="721"/>
      <c r="J61" s="721"/>
      <c r="K61" s="721"/>
      <c r="L61" s="721"/>
      <c r="M61" s="721"/>
      <c r="N61" s="721"/>
      <c r="O61" s="721"/>
      <c r="P61" s="721"/>
      <c r="Q61" s="709"/>
      <c r="R61" s="703"/>
    </row>
    <row r="62" spans="2:18" ht="12.75" customHeight="1" x14ac:dyDescent="0.2">
      <c r="B62" s="685"/>
      <c r="C62" s="383" t="s">
        <v>713</v>
      </c>
      <c r="D62" s="706"/>
      <c r="E62" s="706"/>
      <c r="F62" s="706"/>
      <c r="G62" s="706"/>
      <c r="H62" s="706"/>
      <c r="I62" s="706"/>
      <c r="J62" s="706"/>
      <c r="K62" s="706"/>
      <c r="L62" s="706"/>
      <c r="M62" s="706"/>
      <c r="N62" s="706"/>
      <c r="O62" s="706"/>
      <c r="P62" s="706"/>
      <c r="Q62" s="709"/>
      <c r="R62" s="703"/>
    </row>
    <row r="63" spans="2:18" ht="12.75" customHeight="1" x14ac:dyDescent="0.2">
      <c r="B63" s="685"/>
      <c r="C63" s="383" t="s">
        <v>714</v>
      </c>
      <c r="D63" s="742">
        <f>Q48/COUNTIF(D48:P48,"&lt;&gt;0")</f>
        <v>0</v>
      </c>
      <c r="E63" s="742"/>
      <c r="F63" s="706"/>
      <c r="G63" s="706"/>
      <c r="H63" s="706"/>
      <c r="I63" s="706"/>
      <c r="J63" s="706"/>
      <c r="K63" s="706"/>
      <c r="L63" s="706"/>
      <c r="M63" s="706"/>
      <c r="N63" s="706"/>
      <c r="O63" s="706"/>
      <c r="P63" s="706"/>
      <c r="Q63" s="709"/>
      <c r="R63" s="703"/>
    </row>
    <row r="64" spans="2:18" ht="12.75" customHeight="1" x14ac:dyDescent="0.2">
      <c r="B64" s="685"/>
      <c r="C64" s="383" t="s">
        <v>715</v>
      </c>
      <c r="D64" s="742">
        <f>Q48</f>
        <v>0</v>
      </c>
      <c r="E64" s="742"/>
      <c r="F64" s="706"/>
      <c r="G64" s="706"/>
      <c r="H64" s="706"/>
      <c r="I64" s="706"/>
      <c r="J64" s="706"/>
      <c r="K64" s="706"/>
      <c r="L64" s="706"/>
      <c r="M64" s="706"/>
      <c r="N64" s="706"/>
      <c r="O64" s="706"/>
      <c r="P64" s="706"/>
      <c r="Q64" s="709"/>
      <c r="R64" s="703"/>
    </row>
    <row r="65" spans="2:18" ht="12.75" customHeight="1" x14ac:dyDescent="0.2">
      <c r="B65" s="685"/>
      <c r="C65" s="705"/>
      <c r="D65" s="716"/>
      <c r="E65" s="716"/>
      <c r="F65" s="716"/>
      <c r="G65" s="716"/>
      <c r="H65" s="716"/>
      <c r="I65" s="716"/>
      <c r="J65" s="716"/>
      <c r="K65" s="716"/>
      <c r="L65" s="716"/>
      <c r="M65" s="716"/>
      <c r="N65" s="716"/>
      <c r="O65" s="716"/>
      <c r="P65" s="716"/>
      <c r="Q65" s="709"/>
      <c r="R65" s="703"/>
    </row>
    <row r="66" spans="2:18" ht="12.75" customHeight="1" x14ac:dyDescent="0.2">
      <c r="B66" s="722"/>
      <c r="C66" s="383" t="s">
        <v>716</v>
      </c>
      <c r="D66" s="741">
        <f>IFERROR(IRR(D50:P50),0)</f>
        <v>0</v>
      </c>
      <c r="E66" s="741"/>
      <c r="F66" s="576" t="s">
        <v>717</v>
      </c>
      <c r="G66" s="723"/>
      <c r="H66" s="723"/>
      <c r="I66" s="723"/>
      <c r="J66" s="723"/>
      <c r="K66" s="723"/>
      <c r="L66" s="723"/>
      <c r="M66" s="723"/>
      <c r="N66" s="723"/>
      <c r="O66" s="723"/>
      <c r="P66" s="723"/>
      <c r="Q66" s="724"/>
      <c r="R66" s="559"/>
    </row>
    <row r="67" spans="2:18" ht="12.75" customHeight="1" x14ac:dyDescent="0.2">
      <c r="D67" s="552"/>
      <c r="E67" s="552"/>
      <c r="F67" s="553"/>
    </row>
    <row r="68" spans="2:18" ht="12.75" customHeight="1" x14ac:dyDescent="0.2">
      <c r="B68" s="732" t="str">
        <f>+Help!B134</f>
        <v>IF-334 (27/05/2025)</v>
      </c>
    </row>
    <row r="69" spans="2:18" ht="12.75" customHeight="1" x14ac:dyDescent="0.2">
      <c r="G69" s="554"/>
    </row>
    <row r="70" spans="2:18" ht="12.75" customHeight="1" x14ac:dyDescent="0.2">
      <c r="G70" s="554"/>
    </row>
    <row r="71" spans="2:18" ht="12.75" customHeight="1" x14ac:dyDescent="0.2">
      <c r="G71" s="554"/>
    </row>
    <row r="72" spans="2:18" ht="12.75" customHeight="1" x14ac:dyDescent="0.2">
      <c r="G72" s="554"/>
    </row>
    <row r="73" spans="2:18" ht="12.75" customHeight="1" x14ac:dyDescent="0.2">
      <c r="G73" s="554"/>
    </row>
    <row r="74" spans="2:18" ht="12.75" customHeight="1" x14ac:dyDescent="0.2">
      <c r="G74" s="554"/>
    </row>
    <row r="75" spans="2:18" ht="12.75" customHeight="1" x14ac:dyDescent="0.2">
      <c r="G75" s="554"/>
    </row>
    <row r="76" spans="2:18" ht="12.75" customHeight="1" x14ac:dyDescent="0.2">
      <c r="G76" s="554"/>
    </row>
    <row r="77" spans="2:18" ht="12.75" customHeight="1" x14ac:dyDescent="0.2">
      <c r="G77" s="554"/>
    </row>
    <row r="78" spans="2:18" ht="12.75" customHeight="1" x14ac:dyDescent="0.2">
      <c r="G78" s="554"/>
    </row>
    <row r="79" spans="2:18" ht="12.75" customHeight="1" x14ac:dyDescent="0.2">
      <c r="G79" s="554"/>
    </row>
    <row r="80" spans="2:18" ht="12.75" customHeight="1" x14ac:dyDescent="0.2">
      <c r="G80" s="554"/>
    </row>
    <row r="81" spans="4:7" ht="12.75" customHeight="1" x14ac:dyDescent="0.2">
      <c r="G81" s="554"/>
    </row>
    <row r="82" spans="4:7" ht="12.75" customHeight="1" x14ac:dyDescent="0.2">
      <c r="G82" s="554"/>
    </row>
    <row r="83" spans="4:7" ht="12.75" customHeight="1" x14ac:dyDescent="0.2">
      <c r="G83" s="554"/>
    </row>
    <row r="84" spans="4:7" ht="12.75" customHeight="1" x14ac:dyDescent="0.2">
      <c r="G84" s="554"/>
    </row>
    <row r="85" spans="4:7" ht="12.75" customHeight="1" x14ac:dyDescent="0.2">
      <c r="G85" s="554"/>
    </row>
    <row r="86" spans="4:7" ht="12.75" customHeight="1" x14ac:dyDescent="0.2">
      <c r="G86" s="554"/>
    </row>
    <row r="87" spans="4:7" ht="12.75" customHeight="1" x14ac:dyDescent="0.2">
      <c r="G87" s="554"/>
    </row>
    <row r="88" spans="4:7" ht="12.75" customHeight="1" x14ac:dyDescent="0.2">
      <c r="G88" s="554"/>
    </row>
    <row r="89" spans="4:7" ht="12.75" customHeight="1" x14ac:dyDescent="0.2">
      <c r="G89" s="554"/>
    </row>
    <row r="90" spans="4:7" ht="12.75" customHeight="1" x14ac:dyDescent="0.2">
      <c r="G90" s="554"/>
    </row>
    <row r="91" spans="4:7" ht="12.75" customHeight="1" x14ac:dyDescent="0.2">
      <c r="G91" s="554"/>
    </row>
    <row r="92" spans="4:7" ht="12.75" customHeight="1" x14ac:dyDescent="0.2">
      <c r="G92" s="554"/>
    </row>
    <row r="93" spans="4:7" ht="12.75" customHeight="1" x14ac:dyDescent="0.2">
      <c r="G93" s="554"/>
    </row>
    <row r="94" spans="4:7" ht="12.75" customHeight="1" x14ac:dyDescent="0.2">
      <c r="G94" s="554"/>
    </row>
    <row r="95" spans="4:7" ht="12.75" customHeight="1" x14ac:dyDescent="0.2">
      <c r="D95" s="674"/>
      <c r="E95" s="674"/>
      <c r="F95" s="675"/>
      <c r="G95" s="554"/>
    </row>
    <row r="96" spans="4:7" ht="12.75" customHeight="1" x14ac:dyDescent="0.2">
      <c r="D96" s="674"/>
      <c r="E96" s="674"/>
      <c r="F96" s="675"/>
      <c r="G96" s="554"/>
    </row>
  </sheetData>
  <mergeCells count="8">
    <mergeCell ref="D32:E32"/>
    <mergeCell ref="D35:E35"/>
    <mergeCell ref="D36:E36"/>
    <mergeCell ref="D38:E38"/>
    <mergeCell ref="D66:E66"/>
    <mergeCell ref="D60:E60"/>
    <mergeCell ref="D63:E63"/>
    <mergeCell ref="D64:E64"/>
  </mergeCells>
  <conditionalFormatting sqref="D32:E32">
    <cfRule type="cellIs" dxfId="20" priority="62" operator="lessThanOrEqual">
      <formula>0</formula>
    </cfRule>
    <cfRule type="cellIs" dxfId="19" priority="63" operator="greaterThan">
      <formula>0</formula>
    </cfRule>
  </conditionalFormatting>
  <conditionalFormatting sqref="D38:E38">
    <cfRule type="cellIs" dxfId="18" priority="60" operator="greaterThan">
      <formula>#REF!</formula>
    </cfRule>
    <cfRule type="cellIs" dxfId="17" priority="61" operator="lessThanOrEqual">
      <formula>#REF!</formula>
    </cfRule>
  </conditionalFormatting>
  <conditionalFormatting sqref="D60:E60">
    <cfRule type="cellIs" dxfId="16" priority="8" operator="lessThanOrEqual">
      <formula>0</formula>
    </cfRule>
    <cfRule type="cellIs" dxfId="15" priority="9" operator="greaterThan">
      <formula>0</formula>
    </cfRule>
  </conditionalFormatting>
  <conditionalFormatting sqref="D66:E66">
    <cfRule type="cellIs" dxfId="14" priority="6" operator="greaterThan">
      <formula>#REF!</formula>
    </cfRule>
    <cfRule type="cellIs" dxfId="13" priority="7" operator="lessThanOrEqual">
      <formula>#REF!</formula>
    </cfRule>
  </conditionalFormatting>
  <conditionalFormatting sqref="D22:P24 C23">
    <cfRule type="cellIs" dxfId="12" priority="59" operator="greaterThan">
      <formula>0</formula>
    </cfRule>
    <cfRule type="cellIs" dxfId="11" priority="64" operator="lessThan">
      <formula>0</formula>
    </cfRule>
  </conditionalFormatting>
  <conditionalFormatting sqref="D25:P26">
    <cfRule type="cellIs" dxfId="10" priority="52" operator="equal">
      <formula>"ok"</formula>
    </cfRule>
  </conditionalFormatting>
  <conditionalFormatting sqref="D26:P26">
    <cfRule type="colorScale" priority="103">
      <colorScale>
        <cfvo type="min"/>
        <cfvo type="num" val="MAX($D$26:$P$26)-1"/>
        <cfvo type="max"/>
        <color rgb="FFF8696B"/>
        <color rgb="FFFFEB84"/>
        <color rgb="FF63BE7B"/>
      </colorScale>
    </cfRule>
    <cfRule type="containsText" dxfId="9" priority="104" operator="containsText" text="x">
      <formula>NOT(ISERROR(SEARCH("x",D26)))</formula>
    </cfRule>
  </conditionalFormatting>
  <conditionalFormatting sqref="D30:P30">
    <cfRule type="cellIs" dxfId="8" priority="65" operator="lessThan">
      <formula>0</formula>
    </cfRule>
    <cfRule type="cellIs" dxfId="7" priority="66" operator="greaterThan">
      <formula>0</formula>
    </cfRule>
  </conditionalFormatting>
  <conditionalFormatting sqref="D50:P52 C51">
    <cfRule type="cellIs" dxfId="6" priority="5" operator="greaterThan">
      <formula>0</formula>
    </cfRule>
    <cfRule type="cellIs" dxfId="5" priority="10" operator="lessThan">
      <formula>0</formula>
    </cfRule>
  </conditionalFormatting>
  <conditionalFormatting sqref="D53:P54">
    <cfRule type="cellIs" dxfId="4" priority="1" operator="equal">
      <formula>"ok"</formula>
    </cfRule>
  </conditionalFormatting>
  <conditionalFormatting sqref="D54:P54">
    <cfRule type="colorScale" priority="13">
      <colorScale>
        <cfvo type="min"/>
        <cfvo type="num" val="MAX($D$26:$P$26)-1"/>
        <cfvo type="max"/>
        <color rgb="FFF8696B"/>
        <color rgb="FFFFEB84"/>
        <color rgb="FF63BE7B"/>
      </colorScale>
    </cfRule>
    <cfRule type="containsText" dxfId="3" priority="14" operator="containsText" text="x">
      <formula>NOT(ISERROR(SEARCH("x",D54)))</formula>
    </cfRule>
  </conditionalFormatting>
  <conditionalFormatting sqref="D58:P58">
    <cfRule type="cellIs" dxfId="2" priority="11" operator="lessThan">
      <formula>0</formula>
    </cfRule>
    <cfRule type="cellIs" dxfId="1" priority="12" operator="greaterThan">
      <formula>0</formula>
    </cfRule>
  </conditionalFormatting>
  <pageMargins left="0.70866141732283472" right="0.70866141732283472" top="0.74803149606299213" bottom="0.74803149606299213" header="0.31496062992125984" footer="0.31496062992125984"/>
  <pageSetup paperSize="9" scale="56" fitToHeight="0" orientation="landscape" verticalDpi="598" r:id="rId1"/>
  <headerFooter>
    <oddFooter>Página &amp;P de &amp;F</oddFooter>
  </headerFooter>
  <ignoredErrors>
    <ignoredError sqref="P7" 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5" tint="0.79998168889431442"/>
    <pageSetUpPr fitToPage="1"/>
  </sheetPr>
  <dimension ref="B2:P29"/>
  <sheetViews>
    <sheetView showGridLines="0" showZeros="0" topLeftCell="A3" zoomScale="115" zoomScaleNormal="115" workbookViewId="0">
      <selection activeCell="J13" sqref="J13"/>
    </sheetView>
  </sheetViews>
  <sheetFormatPr baseColWidth="10" defaultColWidth="11.42578125" defaultRowHeight="12.75" x14ac:dyDescent="0.2"/>
  <cols>
    <col min="1" max="1" width="2.5703125" customWidth="1"/>
    <col min="2" max="2" width="49.7109375" style="18" bestFit="1" customWidth="1"/>
    <col min="3" max="3" width="11" style="18" bestFit="1" customWidth="1"/>
    <col min="4" max="4" width="10.5703125" style="18" customWidth="1"/>
    <col min="5" max="5" width="10.85546875" style="18" customWidth="1"/>
    <col min="6" max="6" width="12.7109375" style="18" customWidth="1"/>
    <col min="7" max="7" width="11.5703125" style="18" customWidth="1"/>
    <col min="8" max="8" width="12.42578125" style="18" customWidth="1"/>
    <col min="9" max="10" width="11.28515625" style="18" customWidth="1"/>
    <col min="11" max="11" width="10.85546875" style="19" customWidth="1"/>
    <col min="12" max="12" width="13" style="19" customWidth="1"/>
    <col min="13" max="13" width="12.140625" style="19" customWidth="1"/>
    <col min="14" max="14" width="12" style="19" customWidth="1"/>
    <col min="15" max="15" width="12.28515625" customWidth="1"/>
  </cols>
  <sheetData>
    <row r="2" spans="2:15" x14ac:dyDescent="0.2">
      <c r="B2" s="207" t="s">
        <v>720</v>
      </c>
      <c r="C2" s="206" t="s">
        <v>721</v>
      </c>
      <c r="D2" s="211"/>
      <c r="E2" s="211"/>
      <c r="F2" s="211"/>
      <c r="G2" s="211"/>
      <c r="H2" s="211"/>
      <c r="I2" s="211"/>
      <c r="J2" s="211"/>
    </row>
    <row r="3" spans="2:15" x14ac:dyDescent="0.2">
      <c r="B3" s="207" t="s">
        <v>722</v>
      </c>
      <c r="C3" s="209" t="s">
        <v>723</v>
      </c>
      <c r="D3" s="212"/>
      <c r="E3" s="212"/>
      <c r="F3" s="212"/>
      <c r="G3" s="212"/>
      <c r="H3" s="212"/>
      <c r="I3" s="212"/>
      <c r="J3" s="212"/>
    </row>
    <row r="4" spans="2:15" ht="32.25" customHeight="1" x14ac:dyDescent="0.2">
      <c r="B4" s="208" t="s">
        <v>724</v>
      </c>
      <c r="C4" s="205"/>
      <c r="D4" s="205"/>
      <c r="E4" s="205"/>
      <c r="F4" s="205"/>
      <c r="G4" s="205"/>
      <c r="H4" s="205"/>
      <c r="I4" s="205"/>
      <c r="J4" s="205"/>
      <c r="K4" s="205"/>
      <c r="L4" s="205"/>
      <c r="M4" s="205"/>
      <c r="N4" s="205"/>
      <c r="O4" s="205"/>
    </row>
    <row r="5" spans="2:15" ht="21.75" customHeight="1" x14ac:dyDescent="0.2">
      <c r="B5" s="224" t="str">
        <f>+CONCATENATE("Base de datos según datos de ",C3)</f>
        <v>Base de datos según datos de May 25</v>
      </c>
    </row>
    <row r="6" spans="2:15" s="20" customFormat="1" ht="21" customHeight="1" x14ac:dyDescent="0.2">
      <c r="B6" s="201" t="s">
        <v>725</v>
      </c>
      <c r="C6" s="204" t="s">
        <v>726</v>
      </c>
      <c r="D6" s="213" t="str">
        <f>'LISTAS DATOS'!A3</f>
        <v>FAE</v>
      </c>
      <c r="E6" s="213"/>
      <c r="F6" s="213"/>
      <c r="G6" s="213"/>
      <c r="H6" s="213"/>
      <c r="I6" s="213"/>
      <c r="J6" s="213"/>
      <c r="K6" s="213"/>
      <c r="L6" s="203"/>
      <c r="M6" s="201" t="s">
        <v>727</v>
      </c>
      <c r="N6" s="201"/>
      <c r="O6" s="201"/>
    </row>
    <row r="7" spans="2:15" s="20" customFormat="1" ht="21" customHeight="1" x14ac:dyDescent="0.2">
      <c r="B7" s="202"/>
      <c r="C7" s="36"/>
      <c r="D7" s="37" t="s">
        <v>728</v>
      </c>
      <c r="E7" s="37" t="s">
        <v>729</v>
      </c>
      <c r="F7" s="37" t="s">
        <v>730</v>
      </c>
      <c r="G7" s="37" t="s">
        <v>731</v>
      </c>
      <c r="H7" s="37" t="s">
        <v>449</v>
      </c>
      <c r="I7" s="37" t="s">
        <v>732</v>
      </c>
      <c r="J7" s="37" t="s">
        <v>450</v>
      </c>
      <c r="K7" s="37" t="s">
        <v>733</v>
      </c>
      <c r="L7" s="38" t="s">
        <v>734</v>
      </c>
      <c r="M7" s="200" t="s">
        <v>735</v>
      </c>
      <c r="N7" s="200" t="s">
        <v>736</v>
      </c>
      <c r="O7" s="200" t="s">
        <v>448</v>
      </c>
    </row>
    <row r="8" spans="2:15" ht="18" customHeight="1" x14ac:dyDescent="0.2">
      <c r="B8" s="25" t="s">
        <v>737</v>
      </c>
      <c r="C8" s="216" t="s">
        <v>632</v>
      </c>
      <c r="D8" s="736">
        <v>0.05</v>
      </c>
      <c r="E8" s="736">
        <v>0.05</v>
      </c>
      <c r="F8" s="736">
        <v>0.05</v>
      </c>
      <c r="G8" s="736">
        <v>0.05</v>
      </c>
      <c r="H8" s="736">
        <v>0.05</v>
      </c>
      <c r="I8" s="736">
        <v>0.05</v>
      </c>
      <c r="J8" s="736">
        <v>0.05</v>
      </c>
      <c r="K8" s="736">
        <v>0.05</v>
      </c>
      <c r="L8" s="736">
        <v>0.05</v>
      </c>
      <c r="M8" s="737">
        <v>0.04</v>
      </c>
      <c r="N8" s="737">
        <v>0.04</v>
      </c>
      <c r="O8" s="737">
        <v>0.04</v>
      </c>
    </row>
    <row r="9" spans="2:15" ht="18" customHeight="1" x14ac:dyDescent="0.2">
      <c r="B9" s="25" t="s">
        <v>738</v>
      </c>
      <c r="C9" s="216" t="s">
        <v>602</v>
      </c>
      <c r="D9" s="738">
        <v>23.68</v>
      </c>
      <c r="E9" s="738">
        <v>23.68</v>
      </c>
      <c r="F9" s="738">
        <v>23.68</v>
      </c>
      <c r="G9" s="738">
        <v>23.68</v>
      </c>
      <c r="H9" s="738">
        <v>23.68</v>
      </c>
      <c r="I9" s="738">
        <v>23.68</v>
      </c>
      <c r="J9" s="738">
        <v>23.68</v>
      </c>
      <c r="K9" s="738">
        <v>23.68</v>
      </c>
      <c r="L9" s="738">
        <v>23.68</v>
      </c>
      <c r="M9" s="739">
        <v>18.86</v>
      </c>
      <c r="N9" s="739">
        <v>18.86</v>
      </c>
      <c r="O9" s="739">
        <v>18.86</v>
      </c>
    </row>
    <row r="10" spans="2:15" s="20" customFormat="1" ht="18" customHeight="1" x14ac:dyDescent="0.2">
      <c r="B10" s="25" t="s">
        <v>739</v>
      </c>
      <c r="C10" s="216" t="s">
        <v>632</v>
      </c>
      <c r="D10" s="736">
        <v>0.99429999999999996</v>
      </c>
      <c r="E10" s="736">
        <v>0.99429999999999996</v>
      </c>
      <c r="F10" s="736">
        <v>0.99429999999999996</v>
      </c>
      <c r="G10" s="736">
        <v>0.99429999999999996</v>
      </c>
      <c r="H10" s="736">
        <v>0.99429999999999996</v>
      </c>
      <c r="I10" s="736">
        <v>0.99429999999999996</v>
      </c>
      <c r="J10" s="736">
        <v>0.99429999999999996</v>
      </c>
      <c r="K10" s="736">
        <v>0.99429999999999996</v>
      </c>
      <c r="L10" s="736">
        <v>0.99429999999999996</v>
      </c>
      <c r="M10" s="737">
        <v>0.40150000000000002</v>
      </c>
      <c r="N10" s="737">
        <v>0.37080000000000002</v>
      </c>
      <c r="O10" s="737">
        <v>0.52010000000000001</v>
      </c>
    </row>
    <row r="11" spans="2:15" ht="18" customHeight="1" x14ac:dyDescent="0.2">
      <c r="B11" s="25" t="s">
        <v>740</v>
      </c>
      <c r="C11" s="216" t="s">
        <v>632</v>
      </c>
      <c r="D11" s="736">
        <v>0.94989999999999997</v>
      </c>
      <c r="E11" s="736">
        <v>0.94989999999999997</v>
      </c>
      <c r="F11" s="736">
        <v>0.94989999999999997</v>
      </c>
      <c r="G11" s="736">
        <v>0.94989999999999997</v>
      </c>
      <c r="H11" s="736">
        <v>0.94989999999999997</v>
      </c>
      <c r="I11" s="736">
        <v>0.94989999999999997</v>
      </c>
      <c r="J11" s="736">
        <v>0.94989999999999997</v>
      </c>
      <c r="K11" s="736">
        <v>0.94989999999999997</v>
      </c>
      <c r="L11" s="736">
        <v>0.94989999999999997</v>
      </c>
      <c r="M11" s="737">
        <v>0.37359999999999999</v>
      </c>
      <c r="N11" s="737">
        <v>0.40749999999999997</v>
      </c>
      <c r="O11" s="737">
        <v>0.54559999999999997</v>
      </c>
    </row>
    <row r="12" spans="2:15" x14ac:dyDescent="0.2">
      <c r="B12" s="24"/>
      <c r="C12" s="214"/>
      <c r="D12" s="24"/>
      <c r="E12" s="24"/>
      <c r="F12" s="24"/>
      <c r="G12" s="24"/>
      <c r="H12" s="24"/>
      <c r="I12" s="24"/>
      <c r="J12" s="24"/>
      <c r="K12" s="24"/>
      <c r="L12" s="24"/>
      <c r="M12" s="24"/>
      <c r="N12" s="24"/>
      <c r="O12" s="21"/>
    </row>
    <row r="13" spans="2:15" s="20" customFormat="1" ht="26.25" customHeight="1" x14ac:dyDescent="0.2">
      <c r="B13" s="35" t="s">
        <v>741</v>
      </c>
      <c r="C13" s="27">
        <v>0.03</v>
      </c>
      <c r="D13" s="18"/>
      <c r="E13" s="18"/>
      <c r="F13" s="18"/>
      <c r="G13" s="18"/>
      <c r="H13" s="18"/>
      <c r="I13" s="18"/>
      <c r="J13" s="18"/>
      <c r="L13" s="24"/>
      <c r="M13" s="24"/>
      <c r="N13" s="24"/>
    </row>
    <row r="14" spans="2:15" ht="24.75" customHeight="1" x14ac:dyDescent="0.2">
      <c r="B14" s="35" t="s">
        <v>742</v>
      </c>
      <c r="C14" s="28">
        <v>2025</v>
      </c>
      <c r="L14" s="24"/>
      <c r="M14" s="24"/>
      <c r="N14" s="24"/>
    </row>
    <row r="15" spans="2:15" x14ac:dyDescent="0.2">
      <c r="B15" s="210"/>
      <c r="C15" s="215"/>
    </row>
    <row r="16" spans="2:15" ht="21.75" customHeight="1" x14ac:dyDescent="0.2">
      <c r="B16" s="224" t="str">
        <f>+CONCATENATE("Datos calculado para el año ",'0. Change Control'!G6)</f>
        <v xml:space="preserve">Datos calculado para el año </v>
      </c>
      <c r="C16" s="215"/>
      <c r="D16" s="223" t="s">
        <v>743</v>
      </c>
    </row>
    <row r="17" spans="2:16" s="20" customFormat="1" ht="21" customHeight="1" x14ac:dyDescent="0.2">
      <c r="B17" s="201" t="s">
        <v>725</v>
      </c>
      <c r="C17" s="204" t="s">
        <v>726</v>
      </c>
      <c r="D17" s="213" t="str">
        <f>+D6</f>
        <v>FAE</v>
      </c>
      <c r="E17" s="213"/>
      <c r="F17" s="213"/>
      <c r="G17" s="213"/>
      <c r="H17" s="213"/>
      <c r="I17" s="213"/>
      <c r="J17" s="213"/>
      <c r="K17" s="213"/>
      <c r="L17" s="203"/>
      <c r="M17" s="201" t="str">
        <f>+M6</f>
        <v>FAE CERVERA</v>
      </c>
      <c r="N17" s="201"/>
      <c r="O17" s="201"/>
    </row>
    <row r="18" spans="2:16" s="20" customFormat="1" ht="21" customHeight="1" x14ac:dyDescent="0.2">
      <c r="B18" s="202"/>
      <c r="C18" s="36"/>
      <c r="D18" s="37" t="s">
        <v>728</v>
      </c>
      <c r="E18" s="37" t="s">
        <v>729</v>
      </c>
      <c r="F18" s="37" t="s">
        <v>730</v>
      </c>
      <c r="G18" s="37" t="s">
        <v>731</v>
      </c>
      <c r="H18" s="37" t="s">
        <v>449</v>
      </c>
      <c r="I18" s="37" t="s">
        <v>732</v>
      </c>
      <c r="J18" s="37" t="s">
        <v>450</v>
      </c>
      <c r="K18" s="37" t="s">
        <v>733</v>
      </c>
      <c r="L18" s="38" t="s">
        <v>734</v>
      </c>
      <c r="M18" s="200" t="s">
        <v>735</v>
      </c>
      <c r="N18" s="200" t="s">
        <v>736</v>
      </c>
      <c r="O18" s="200" t="s">
        <v>448</v>
      </c>
    </row>
    <row r="19" spans="2:16" ht="18" customHeight="1" x14ac:dyDescent="0.2">
      <c r="B19" s="25" t="str">
        <f>B8</f>
        <v>Margen / Beneficio</v>
      </c>
      <c r="C19" s="216" t="s">
        <v>632</v>
      </c>
      <c r="D19" s="362">
        <f>+D8</f>
        <v>0.05</v>
      </c>
      <c r="E19" s="362">
        <f t="shared" ref="E19:O19" si="0">+E8</f>
        <v>0.05</v>
      </c>
      <c r="F19" s="362">
        <f t="shared" si="0"/>
        <v>0.05</v>
      </c>
      <c r="G19" s="362">
        <f t="shared" si="0"/>
        <v>0.05</v>
      </c>
      <c r="H19" s="362">
        <f t="shared" si="0"/>
        <v>0.05</v>
      </c>
      <c r="I19" s="362">
        <f t="shared" si="0"/>
        <v>0.05</v>
      </c>
      <c r="J19" s="362">
        <f t="shared" si="0"/>
        <v>0.05</v>
      </c>
      <c r="K19" s="362">
        <f t="shared" si="0"/>
        <v>0.05</v>
      </c>
      <c r="L19" s="362">
        <f t="shared" si="0"/>
        <v>0.05</v>
      </c>
      <c r="M19" s="362">
        <f t="shared" si="0"/>
        <v>0.04</v>
      </c>
      <c r="N19" s="362">
        <f t="shared" si="0"/>
        <v>0.04</v>
      </c>
      <c r="O19" s="362">
        <f t="shared" si="0"/>
        <v>0.04</v>
      </c>
    </row>
    <row r="20" spans="2:16" ht="18" customHeight="1" x14ac:dyDescent="0.2">
      <c r="B20" s="25" t="str">
        <f>B9</f>
        <v>MOD (Mano de Obra Directa)</v>
      </c>
      <c r="C20" s="216" t="s">
        <v>602</v>
      </c>
      <c r="D20" s="363">
        <f>(1+('0. Change Control'!$G$6-'MOD+MOI+Overheads'!$C$14)*'MOD+MOI+Overheads'!$C$13)*'MOD+MOI+Overheads'!D9</f>
        <v>-1414.8799999999999</v>
      </c>
      <c r="E20" s="363">
        <f>(1+('0. Change Control'!$G$6-'MOD+MOI+Overheads'!$C$14)*'MOD+MOI+Overheads'!$C$13)*'MOD+MOI+Overheads'!E9</f>
        <v>-1414.8799999999999</v>
      </c>
      <c r="F20" s="363">
        <f>(1+('0. Change Control'!$G$6-'MOD+MOI+Overheads'!$C$14)*'MOD+MOI+Overheads'!$C$13)*'MOD+MOI+Overheads'!F9</f>
        <v>-1414.8799999999999</v>
      </c>
      <c r="G20" s="363">
        <f>(1+('0. Change Control'!$G$6-'MOD+MOI+Overheads'!$C$14)*'MOD+MOI+Overheads'!$C$13)*'MOD+MOI+Overheads'!G9</f>
        <v>-1414.8799999999999</v>
      </c>
      <c r="H20" s="363">
        <f>(1+('0. Change Control'!$G$6-'MOD+MOI+Overheads'!$C$14)*'MOD+MOI+Overheads'!$C$13)*'MOD+MOI+Overheads'!H9</f>
        <v>-1414.8799999999999</v>
      </c>
      <c r="I20" s="363">
        <f>(1+('0. Change Control'!$G$6-'MOD+MOI+Overheads'!$C$14)*'MOD+MOI+Overheads'!$C$13)*'MOD+MOI+Overheads'!I9</f>
        <v>-1414.8799999999999</v>
      </c>
      <c r="J20" s="363">
        <f>(1+('0. Change Control'!$G$6-'MOD+MOI+Overheads'!$C$14)*'MOD+MOI+Overheads'!$C$13)*'MOD+MOI+Overheads'!J9</f>
        <v>-1414.8799999999999</v>
      </c>
      <c r="K20" s="363">
        <f>(1+('0. Change Control'!$G$6-'MOD+MOI+Overheads'!$C$14)*'MOD+MOI+Overheads'!$C$13)*'MOD+MOI+Overheads'!K9</f>
        <v>-1414.8799999999999</v>
      </c>
      <c r="L20" s="363">
        <f>(1+('0. Change Control'!$G$6-'MOD+MOI+Overheads'!$C$14)*'MOD+MOI+Overheads'!$C$13)*'MOD+MOI+Overheads'!L9</f>
        <v>-1414.8799999999999</v>
      </c>
      <c r="M20" s="363">
        <f>(1+('0. Change Control'!$G$6-'MOD+MOI+Overheads'!$C$14)*'MOD+MOI+Overheads'!$C$13)*'MOD+MOI+Overheads'!M9</f>
        <v>-1126.885</v>
      </c>
      <c r="N20" s="363">
        <f>(1+('0. Change Control'!$G$6-'MOD+MOI+Overheads'!$C$14)*'MOD+MOI+Overheads'!$C$13)*'MOD+MOI+Overheads'!N9</f>
        <v>-1126.885</v>
      </c>
      <c r="O20" s="363">
        <f>(1+('0. Change Control'!$G$6-'MOD+MOI+Overheads'!$C$14)*'MOD+MOI+Overheads'!$C$13)*'MOD+MOI+Overheads'!O9</f>
        <v>-1126.885</v>
      </c>
      <c r="P20" s="21"/>
    </row>
    <row r="21" spans="2:16" s="20" customFormat="1" ht="18" customHeight="1" x14ac:dyDescent="0.2">
      <c r="B21" s="25" t="str">
        <f>B10</f>
        <v>MOI (Mano de Obra Indirecta) sobre MOD</v>
      </c>
      <c r="C21" s="216" t="s">
        <v>632</v>
      </c>
      <c r="D21" s="362">
        <f>+D10</f>
        <v>0.99429999999999996</v>
      </c>
      <c r="E21" s="362">
        <f t="shared" ref="E21:O22" si="1">+E10</f>
        <v>0.99429999999999996</v>
      </c>
      <c r="F21" s="362">
        <f t="shared" si="1"/>
        <v>0.99429999999999996</v>
      </c>
      <c r="G21" s="362">
        <f t="shared" si="1"/>
        <v>0.99429999999999996</v>
      </c>
      <c r="H21" s="362">
        <f t="shared" si="1"/>
        <v>0.99429999999999996</v>
      </c>
      <c r="I21" s="362">
        <f t="shared" si="1"/>
        <v>0.99429999999999996</v>
      </c>
      <c r="J21" s="362">
        <f t="shared" si="1"/>
        <v>0.99429999999999996</v>
      </c>
      <c r="K21" s="362">
        <f t="shared" si="1"/>
        <v>0.99429999999999996</v>
      </c>
      <c r="L21" s="362">
        <f t="shared" si="1"/>
        <v>0.99429999999999996</v>
      </c>
      <c r="M21" s="362">
        <f t="shared" si="1"/>
        <v>0.40150000000000002</v>
      </c>
      <c r="N21" s="362">
        <f t="shared" si="1"/>
        <v>0.37080000000000002</v>
      </c>
      <c r="O21" s="362">
        <f t="shared" si="1"/>
        <v>0.52010000000000001</v>
      </c>
    </row>
    <row r="22" spans="2:16" ht="18" customHeight="1" x14ac:dyDescent="0.2">
      <c r="B22" s="25" t="str">
        <f>B11</f>
        <v>Overheads sobre MOD</v>
      </c>
      <c r="C22" s="216" t="s">
        <v>632</v>
      </c>
      <c r="D22" s="362">
        <f>+D11</f>
        <v>0.94989999999999997</v>
      </c>
      <c r="E22" s="362">
        <f t="shared" si="1"/>
        <v>0.94989999999999997</v>
      </c>
      <c r="F22" s="362">
        <f t="shared" si="1"/>
        <v>0.94989999999999997</v>
      </c>
      <c r="G22" s="362">
        <f t="shared" si="1"/>
        <v>0.94989999999999997</v>
      </c>
      <c r="H22" s="362">
        <f t="shared" si="1"/>
        <v>0.94989999999999997</v>
      </c>
      <c r="I22" s="362">
        <f t="shared" si="1"/>
        <v>0.94989999999999997</v>
      </c>
      <c r="J22" s="362">
        <f t="shared" si="1"/>
        <v>0.94989999999999997</v>
      </c>
      <c r="K22" s="362">
        <f t="shared" si="1"/>
        <v>0.94989999999999997</v>
      </c>
      <c r="L22" s="362">
        <f t="shared" si="1"/>
        <v>0.94989999999999997</v>
      </c>
      <c r="M22" s="362">
        <f t="shared" si="1"/>
        <v>0.37359999999999999</v>
      </c>
      <c r="N22" s="362">
        <f t="shared" si="1"/>
        <v>0.40749999999999997</v>
      </c>
      <c r="O22" s="362">
        <f t="shared" si="1"/>
        <v>0.54559999999999997</v>
      </c>
    </row>
    <row r="23" spans="2:16" s="20" customFormat="1" x14ac:dyDescent="0.2">
      <c r="B23" s="24"/>
      <c r="C23" s="24"/>
      <c r="D23" s="24"/>
      <c r="E23" s="24"/>
      <c r="F23" s="24"/>
      <c r="G23" s="24"/>
      <c r="H23" s="24"/>
      <c r="I23" s="24"/>
      <c r="J23" s="24"/>
      <c r="K23" s="24"/>
      <c r="L23" s="24"/>
      <c r="M23" s="24"/>
      <c r="N23" s="24"/>
      <c r="O23" s="21"/>
    </row>
    <row r="24" spans="2:16" x14ac:dyDescent="0.2">
      <c r="B24" s="24"/>
      <c r="C24" s="24"/>
      <c r="D24" s="24"/>
      <c r="E24" s="24"/>
      <c r="F24" s="24"/>
      <c r="G24" s="24"/>
      <c r="H24" s="24"/>
      <c r="I24" s="24"/>
      <c r="J24" s="24"/>
      <c r="K24" s="24"/>
      <c r="L24" s="24"/>
      <c r="M24" s="24"/>
      <c r="N24" s="24"/>
      <c r="O24" s="21"/>
    </row>
    <row r="25" spans="2:16" x14ac:dyDescent="0.2">
      <c r="B25" s="24"/>
      <c r="C25" s="24"/>
      <c r="D25" s="24"/>
      <c r="E25" s="24"/>
      <c r="F25" s="24"/>
      <c r="G25" s="24"/>
      <c r="H25" s="24"/>
      <c r="I25" s="24"/>
      <c r="J25" s="24"/>
      <c r="K25" s="24"/>
      <c r="L25" s="24"/>
      <c r="M25" s="24"/>
      <c r="N25" s="24"/>
      <c r="O25" s="21"/>
    </row>
    <row r="26" spans="2:16" x14ac:dyDescent="0.2">
      <c r="B26" s="24"/>
      <c r="C26" s="24"/>
      <c r="D26" s="24"/>
      <c r="E26" s="24"/>
      <c r="F26" s="24"/>
      <c r="G26" s="24"/>
      <c r="H26" s="24"/>
      <c r="I26" s="24"/>
      <c r="J26" s="24"/>
      <c r="K26" s="24"/>
      <c r="L26" s="24"/>
      <c r="M26" s="24"/>
      <c r="N26" s="24"/>
      <c r="O26" s="21"/>
    </row>
    <row r="27" spans="2:16" x14ac:dyDescent="0.2">
      <c r="B27" s="24"/>
      <c r="C27" s="24"/>
      <c r="D27" s="24"/>
      <c r="E27" s="24"/>
      <c r="F27" s="24"/>
      <c r="G27" s="24"/>
      <c r="H27" s="24"/>
      <c r="I27" s="24"/>
      <c r="J27" s="24"/>
      <c r="K27" s="24"/>
      <c r="L27" s="24"/>
      <c r="M27" s="24"/>
      <c r="N27" s="24"/>
      <c r="O27" s="21"/>
    </row>
    <row r="28" spans="2:16" x14ac:dyDescent="0.2">
      <c r="B28" s="24"/>
      <c r="C28" s="24"/>
      <c r="D28" s="24"/>
      <c r="E28" s="24"/>
      <c r="F28" s="24"/>
      <c r="G28" s="24"/>
      <c r="H28" s="24"/>
      <c r="I28" s="24"/>
      <c r="J28" s="24"/>
      <c r="K28" s="24"/>
      <c r="L28" s="24"/>
      <c r="M28" s="24"/>
      <c r="N28" s="24"/>
      <c r="O28" s="21"/>
    </row>
    <row r="29" spans="2:16" ht="5.0999999999999996" customHeight="1" x14ac:dyDescent="0.2">
      <c r="B29" s="22"/>
      <c r="C29" s="22"/>
      <c r="D29" s="22"/>
      <c r="E29" s="22"/>
      <c r="F29" s="22"/>
      <c r="G29" s="22"/>
      <c r="H29" s="22"/>
      <c r="I29" s="22"/>
      <c r="J29" s="22"/>
      <c r="K29" s="23"/>
      <c r="L29" s="23"/>
      <c r="M29" s="23"/>
      <c r="N29" s="23"/>
      <c r="O29" s="21"/>
    </row>
  </sheetData>
  <phoneticPr fontId="0" type="noConversion"/>
  <pageMargins left="0.59055118110236227" right="0.59055118110236227" top="0.39370078740157483" bottom="0.39370078740157483" header="0.31496062992125984" footer="0"/>
  <pageSetup paperSize="9" scale="65" orientation="landscape" r:id="rId1"/>
  <headerFooter alignWithMargins="0">
    <oddFooter>&amp;L&amp;9&amp;F
&amp;A&amp;R&amp;9Printed on: &amp;D &amp;T
Version: 2015.0</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5" tint="0.79998168889431442"/>
    <pageSetUpPr fitToPage="1"/>
  </sheetPr>
  <dimension ref="A1:N1104"/>
  <sheetViews>
    <sheetView topLeftCell="A7" zoomScaleNormal="100" workbookViewId="0">
      <selection activeCell="E40" sqref="E40"/>
    </sheetView>
  </sheetViews>
  <sheetFormatPr baseColWidth="10" defaultColWidth="20.7109375" defaultRowHeight="12.75" customHeight="1" x14ac:dyDescent="0.2"/>
  <cols>
    <col min="1" max="2" width="20.7109375" style="428"/>
    <col min="3" max="6" width="20.7109375" style="408"/>
    <col min="7" max="10" width="20.7109375" style="428"/>
    <col min="11" max="11" width="15.7109375" style="428" bestFit="1" customWidth="1"/>
    <col min="12" max="12" width="53.5703125" style="428" bestFit="1" customWidth="1"/>
    <col min="13" max="13" width="58.140625" style="428" bestFit="1" customWidth="1"/>
    <col min="14" max="16384" width="20.7109375" style="428"/>
  </cols>
  <sheetData>
    <row r="1" spans="1:13" ht="12.75" customHeight="1" x14ac:dyDescent="0.2">
      <c r="A1" s="4"/>
      <c r="K1" s="408"/>
      <c r="L1" s="408"/>
      <c r="M1" s="408"/>
    </row>
    <row r="2" spans="1:13" ht="12.75" customHeight="1" x14ac:dyDescent="0.2">
      <c r="A2" s="29" t="s">
        <v>744</v>
      </c>
      <c r="C2" s="29" t="s">
        <v>745</v>
      </c>
      <c r="D2" s="29" t="s">
        <v>746</v>
      </c>
      <c r="E2" s="29" t="s">
        <v>747</v>
      </c>
      <c r="F2" s="29" t="s">
        <v>748</v>
      </c>
      <c r="G2" s="29" t="s">
        <v>749</v>
      </c>
      <c r="H2" s="29" t="s">
        <v>750</v>
      </c>
      <c r="K2" s="29" t="s">
        <v>41</v>
      </c>
      <c r="L2" s="29" t="s">
        <v>42</v>
      </c>
      <c r="M2" s="29" t="s">
        <v>751</v>
      </c>
    </row>
    <row r="3" spans="1:13" ht="12.75" customHeight="1" x14ac:dyDescent="0.2">
      <c r="A3" s="26" t="s">
        <v>551</v>
      </c>
      <c r="C3" s="410" t="s">
        <v>733</v>
      </c>
      <c r="D3" s="425">
        <v>0.47522976754228835</v>
      </c>
      <c r="E3" s="425">
        <v>0.17283721999999996</v>
      </c>
      <c r="F3" s="426">
        <v>0.4773253610308052</v>
      </c>
      <c r="G3" s="427">
        <v>45107</v>
      </c>
      <c r="H3" s="470"/>
      <c r="K3" s="410" t="s">
        <v>44</v>
      </c>
      <c r="L3" s="410" t="s">
        <v>45</v>
      </c>
      <c r="M3" s="410" t="s">
        <v>46</v>
      </c>
    </row>
    <row r="4" spans="1:13" ht="12.75" customHeight="1" x14ac:dyDescent="0.2">
      <c r="A4" s="26" t="s">
        <v>736</v>
      </c>
      <c r="C4" s="410" t="s">
        <v>734</v>
      </c>
      <c r="D4" s="425">
        <v>9.3612467134329053E-2</v>
      </c>
      <c r="E4" s="425">
        <v>0.17283721999999996</v>
      </c>
      <c r="F4" s="464">
        <v>0.4773253610308052</v>
      </c>
      <c r="G4" s="427">
        <v>45107</v>
      </c>
      <c r="H4" s="44" t="s">
        <v>752</v>
      </c>
      <c r="K4" s="410" t="s">
        <v>47</v>
      </c>
      <c r="L4" s="410" t="s">
        <v>48</v>
      </c>
      <c r="M4" s="410" t="s">
        <v>49</v>
      </c>
    </row>
    <row r="5" spans="1:13" ht="12.75" customHeight="1" x14ac:dyDescent="0.2">
      <c r="A5" s="26" t="s">
        <v>735</v>
      </c>
      <c r="C5" s="410" t="s">
        <v>753</v>
      </c>
      <c r="D5" s="425">
        <v>0.1951538135476428</v>
      </c>
      <c r="E5" s="425">
        <v>0.17283721999999996</v>
      </c>
      <c r="F5" s="426">
        <v>0.4773253610308052</v>
      </c>
      <c r="G5" s="427">
        <v>45107</v>
      </c>
      <c r="H5" s="470"/>
      <c r="K5" s="410" t="s">
        <v>50</v>
      </c>
      <c r="L5" s="410" t="s">
        <v>51</v>
      </c>
      <c r="M5" s="410" t="s">
        <v>52</v>
      </c>
    </row>
    <row r="6" spans="1:13" ht="12.75" customHeight="1" x14ac:dyDescent="0.2">
      <c r="A6" s="26" t="s">
        <v>448</v>
      </c>
      <c r="C6" s="410" t="s">
        <v>728</v>
      </c>
      <c r="D6" s="425">
        <v>7.3234346924002741E-2</v>
      </c>
      <c r="E6" s="425">
        <v>0.17283721999999996</v>
      </c>
      <c r="F6" s="426">
        <v>0.54136923609972121</v>
      </c>
      <c r="G6" s="427">
        <v>45107</v>
      </c>
      <c r="H6" s="470"/>
      <c r="K6" s="410" t="s">
        <v>53</v>
      </c>
      <c r="L6" s="410" t="s">
        <v>54</v>
      </c>
      <c r="M6" s="410"/>
    </row>
    <row r="7" spans="1:13" ht="12.75" customHeight="1" x14ac:dyDescent="0.2">
      <c r="A7" s="26"/>
      <c r="C7" s="410" t="s">
        <v>729</v>
      </c>
      <c r="D7" s="425">
        <v>7.0951154954184276E-2</v>
      </c>
      <c r="E7" s="425">
        <v>0.17283721999999996</v>
      </c>
      <c r="F7" s="426">
        <v>0.48584418624333953</v>
      </c>
      <c r="G7" s="427">
        <v>45107</v>
      </c>
      <c r="H7" s="470"/>
      <c r="K7" s="410" t="s">
        <v>55</v>
      </c>
      <c r="L7" s="410" t="s">
        <v>56</v>
      </c>
      <c r="M7" s="410"/>
    </row>
    <row r="8" spans="1:13" ht="12.75" customHeight="1" x14ac:dyDescent="0.2">
      <c r="A8" s="4"/>
      <c r="C8" s="406" t="s">
        <v>449</v>
      </c>
      <c r="D8" s="426">
        <v>9.9296185369813744E-2</v>
      </c>
      <c r="E8" s="425">
        <v>0.17283721999999996</v>
      </c>
      <c r="F8" s="426">
        <v>0.38669231149980082</v>
      </c>
      <c r="G8" s="427">
        <v>45107</v>
      </c>
      <c r="H8" s="470"/>
      <c r="K8" s="410" t="s">
        <v>57</v>
      </c>
      <c r="L8" s="410" t="s">
        <v>58</v>
      </c>
      <c r="M8" s="410"/>
    </row>
    <row r="9" spans="1:13" ht="12.75" customHeight="1" x14ac:dyDescent="0.2">
      <c r="A9" s="29" t="s">
        <v>754</v>
      </c>
      <c r="C9" s="406" t="s">
        <v>755</v>
      </c>
      <c r="D9" s="426">
        <v>0.10868724445535069</v>
      </c>
      <c r="E9" s="425">
        <v>0.17283721999999996</v>
      </c>
      <c r="F9" s="426">
        <v>1.0526624035272356</v>
      </c>
      <c r="G9" s="427">
        <v>45107</v>
      </c>
      <c r="H9" s="470"/>
      <c r="K9" s="410" t="s">
        <v>59</v>
      </c>
      <c r="L9" s="410" t="s">
        <v>60</v>
      </c>
      <c r="M9" s="410" t="s">
        <v>61</v>
      </c>
    </row>
    <row r="10" spans="1:13" ht="12.75" customHeight="1" x14ac:dyDescent="0.2">
      <c r="A10" s="31" t="s">
        <v>728</v>
      </c>
      <c r="C10" s="406" t="s">
        <v>450</v>
      </c>
      <c r="D10" s="426">
        <v>0.10868724445535069</v>
      </c>
      <c r="E10" s="425">
        <v>0.17283721999999996</v>
      </c>
      <c r="F10" s="426">
        <v>4.683163364667049</v>
      </c>
      <c r="G10" s="427">
        <v>45107</v>
      </c>
      <c r="H10" s="470"/>
      <c r="K10" s="410" t="s">
        <v>62</v>
      </c>
      <c r="L10" s="410" t="s">
        <v>63</v>
      </c>
      <c r="M10" s="410"/>
    </row>
    <row r="11" spans="1:13" s="429" customFormat="1" ht="12.75" customHeight="1" x14ac:dyDescent="0.2">
      <c r="A11" s="31" t="s">
        <v>729</v>
      </c>
      <c r="C11" s="409" t="s">
        <v>448</v>
      </c>
      <c r="D11" s="464">
        <v>0.10868724445535069</v>
      </c>
      <c r="E11" s="425">
        <v>0.17283721999999996</v>
      </c>
      <c r="F11" s="464">
        <v>1.0526624035272356</v>
      </c>
      <c r="G11" s="427">
        <v>45107</v>
      </c>
      <c r="H11" s="44" t="s">
        <v>756</v>
      </c>
      <c r="I11" s="428"/>
      <c r="J11" s="428"/>
      <c r="K11" s="410" t="s">
        <v>64</v>
      </c>
      <c r="L11" s="410" t="s">
        <v>65</v>
      </c>
      <c r="M11" s="410"/>
    </row>
    <row r="12" spans="1:13" ht="12.75" customHeight="1" x14ac:dyDescent="0.2">
      <c r="A12" s="31" t="s">
        <v>730</v>
      </c>
      <c r="C12" s="409" t="s">
        <v>735</v>
      </c>
      <c r="D12" s="464">
        <v>0.10868724445535069</v>
      </c>
      <c r="E12" s="425">
        <v>0.17283721999999996</v>
      </c>
      <c r="F12" s="464">
        <v>0.54136923609972121</v>
      </c>
      <c r="G12" s="427">
        <v>45107</v>
      </c>
      <c r="H12" s="44" t="s">
        <v>756</v>
      </c>
      <c r="K12" s="410" t="s">
        <v>66</v>
      </c>
      <c r="L12" s="410" t="s">
        <v>67</v>
      </c>
      <c r="M12" s="410"/>
    </row>
    <row r="13" spans="1:13" ht="12.75" customHeight="1" x14ac:dyDescent="0.2">
      <c r="A13" s="31" t="s">
        <v>731</v>
      </c>
      <c r="C13" s="409" t="s">
        <v>736</v>
      </c>
      <c r="D13" s="464">
        <v>0.10868724445535069</v>
      </c>
      <c r="E13" s="425">
        <v>0.17283721999999996</v>
      </c>
      <c r="F13" s="464">
        <v>0.54136923609972121</v>
      </c>
      <c r="G13" s="427">
        <v>45107</v>
      </c>
      <c r="H13" s="44" t="s">
        <v>756</v>
      </c>
      <c r="K13" s="410" t="s">
        <v>68</v>
      </c>
      <c r="L13" s="410" t="s">
        <v>69</v>
      </c>
      <c r="M13" s="410"/>
    </row>
    <row r="14" spans="1:13" ht="12.75" customHeight="1" x14ac:dyDescent="0.2">
      <c r="A14" s="31" t="s">
        <v>449</v>
      </c>
      <c r="K14" s="410" t="s">
        <v>70</v>
      </c>
      <c r="L14" s="410" t="s">
        <v>71</v>
      </c>
      <c r="M14" s="410" t="s">
        <v>72</v>
      </c>
    </row>
    <row r="15" spans="1:13" ht="12.75" customHeight="1" x14ac:dyDescent="0.2">
      <c r="A15" s="31" t="s">
        <v>732</v>
      </c>
      <c r="K15" s="410" t="s">
        <v>70</v>
      </c>
      <c r="L15" s="410" t="s">
        <v>73</v>
      </c>
      <c r="M15" s="410"/>
    </row>
    <row r="16" spans="1:13" ht="12.75" customHeight="1" x14ac:dyDescent="0.2">
      <c r="A16" s="31" t="s">
        <v>450</v>
      </c>
      <c r="K16" s="410" t="s">
        <v>74</v>
      </c>
      <c r="L16" s="410" t="s">
        <v>75</v>
      </c>
      <c r="M16" s="410" t="s">
        <v>76</v>
      </c>
    </row>
    <row r="17" spans="1:14" ht="12.75" customHeight="1" x14ac:dyDescent="0.2">
      <c r="A17" s="31" t="s">
        <v>733</v>
      </c>
      <c r="C17" s="29" t="s">
        <v>757</v>
      </c>
      <c r="D17" s="29" t="s">
        <v>758</v>
      </c>
      <c r="E17" s="29" t="s">
        <v>759</v>
      </c>
      <c r="F17" s="29" t="s">
        <v>584</v>
      </c>
      <c r="G17" s="29" t="s">
        <v>749</v>
      </c>
      <c r="H17" s="29" t="s">
        <v>760</v>
      </c>
      <c r="I17" s="29" t="s">
        <v>750</v>
      </c>
      <c r="K17" s="410" t="s">
        <v>77</v>
      </c>
      <c r="L17" s="410" t="s">
        <v>78</v>
      </c>
      <c r="M17" s="410"/>
    </row>
    <row r="18" spans="1:14" ht="12.75" customHeight="1" x14ac:dyDescent="0.2">
      <c r="A18" s="31" t="s">
        <v>734</v>
      </c>
      <c r="C18" s="410" t="s">
        <v>761</v>
      </c>
      <c r="D18" s="425">
        <v>500</v>
      </c>
      <c r="E18" s="425">
        <v>2500</v>
      </c>
      <c r="F18" s="425">
        <v>0</v>
      </c>
      <c r="G18" s="427">
        <v>45107</v>
      </c>
      <c r="H18" s="434" t="s">
        <v>762</v>
      </c>
      <c r="I18" s="470"/>
      <c r="K18" s="410" t="s">
        <v>79</v>
      </c>
      <c r="L18" s="410" t="s">
        <v>80</v>
      </c>
      <c r="M18" s="410"/>
    </row>
    <row r="19" spans="1:14" ht="12.75" customHeight="1" x14ac:dyDescent="0.2">
      <c r="A19" s="31" t="s">
        <v>736</v>
      </c>
      <c r="C19" s="410" t="s">
        <v>763</v>
      </c>
      <c r="D19" s="425">
        <v>500</v>
      </c>
      <c r="E19" s="425">
        <v>5000</v>
      </c>
      <c r="F19" s="425">
        <v>0</v>
      </c>
      <c r="G19" s="427">
        <v>45107</v>
      </c>
      <c r="H19" s="434" t="s">
        <v>762</v>
      </c>
      <c r="I19" s="470"/>
      <c r="K19" s="410" t="s">
        <v>81</v>
      </c>
      <c r="L19" s="410" t="s">
        <v>82</v>
      </c>
      <c r="M19" s="410" t="s">
        <v>83</v>
      </c>
    </row>
    <row r="20" spans="1:14" ht="12.75" customHeight="1" x14ac:dyDescent="0.2">
      <c r="A20" s="31" t="s">
        <v>735</v>
      </c>
      <c r="C20" s="410" t="s">
        <v>764</v>
      </c>
      <c r="D20" s="425">
        <v>500</v>
      </c>
      <c r="E20" s="425">
        <v>2500</v>
      </c>
      <c r="F20" s="425">
        <v>0</v>
      </c>
      <c r="G20" s="427">
        <v>45107</v>
      </c>
      <c r="H20" s="434" t="s">
        <v>762</v>
      </c>
      <c r="I20" s="470"/>
      <c r="K20" s="410" t="s">
        <v>84</v>
      </c>
      <c r="L20" s="410" t="s">
        <v>85</v>
      </c>
      <c r="M20" s="410"/>
    </row>
    <row r="21" spans="1:14" ht="12.75" customHeight="1" x14ac:dyDescent="0.2">
      <c r="A21" s="31" t="s">
        <v>448</v>
      </c>
      <c r="C21" s="410" t="s">
        <v>765</v>
      </c>
      <c r="D21" s="425">
        <v>500</v>
      </c>
      <c r="E21" s="425">
        <v>0</v>
      </c>
      <c r="F21" s="425">
        <v>0</v>
      </c>
      <c r="G21" s="427">
        <v>45107</v>
      </c>
      <c r="H21" s="434"/>
      <c r="I21" s="470"/>
      <c r="K21" s="410" t="s">
        <v>86</v>
      </c>
      <c r="L21" s="410" t="s">
        <v>87</v>
      </c>
      <c r="M21" s="410"/>
    </row>
    <row r="22" spans="1:14" ht="12.75" customHeight="1" x14ac:dyDescent="0.2">
      <c r="A22" s="24"/>
      <c r="C22" s="410" t="s">
        <v>766</v>
      </c>
      <c r="D22" s="425">
        <v>500</v>
      </c>
      <c r="E22" s="425">
        <v>2000</v>
      </c>
      <c r="F22" s="425">
        <v>0</v>
      </c>
      <c r="G22" s="427">
        <v>45107</v>
      </c>
      <c r="H22" s="434"/>
      <c r="I22" s="470"/>
      <c r="K22" s="410" t="s">
        <v>88</v>
      </c>
      <c r="L22" s="410" t="s">
        <v>89</v>
      </c>
      <c r="M22" s="410"/>
    </row>
    <row r="23" spans="1:14" ht="12.75" customHeight="1" x14ac:dyDescent="0.2">
      <c r="A23" s="29" t="s">
        <v>767</v>
      </c>
      <c r="C23" s="410" t="s">
        <v>768</v>
      </c>
      <c r="D23" s="425">
        <v>500</v>
      </c>
      <c r="E23" s="425">
        <v>2000</v>
      </c>
      <c r="F23" s="425">
        <v>0</v>
      </c>
      <c r="G23" s="427">
        <v>45107</v>
      </c>
      <c r="H23" s="434" t="s">
        <v>762</v>
      </c>
      <c r="I23" s="470"/>
      <c r="K23" s="410" t="s">
        <v>90</v>
      </c>
      <c r="L23" s="410" t="s">
        <v>91</v>
      </c>
      <c r="M23" s="410"/>
    </row>
    <row r="24" spans="1:14" ht="12.75" customHeight="1" x14ac:dyDescent="0.2">
      <c r="A24" s="26" t="s">
        <v>539</v>
      </c>
      <c r="C24" s="410" t="s">
        <v>769</v>
      </c>
      <c r="D24" s="425">
        <v>500</v>
      </c>
      <c r="E24" s="425">
        <v>2500</v>
      </c>
      <c r="F24" s="425">
        <v>0</v>
      </c>
      <c r="G24" s="427">
        <v>45107</v>
      </c>
      <c r="H24" s="434" t="s">
        <v>762</v>
      </c>
      <c r="I24" s="470"/>
      <c r="K24" s="410" t="s">
        <v>92</v>
      </c>
      <c r="L24" s="410" t="s">
        <v>93</v>
      </c>
      <c r="M24" s="410"/>
    </row>
    <row r="25" spans="1:14" ht="12.75" customHeight="1" x14ac:dyDescent="0.2">
      <c r="A25" s="26" t="s">
        <v>770</v>
      </c>
      <c r="C25" s="410" t="s">
        <v>771</v>
      </c>
      <c r="D25" s="425">
        <v>0</v>
      </c>
      <c r="E25" s="425">
        <v>2000</v>
      </c>
      <c r="F25" s="425">
        <v>0</v>
      </c>
      <c r="G25" s="427">
        <v>45107</v>
      </c>
      <c r="H25" s="434" t="s">
        <v>772</v>
      </c>
      <c r="I25" s="470" t="s">
        <v>773</v>
      </c>
      <c r="K25" s="410" t="s">
        <v>94</v>
      </c>
      <c r="L25" s="410" t="s">
        <v>95</v>
      </c>
      <c r="M25" s="410" t="s">
        <v>96</v>
      </c>
    </row>
    <row r="26" spans="1:14" ht="12.75" customHeight="1" x14ac:dyDescent="0.2">
      <c r="A26" s="26" t="s">
        <v>774</v>
      </c>
      <c r="C26" s="410" t="s">
        <v>775</v>
      </c>
      <c r="D26" s="425">
        <v>500</v>
      </c>
      <c r="E26" s="425">
        <v>1000</v>
      </c>
      <c r="F26" s="425">
        <v>0</v>
      </c>
      <c r="G26" s="427">
        <v>45107</v>
      </c>
      <c r="H26" s="434"/>
      <c r="I26" s="470"/>
      <c r="K26" s="410" t="s">
        <v>97</v>
      </c>
      <c r="L26" s="410" t="s">
        <v>98</v>
      </c>
      <c r="M26" s="410"/>
    </row>
    <row r="27" spans="1:14" ht="12.75" customHeight="1" x14ac:dyDescent="0.2">
      <c r="A27" s="30"/>
      <c r="C27" s="410" t="s">
        <v>776</v>
      </c>
      <c r="D27" s="425">
        <v>500</v>
      </c>
      <c r="E27" s="425">
        <v>1000</v>
      </c>
      <c r="F27" s="425">
        <v>0</v>
      </c>
      <c r="G27" s="427">
        <v>45107</v>
      </c>
      <c r="H27" s="434"/>
      <c r="I27" s="470"/>
      <c r="K27" s="410" t="s">
        <v>99</v>
      </c>
      <c r="L27" s="410" t="s">
        <v>100</v>
      </c>
      <c r="M27" s="410" t="s">
        <v>101</v>
      </c>
      <c r="N27" s="430"/>
    </row>
    <row r="28" spans="1:14" ht="12.75" customHeight="1" x14ac:dyDescent="0.2">
      <c r="A28" s="30"/>
      <c r="C28" s="410" t="s">
        <v>777</v>
      </c>
      <c r="D28" s="425">
        <v>500</v>
      </c>
      <c r="E28" s="425">
        <v>1000</v>
      </c>
      <c r="F28" s="425">
        <v>0</v>
      </c>
      <c r="G28" s="427">
        <v>45107</v>
      </c>
      <c r="H28" s="434"/>
      <c r="I28" s="470"/>
      <c r="K28" s="410" t="s">
        <v>102</v>
      </c>
      <c r="L28" s="410" t="s">
        <v>103</v>
      </c>
      <c r="M28" s="410"/>
      <c r="N28" s="430"/>
    </row>
    <row r="29" spans="1:14" ht="12.75" customHeight="1" x14ac:dyDescent="0.2">
      <c r="A29" s="4"/>
      <c r="C29" s="410" t="s">
        <v>778</v>
      </c>
      <c r="D29" s="425">
        <v>500</v>
      </c>
      <c r="E29" s="425">
        <v>1000</v>
      </c>
      <c r="F29" s="425">
        <v>0</v>
      </c>
      <c r="G29" s="427">
        <v>45107</v>
      </c>
      <c r="H29" s="434"/>
      <c r="I29" s="470"/>
      <c r="K29" s="410" t="s">
        <v>104</v>
      </c>
      <c r="L29" s="410" t="s">
        <v>105</v>
      </c>
      <c r="M29" s="410"/>
    </row>
    <row r="30" spans="1:14" ht="12.75" customHeight="1" x14ac:dyDescent="0.2">
      <c r="A30" s="29" t="s">
        <v>779</v>
      </c>
      <c r="C30" s="410" t="s">
        <v>780</v>
      </c>
      <c r="D30" s="425">
        <v>500</v>
      </c>
      <c r="E30" s="425">
        <v>1000</v>
      </c>
      <c r="F30" s="425">
        <v>0</v>
      </c>
      <c r="G30" s="427">
        <v>45107</v>
      </c>
      <c r="H30" s="434"/>
      <c r="I30" s="470"/>
      <c r="K30" s="410" t="s">
        <v>106</v>
      </c>
      <c r="L30" s="410" t="s">
        <v>107</v>
      </c>
      <c r="M30" s="410" t="s">
        <v>108</v>
      </c>
    </row>
    <row r="31" spans="1:14" ht="12.75" customHeight="1" x14ac:dyDescent="0.2">
      <c r="A31" s="26" t="s">
        <v>781</v>
      </c>
      <c r="C31" s="410" t="s">
        <v>782</v>
      </c>
      <c r="D31" s="425">
        <v>500</v>
      </c>
      <c r="E31" s="425">
        <v>1000</v>
      </c>
      <c r="F31" s="425">
        <v>0</v>
      </c>
      <c r="G31" s="427">
        <v>45107</v>
      </c>
      <c r="H31" s="434"/>
      <c r="I31" s="470"/>
      <c r="K31" s="410" t="s">
        <v>109</v>
      </c>
      <c r="L31" s="410" t="s">
        <v>110</v>
      </c>
      <c r="M31" s="410" t="s">
        <v>111</v>
      </c>
    </row>
    <row r="32" spans="1:14" ht="12.75" customHeight="1" x14ac:dyDescent="0.2">
      <c r="A32" s="26" t="s">
        <v>783</v>
      </c>
      <c r="C32" s="410" t="s">
        <v>784</v>
      </c>
      <c r="D32" s="425">
        <v>0</v>
      </c>
      <c r="E32" s="425">
        <v>4500</v>
      </c>
      <c r="F32" s="425">
        <v>0</v>
      </c>
      <c r="G32" s="427">
        <v>45107</v>
      </c>
      <c r="H32" s="434" t="s">
        <v>785</v>
      </c>
      <c r="I32" s="470"/>
      <c r="K32" s="410" t="s">
        <v>112</v>
      </c>
      <c r="L32" s="410" t="s">
        <v>113</v>
      </c>
      <c r="M32" s="410" t="s">
        <v>114</v>
      </c>
    </row>
    <row r="33" spans="1:13" ht="12.75" customHeight="1" x14ac:dyDescent="0.2">
      <c r="A33" s="30"/>
      <c r="C33" s="410" t="s">
        <v>786</v>
      </c>
      <c r="D33" s="425">
        <v>1000</v>
      </c>
      <c r="E33" s="425">
        <v>3000</v>
      </c>
      <c r="F33" s="425">
        <v>0</v>
      </c>
      <c r="G33" s="427">
        <v>45107</v>
      </c>
      <c r="H33" s="434" t="s">
        <v>787</v>
      </c>
      <c r="I33" s="470"/>
      <c r="K33" s="410" t="s">
        <v>115</v>
      </c>
      <c r="L33" s="410" t="s">
        <v>116</v>
      </c>
      <c r="M33" s="410" t="s">
        <v>117</v>
      </c>
    </row>
    <row r="34" spans="1:13" ht="12.75" customHeight="1" x14ac:dyDescent="0.2">
      <c r="A34" s="30"/>
      <c r="C34" s="410" t="s">
        <v>788</v>
      </c>
      <c r="D34" s="425">
        <v>1000</v>
      </c>
      <c r="E34" s="425">
        <v>3000</v>
      </c>
      <c r="F34" s="425">
        <v>0</v>
      </c>
      <c r="G34" s="427">
        <v>45107</v>
      </c>
      <c r="H34" s="434" t="s">
        <v>787</v>
      </c>
      <c r="I34" s="470"/>
      <c r="K34" s="410" t="s">
        <v>118</v>
      </c>
      <c r="L34" s="410" t="s">
        <v>119</v>
      </c>
      <c r="M34" s="410"/>
    </row>
    <row r="35" spans="1:13" ht="12.75" customHeight="1" x14ac:dyDescent="0.2">
      <c r="A35" s="30"/>
      <c r="C35" s="410" t="s">
        <v>789</v>
      </c>
      <c r="D35" s="425">
        <v>0</v>
      </c>
      <c r="E35" s="425">
        <v>5800</v>
      </c>
      <c r="F35" s="425">
        <v>0</v>
      </c>
      <c r="G35" s="427">
        <v>45107</v>
      </c>
      <c r="H35" s="434" t="s">
        <v>790</v>
      </c>
      <c r="I35" s="470"/>
      <c r="K35" s="410" t="s">
        <v>120</v>
      </c>
      <c r="L35" s="410" t="s">
        <v>121</v>
      </c>
      <c r="M35" s="410"/>
    </row>
    <row r="36" spans="1:13" ht="12.75" customHeight="1" x14ac:dyDescent="0.2">
      <c r="A36" s="4"/>
      <c r="C36" s="410" t="s">
        <v>791</v>
      </c>
      <c r="D36" s="425">
        <v>0</v>
      </c>
      <c r="E36" s="425">
        <v>1500</v>
      </c>
      <c r="F36" s="425">
        <v>0</v>
      </c>
      <c r="G36" s="427">
        <v>45107</v>
      </c>
      <c r="H36" s="434" t="s">
        <v>790</v>
      </c>
      <c r="I36" s="470"/>
      <c r="K36" s="410" t="s">
        <v>122</v>
      </c>
      <c r="L36" s="410" t="s">
        <v>123</v>
      </c>
      <c r="M36" s="410"/>
    </row>
    <row r="37" spans="1:13" ht="12.75" customHeight="1" x14ac:dyDescent="0.2">
      <c r="A37" s="29" t="s">
        <v>792</v>
      </c>
      <c r="B37" s="227"/>
      <c r="C37" s="410" t="s">
        <v>793</v>
      </c>
      <c r="D37" s="425">
        <v>500</v>
      </c>
      <c r="E37" s="425">
        <v>0</v>
      </c>
      <c r="F37" s="425">
        <v>0</v>
      </c>
      <c r="G37" s="427">
        <v>45107</v>
      </c>
      <c r="H37" s="434"/>
      <c r="I37" s="470"/>
      <c r="K37" s="410" t="s">
        <v>124</v>
      </c>
      <c r="L37" s="410" t="s">
        <v>125</v>
      </c>
      <c r="M37" s="410" t="s">
        <v>125</v>
      </c>
    </row>
    <row r="38" spans="1:13" ht="12.75" customHeight="1" x14ac:dyDescent="0.2">
      <c r="A38" s="26" t="s">
        <v>781</v>
      </c>
      <c r="B38" s="227"/>
      <c r="C38" s="410" t="s">
        <v>794</v>
      </c>
      <c r="D38" s="425">
        <v>500</v>
      </c>
      <c r="E38" s="425">
        <v>1250</v>
      </c>
      <c r="F38" s="425">
        <v>0</v>
      </c>
      <c r="G38" s="427">
        <v>45107</v>
      </c>
      <c r="H38" s="434"/>
      <c r="I38" s="470"/>
      <c r="K38" s="410" t="s">
        <v>126</v>
      </c>
      <c r="L38" s="410" t="s">
        <v>127</v>
      </c>
      <c r="M38" s="410"/>
    </row>
    <row r="39" spans="1:13" ht="12.75" customHeight="1" x14ac:dyDescent="0.2">
      <c r="A39" s="26" t="s">
        <v>783</v>
      </c>
      <c r="B39" s="227"/>
      <c r="C39" s="410" t="s">
        <v>795</v>
      </c>
      <c r="D39" s="425">
        <v>500</v>
      </c>
      <c r="E39" s="425">
        <v>0</v>
      </c>
      <c r="F39" s="425">
        <v>0</v>
      </c>
      <c r="G39" s="427">
        <v>45107</v>
      </c>
      <c r="H39" s="434"/>
      <c r="I39" s="470"/>
      <c r="K39" s="410" t="s">
        <v>128</v>
      </c>
      <c r="L39" s="410" t="s">
        <v>129</v>
      </c>
      <c r="M39" s="410"/>
    </row>
    <row r="40" spans="1:13" ht="12.75" customHeight="1" x14ac:dyDescent="0.2">
      <c r="A40" s="30"/>
      <c r="B40" s="227"/>
      <c r="C40" s="410" t="s">
        <v>796</v>
      </c>
      <c r="D40" s="425">
        <v>500</v>
      </c>
      <c r="E40" s="425">
        <v>1000</v>
      </c>
      <c r="F40" s="425">
        <v>0</v>
      </c>
      <c r="G40" s="427">
        <v>45107</v>
      </c>
      <c r="H40" s="434" t="s">
        <v>790</v>
      </c>
      <c r="I40" s="470"/>
      <c r="K40" s="410" t="s">
        <v>130</v>
      </c>
      <c r="L40" s="410" t="s">
        <v>131</v>
      </c>
      <c r="M40" s="410"/>
    </row>
    <row r="41" spans="1:13" ht="12.75" customHeight="1" x14ac:dyDescent="0.2">
      <c r="A41" s="30"/>
      <c r="B41" s="227"/>
      <c r="C41" s="410" t="s">
        <v>797</v>
      </c>
      <c r="D41" s="425">
        <v>500</v>
      </c>
      <c r="E41" s="425">
        <v>2000</v>
      </c>
      <c r="F41" s="425">
        <v>0</v>
      </c>
      <c r="G41" s="427">
        <v>45107</v>
      </c>
      <c r="H41" s="434" t="s">
        <v>762</v>
      </c>
      <c r="I41" s="470"/>
      <c r="K41" s="410" t="s">
        <v>132</v>
      </c>
      <c r="L41" s="410" t="s">
        <v>133</v>
      </c>
      <c r="M41" s="410"/>
    </row>
    <row r="42" spans="1:13" ht="12.75" customHeight="1" x14ac:dyDescent="0.2">
      <c r="A42" s="30"/>
      <c r="B42" s="227"/>
      <c r="C42" s="410" t="s">
        <v>798</v>
      </c>
      <c r="D42" s="425">
        <v>0</v>
      </c>
      <c r="E42" s="425">
        <v>1000</v>
      </c>
      <c r="F42" s="425">
        <v>0</v>
      </c>
      <c r="G42" s="427">
        <v>45107</v>
      </c>
      <c r="H42" s="434"/>
      <c r="I42" s="470"/>
      <c r="K42" s="410" t="s">
        <v>134</v>
      </c>
      <c r="L42" s="410" t="s">
        <v>135</v>
      </c>
      <c r="M42" s="410"/>
    </row>
    <row r="43" spans="1:13" ht="12.75" customHeight="1" x14ac:dyDescent="0.2">
      <c r="A43" s="4"/>
      <c r="B43" s="227"/>
      <c r="C43" s="410" t="s">
        <v>799</v>
      </c>
      <c r="D43" s="425">
        <v>500</v>
      </c>
      <c r="E43" s="425">
        <v>1000</v>
      </c>
      <c r="F43" s="425">
        <v>0</v>
      </c>
      <c r="G43" s="427">
        <v>45107</v>
      </c>
      <c r="H43" s="434"/>
      <c r="I43" s="470"/>
      <c r="K43" s="410" t="s">
        <v>136</v>
      </c>
      <c r="L43" s="410" t="s">
        <v>137</v>
      </c>
      <c r="M43" s="410"/>
    </row>
    <row r="44" spans="1:13" ht="12.75" customHeight="1" x14ac:dyDescent="0.2">
      <c r="A44" s="29" t="s">
        <v>800</v>
      </c>
      <c r="B44" s="227"/>
      <c r="C44" s="410" t="s">
        <v>801</v>
      </c>
      <c r="D44" s="425">
        <v>500</v>
      </c>
      <c r="E44" s="425">
        <v>1000</v>
      </c>
      <c r="F44" s="425">
        <v>0</v>
      </c>
      <c r="G44" s="427">
        <v>45107</v>
      </c>
      <c r="H44" s="434"/>
      <c r="I44" s="470"/>
      <c r="K44" s="410" t="s">
        <v>138</v>
      </c>
      <c r="L44" s="410" t="s">
        <v>139</v>
      </c>
      <c r="M44" s="410" t="s">
        <v>140</v>
      </c>
    </row>
    <row r="45" spans="1:13" ht="12.75" customHeight="1" x14ac:dyDescent="0.2">
      <c r="A45" s="26" t="s">
        <v>602</v>
      </c>
      <c r="B45" s="227"/>
      <c r="C45" s="410" t="s">
        <v>802</v>
      </c>
      <c r="D45" s="425">
        <v>500</v>
      </c>
      <c r="E45" s="425">
        <v>1000</v>
      </c>
      <c r="F45" s="425">
        <v>0</v>
      </c>
      <c r="G45" s="427">
        <v>45107</v>
      </c>
      <c r="H45" s="434"/>
      <c r="I45" s="470"/>
      <c r="K45" s="410" t="s">
        <v>141</v>
      </c>
      <c r="L45" s="410" t="s">
        <v>142</v>
      </c>
      <c r="M45" s="410" t="s">
        <v>143</v>
      </c>
    </row>
    <row r="46" spans="1:13" ht="12.75" customHeight="1" x14ac:dyDescent="0.2">
      <c r="A46" s="26" t="s">
        <v>803</v>
      </c>
      <c r="B46" s="227"/>
      <c r="C46" s="410" t="s">
        <v>804</v>
      </c>
      <c r="D46" s="425">
        <v>1500</v>
      </c>
      <c r="E46" s="425">
        <v>6000</v>
      </c>
      <c r="F46" s="425">
        <v>0</v>
      </c>
      <c r="G46" s="427">
        <v>45107</v>
      </c>
      <c r="H46" s="434"/>
      <c r="I46" s="470"/>
      <c r="K46" s="410" t="s">
        <v>144</v>
      </c>
      <c r="L46" s="410" t="s">
        <v>145</v>
      </c>
      <c r="M46" s="410" t="s">
        <v>146</v>
      </c>
    </row>
    <row r="47" spans="1:13" ht="12.75" customHeight="1" x14ac:dyDescent="0.2">
      <c r="A47" s="30"/>
      <c r="B47" s="227"/>
      <c r="C47" s="410" t="s">
        <v>805</v>
      </c>
      <c r="D47" s="425"/>
      <c r="E47" s="425"/>
      <c r="F47" s="425"/>
      <c r="G47" s="427">
        <v>45107</v>
      </c>
      <c r="H47" s="434"/>
      <c r="I47" s="470"/>
      <c r="K47" s="410" t="s">
        <v>147</v>
      </c>
      <c r="L47" s="410" t="s">
        <v>148</v>
      </c>
      <c r="M47" s="410" t="s">
        <v>149</v>
      </c>
    </row>
    <row r="48" spans="1:13" ht="12.75" customHeight="1" x14ac:dyDescent="0.2">
      <c r="A48" s="30"/>
      <c r="B48" s="227"/>
      <c r="C48" s="410" t="s">
        <v>806</v>
      </c>
      <c r="D48" s="425"/>
      <c r="E48" s="425"/>
      <c r="F48" s="425"/>
      <c r="G48" s="427">
        <v>45107</v>
      </c>
      <c r="H48" s="434"/>
      <c r="I48" s="470"/>
      <c r="K48" s="410" t="s">
        <v>150</v>
      </c>
      <c r="L48" s="410" t="s">
        <v>151</v>
      </c>
      <c r="M48" s="410" t="s">
        <v>152</v>
      </c>
    </row>
    <row r="49" spans="1:13" ht="12.75" customHeight="1" x14ac:dyDescent="0.2">
      <c r="A49" s="30"/>
      <c r="B49" s="227"/>
      <c r="C49" s="410" t="s">
        <v>807</v>
      </c>
      <c r="D49" s="425"/>
      <c r="E49" s="425"/>
      <c r="F49" s="425"/>
      <c r="G49" s="427">
        <v>45107</v>
      </c>
      <c r="H49" s="434"/>
      <c r="I49" s="470"/>
      <c r="K49" s="410" t="s">
        <v>153</v>
      </c>
      <c r="L49" s="410"/>
      <c r="M49" s="410" t="s">
        <v>154</v>
      </c>
    </row>
    <row r="50" spans="1:13" ht="12.75" customHeight="1" x14ac:dyDescent="0.2">
      <c r="A50" s="30"/>
      <c r="B50" s="227"/>
      <c r="C50" s="410" t="s">
        <v>808</v>
      </c>
      <c r="D50" s="425"/>
      <c r="E50" s="425"/>
      <c r="F50" s="425"/>
      <c r="G50" s="427">
        <v>45107</v>
      </c>
      <c r="H50" s="434"/>
      <c r="I50" s="470"/>
      <c r="K50" s="410" t="s">
        <v>155</v>
      </c>
      <c r="L50" s="410" t="s">
        <v>156</v>
      </c>
      <c r="M50" s="410"/>
    </row>
    <row r="51" spans="1:13" ht="12.75" customHeight="1" x14ac:dyDescent="0.2">
      <c r="A51" s="30"/>
      <c r="B51" s="227"/>
      <c r="C51" s="410" t="s">
        <v>809</v>
      </c>
      <c r="D51" s="425"/>
      <c r="E51" s="425"/>
      <c r="F51" s="425"/>
      <c r="G51" s="427">
        <v>45107</v>
      </c>
      <c r="H51" s="434"/>
      <c r="I51" s="470"/>
      <c r="K51" s="410" t="s">
        <v>157</v>
      </c>
      <c r="L51" s="410" t="s">
        <v>158</v>
      </c>
      <c r="M51" s="410" t="s">
        <v>159</v>
      </c>
    </row>
    <row r="52" spans="1:13" ht="12.75" customHeight="1" x14ac:dyDescent="0.2">
      <c r="A52" s="30"/>
      <c r="B52" s="227"/>
      <c r="C52" s="410" t="s">
        <v>810</v>
      </c>
      <c r="D52" s="425"/>
      <c r="E52" s="425"/>
      <c r="F52" s="425"/>
      <c r="G52" s="427">
        <v>45107</v>
      </c>
      <c r="H52" s="434"/>
      <c r="I52" s="470"/>
      <c r="K52" s="410" t="s">
        <v>160</v>
      </c>
      <c r="L52" s="410"/>
      <c r="M52" s="410" t="s">
        <v>161</v>
      </c>
    </row>
    <row r="53" spans="1:13" ht="12.75" customHeight="1" x14ac:dyDescent="0.2">
      <c r="A53" s="30"/>
      <c r="B53" s="227"/>
      <c r="C53" s="410" t="s">
        <v>811</v>
      </c>
      <c r="D53" s="425"/>
      <c r="E53" s="425"/>
      <c r="F53" s="425"/>
      <c r="G53" s="427">
        <v>45107</v>
      </c>
      <c r="H53" s="434"/>
      <c r="I53" s="470"/>
      <c r="K53" s="410" t="s">
        <v>162</v>
      </c>
      <c r="L53" s="410" t="s">
        <v>163</v>
      </c>
      <c r="M53" s="410"/>
    </row>
    <row r="54" spans="1:13" ht="12.75" customHeight="1" x14ac:dyDescent="0.2">
      <c r="A54" s="30"/>
      <c r="B54" s="227"/>
      <c r="C54" s="410" t="s">
        <v>812</v>
      </c>
      <c r="D54" s="425"/>
      <c r="E54" s="425"/>
      <c r="F54" s="425"/>
      <c r="G54" s="427">
        <v>45107</v>
      </c>
      <c r="H54" s="434"/>
      <c r="I54" s="470"/>
      <c r="K54" s="410" t="s">
        <v>164</v>
      </c>
      <c r="L54" s="410" t="s">
        <v>165</v>
      </c>
      <c r="M54" s="410"/>
    </row>
    <row r="55" spans="1:13" ht="12.75" customHeight="1" x14ac:dyDescent="0.2">
      <c r="A55" s="30"/>
      <c r="B55" s="227"/>
      <c r="C55" s="410" t="s">
        <v>813</v>
      </c>
      <c r="D55" s="425"/>
      <c r="E55" s="425"/>
      <c r="F55" s="425"/>
      <c r="G55" s="427">
        <v>45107</v>
      </c>
      <c r="H55" s="434"/>
      <c r="I55" s="470"/>
      <c r="K55" s="410" t="s">
        <v>166</v>
      </c>
      <c r="L55" s="410" t="s">
        <v>167</v>
      </c>
      <c r="M55" s="410"/>
    </row>
    <row r="56" spans="1:13" ht="12.75" customHeight="1" x14ac:dyDescent="0.2">
      <c r="A56" s="4"/>
      <c r="B56" s="227"/>
      <c r="C56" s="410" t="s">
        <v>814</v>
      </c>
      <c r="D56" s="425"/>
      <c r="E56" s="425"/>
      <c r="F56" s="425"/>
      <c r="G56" s="427">
        <v>45107</v>
      </c>
      <c r="H56" s="434"/>
      <c r="I56" s="470"/>
      <c r="K56" s="410" t="s">
        <v>168</v>
      </c>
      <c r="L56" s="410" t="s">
        <v>169</v>
      </c>
      <c r="M56" s="410"/>
    </row>
    <row r="57" spans="1:13" ht="12.75" customHeight="1" x14ac:dyDescent="0.2">
      <c r="A57" s="29" t="s">
        <v>356</v>
      </c>
      <c r="B57" s="227"/>
      <c r="C57" s="410" t="s">
        <v>815</v>
      </c>
      <c r="D57" s="425"/>
      <c r="E57" s="425"/>
      <c r="F57" s="425"/>
      <c r="G57" s="427">
        <v>45107</v>
      </c>
      <c r="H57" s="434"/>
      <c r="I57" s="470"/>
      <c r="K57" s="410" t="s">
        <v>170</v>
      </c>
      <c r="L57" s="410" t="s">
        <v>171</v>
      </c>
      <c r="M57" s="410"/>
    </row>
    <row r="58" spans="1:13" ht="12.75" customHeight="1" x14ac:dyDescent="0.2">
      <c r="A58" s="26" t="s">
        <v>816</v>
      </c>
      <c r="B58" s="227"/>
      <c r="C58" s="410" t="s">
        <v>817</v>
      </c>
      <c r="D58" s="425"/>
      <c r="E58" s="425"/>
      <c r="F58" s="425"/>
      <c r="G58" s="427">
        <v>45107</v>
      </c>
      <c r="H58" s="434"/>
      <c r="I58" s="470"/>
      <c r="K58" s="410" t="s">
        <v>172</v>
      </c>
      <c r="L58" s="410" t="s">
        <v>173</v>
      </c>
      <c r="M58" s="410" t="s">
        <v>174</v>
      </c>
    </row>
    <row r="59" spans="1:13" ht="12.75" customHeight="1" x14ac:dyDescent="0.2">
      <c r="A59" s="26" t="s">
        <v>818</v>
      </c>
      <c r="B59" s="227"/>
      <c r="C59" s="410" t="s">
        <v>819</v>
      </c>
      <c r="D59" s="425"/>
      <c r="E59" s="425"/>
      <c r="F59" s="425"/>
      <c r="G59" s="427">
        <v>45107</v>
      </c>
      <c r="H59" s="434"/>
      <c r="I59" s="470"/>
      <c r="K59" s="410" t="s">
        <v>175</v>
      </c>
      <c r="L59" s="410" t="s">
        <v>176</v>
      </c>
      <c r="M59" s="410" t="s">
        <v>177</v>
      </c>
    </row>
    <row r="60" spans="1:13" ht="12.75" customHeight="1" x14ac:dyDescent="0.2">
      <c r="A60" s="26" t="s">
        <v>820</v>
      </c>
      <c r="B60" s="227"/>
      <c r="C60" s="410" t="s">
        <v>821</v>
      </c>
      <c r="D60" s="425"/>
      <c r="E60" s="425"/>
      <c r="F60" s="425"/>
      <c r="G60" s="427">
        <v>45107</v>
      </c>
      <c r="H60" s="434"/>
      <c r="I60" s="470"/>
      <c r="K60" s="410" t="s">
        <v>178</v>
      </c>
      <c r="L60" s="410" t="s">
        <v>179</v>
      </c>
      <c r="M60" s="410"/>
    </row>
    <row r="61" spans="1:13" ht="12.75" customHeight="1" x14ac:dyDescent="0.2">
      <c r="A61" s="4"/>
      <c r="B61" s="227"/>
      <c r="C61" s="410" t="s">
        <v>822</v>
      </c>
      <c r="D61" s="425"/>
      <c r="E61" s="425"/>
      <c r="F61" s="425"/>
      <c r="G61" s="427">
        <v>45107</v>
      </c>
      <c r="H61" s="434"/>
      <c r="I61" s="470"/>
      <c r="K61" s="410" t="s">
        <v>180</v>
      </c>
      <c r="L61" s="410" t="s">
        <v>181</v>
      </c>
      <c r="M61" s="410" t="s">
        <v>182</v>
      </c>
    </row>
    <row r="62" spans="1:13" ht="12.75" customHeight="1" x14ac:dyDescent="0.2">
      <c r="A62" s="29" t="s">
        <v>823</v>
      </c>
      <c r="B62" s="227"/>
      <c r="C62" s="410" t="s">
        <v>824</v>
      </c>
      <c r="D62" s="425"/>
      <c r="E62" s="425"/>
      <c r="F62" s="425"/>
      <c r="G62" s="427">
        <v>45107</v>
      </c>
      <c r="H62" s="434"/>
      <c r="I62" s="470"/>
      <c r="K62" s="410" t="s">
        <v>183</v>
      </c>
      <c r="L62" s="410" t="s">
        <v>184</v>
      </c>
      <c r="M62" s="410" t="s">
        <v>185</v>
      </c>
    </row>
    <row r="63" spans="1:13" ht="12.75" customHeight="1" x14ac:dyDescent="0.2">
      <c r="A63" s="26" t="s">
        <v>825</v>
      </c>
      <c r="B63" s="227"/>
      <c r="C63" s="410" t="s">
        <v>826</v>
      </c>
      <c r="D63" s="425"/>
      <c r="E63" s="425"/>
      <c r="F63" s="425"/>
      <c r="G63" s="427">
        <v>45107</v>
      </c>
      <c r="H63" s="434"/>
      <c r="I63" s="470"/>
      <c r="K63" s="410" t="s">
        <v>186</v>
      </c>
      <c r="L63" s="410" t="s">
        <v>187</v>
      </c>
      <c r="M63" s="410" t="s">
        <v>188</v>
      </c>
    </row>
    <row r="64" spans="1:13" ht="12.75" customHeight="1" x14ac:dyDescent="0.2">
      <c r="A64" s="26" t="s">
        <v>827</v>
      </c>
      <c r="B64" s="227"/>
      <c r="C64" s="410" t="s">
        <v>828</v>
      </c>
      <c r="D64" s="425"/>
      <c r="E64" s="425"/>
      <c r="F64" s="425"/>
      <c r="G64" s="427">
        <v>45107</v>
      </c>
      <c r="H64" s="434"/>
      <c r="I64" s="470"/>
      <c r="K64" s="410" t="s">
        <v>189</v>
      </c>
      <c r="L64" s="410" t="s">
        <v>190</v>
      </c>
      <c r="M64" s="410" t="s">
        <v>191</v>
      </c>
    </row>
    <row r="65" spans="1:13" ht="12.75" customHeight="1" x14ac:dyDescent="0.2">
      <c r="A65" s="26"/>
      <c r="B65" s="227"/>
      <c r="C65" s="410" t="s">
        <v>829</v>
      </c>
      <c r="D65" s="425"/>
      <c r="E65" s="425"/>
      <c r="F65" s="425"/>
      <c r="G65" s="427">
        <v>45107</v>
      </c>
      <c r="H65" s="434"/>
      <c r="I65" s="470"/>
      <c r="K65" s="410" t="s">
        <v>192</v>
      </c>
      <c r="L65" s="410" t="s">
        <v>193</v>
      </c>
      <c r="M65" s="410" t="s">
        <v>194</v>
      </c>
    </row>
    <row r="66" spans="1:13" ht="12.75" customHeight="1" x14ac:dyDescent="0.2">
      <c r="A66" s="4"/>
      <c r="B66" s="227"/>
      <c r="C66" s="410" t="s">
        <v>830</v>
      </c>
      <c r="D66" s="425"/>
      <c r="E66" s="425"/>
      <c r="F66" s="425"/>
      <c r="G66" s="427">
        <v>45107</v>
      </c>
      <c r="H66" s="434"/>
      <c r="I66" s="470"/>
      <c r="K66" s="410" t="s">
        <v>195</v>
      </c>
      <c r="L66" s="410" t="s">
        <v>196</v>
      </c>
      <c r="M66" s="410" t="s">
        <v>197</v>
      </c>
    </row>
    <row r="67" spans="1:13" ht="12.75" customHeight="1" x14ac:dyDescent="0.2">
      <c r="A67" s="29" t="s">
        <v>831</v>
      </c>
      <c r="B67" s="227"/>
      <c r="C67" s="410" t="s">
        <v>832</v>
      </c>
      <c r="D67" s="425"/>
      <c r="E67" s="425"/>
      <c r="F67" s="425"/>
      <c r="G67" s="427">
        <v>45107</v>
      </c>
      <c r="H67" s="434"/>
      <c r="I67" s="470"/>
      <c r="K67" s="410" t="s">
        <v>198</v>
      </c>
      <c r="L67" s="410" t="s">
        <v>199</v>
      </c>
      <c r="M67" s="410" t="s">
        <v>200</v>
      </c>
    </row>
    <row r="68" spans="1:13" ht="12.75" customHeight="1" x14ac:dyDescent="0.2">
      <c r="A68" s="26" t="s">
        <v>538</v>
      </c>
      <c r="B68" s="227"/>
      <c r="K68" s="410" t="s">
        <v>201</v>
      </c>
      <c r="L68" s="410" t="s">
        <v>202</v>
      </c>
      <c r="M68" s="410" t="s">
        <v>203</v>
      </c>
    </row>
    <row r="69" spans="1:13" ht="12.75" customHeight="1" x14ac:dyDescent="0.2">
      <c r="A69" s="26" t="s">
        <v>541</v>
      </c>
      <c r="B69" s="227"/>
      <c r="K69" s="410" t="s">
        <v>204</v>
      </c>
      <c r="L69" s="410" t="s">
        <v>205</v>
      </c>
      <c r="M69" s="410" t="s">
        <v>206</v>
      </c>
    </row>
    <row r="70" spans="1:13" ht="12.75" customHeight="1" x14ac:dyDescent="0.2">
      <c r="A70" s="26" t="s">
        <v>546</v>
      </c>
      <c r="B70" s="227"/>
      <c r="K70" s="410" t="s">
        <v>207</v>
      </c>
      <c r="L70" s="410" t="s">
        <v>208</v>
      </c>
      <c r="M70" s="410" t="s">
        <v>209</v>
      </c>
    </row>
    <row r="71" spans="1:13" ht="12.75" customHeight="1" x14ac:dyDescent="0.2">
      <c r="A71" s="26" t="s">
        <v>833</v>
      </c>
      <c r="B71" s="227"/>
      <c r="K71" s="410" t="s">
        <v>210</v>
      </c>
      <c r="L71" s="410" t="s">
        <v>211</v>
      </c>
      <c r="M71" s="410" t="s">
        <v>212</v>
      </c>
    </row>
    <row r="72" spans="1:13" ht="12.75" customHeight="1" x14ac:dyDescent="0.2">
      <c r="A72" s="26" t="s">
        <v>543</v>
      </c>
      <c r="B72" s="227"/>
      <c r="K72" s="410" t="s">
        <v>213</v>
      </c>
      <c r="L72" s="410" t="s">
        <v>214</v>
      </c>
      <c r="M72" s="410"/>
    </row>
    <row r="73" spans="1:13" ht="12.75" customHeight="1" x14ac:dyDescent="0.2">
      <c r="A73" s="30"/>
      <c r="B73" s="227"/>
      <c r="K73" s="410" t="s">
        <v>215</v>
      </c>
      <c r="L73" s="410" t="s">
        <v>216</v>
      </c>
      <c r="M73" s="410" t="s">
        <v>217</v>
      </c>
    </row>
    <row r="74" spans="1:13" ht="12.75" customHeight="1" x14ac:dyDescent="0.2">
      <c r="A74" s="30"/>
      <c r="B74" s="227"/>
      <c r="K74" s="410" t="s">
        <v>218</v>
      </c>
      <c r="L74" s="410" t="s">
        <v>219</v>
      </c>
      <c r="M74" s="410" t="s">
        <v>220</v>
      </c>
    </row>
    <row r="75" spans="1:13" ht="12.75" customHeight="1" x14ac:dyDescent="0.2">
      <c r="A75" s="30"/>
      <c r="B75" s="227"/>
      <c r="K75" s="410" t="s">
        <v>221</v>
      </c>
      <c r="L75" s="410" t="s">
        <v>222</v>
      </c>
      <c r="M75" s="410" t="s">
        <v>223</v>
      </c>
    </row>
    <row r="76" spans="1:13" ht="12.75" customHeight="1" x14ac:dyDescent="0.2">
      <c r="A76" s="30"/>
      <c r="B76" s="227"/>
      <c r="K76" s="410" t="s">
        <v>224</v>
      </c>
      <c r="L76" s="410" t="s">
        <v>225</v>
      </c>
      <c r="M76" s="410" t="s">
        <v>226</v>
      </c>
    </row>
    <row r="77" spans="1:13" ht="12.75" customHeight="1" x14ac:dyDescent="0.2">
      <c r="A77" s="30"/>
      <c r="B77" s="227"/>
      <c r="K77" s="410" t="s">
        <v>227</v>
      </c>
      <c r="L77" s="410" t="s">
        <v>228</v>
      </c>
      <c r="M77" s="410" t="s">
        <v>229</v>
      </c>
    </row>
    <row r="78" spans="1:13" ht="12.75" customHeight="1" x14ac:dyDescent="0.2">
      <c r="A78" s="30"/>
      <c r="B78" s="227"/>
      <c r="K78" s="410" t="s">
        <v>230</v>
      </c>
      <c r="L78" s="410" t="s">
        <v>231</v>
      </c>
      <c r="M78" s="410"/>
    </row>
    <row r="79" spans="1:13" ht="12.75" customHeight="1" x14ac:dyDescent="0.2">
      <c r="A79" s="4"/>
      <c r="B79" s="227"/>
      <c r="K79" s="410" t="s">
        <v>232</v>
      </c>
      <c r="L79" s="410" t="s">
        <v>233</v>
      </c>
      <c r="M79" s="410" t="s">
        <v>234</v>
      </c>
    </row>
    <row r="80" spans="1:13" ht="12.75" customHeight="1" x14ac:dyDescent="0.2">
      <c r="A80" s="29" t="s">
        <v>834</v>
      </c>
      <c r="B80" s="227"/>
      <c r="K80" s="410" t="s">
        <v>235</v>
      </c>
      <c r="L80" s="410" t="s">
        <v>236</v>
      </c>
      <c r="M80" s="410"/>
    </row>
    <row r="81" spans="1:13" ht="12.75" customHeight="1" x14ac:dyDescent="0.2">
      <c r="A81" s="26" t="s">
        <v>758</v>
      </c>
      <c r="B81" s="227"/>
      <c r="K81" s="410" t="s">
        <v>237</v>
      </c>
      <c r="L81" s="410" t="s">
        <v>238</v>
      </c>
      <c r="M81" s="410" t="s">
        <v>239</v>
      </c>
    </row>
    <row r="82" spans="1:13" ht="12.75" customHeight="1" x14ac:dyDescent="0.2">
      <c r="A82" s="26" t="s">
        <v>759</v>
      </c>
      <c r="B82" s="227"/>
      <c r="K82" s="410" t="s">
        <v>240</v>
      </c>
      <c r="L82" s="410" t="s">
        <v>241</v>
      </c>
      <c r="M82" s="410" t="s">
        <v>242</v>
      </c>
    </row>
    <row r="83" spans="1:13" ht="12.75" customHeight="1" x14ac:dyDescent="0.2">
      <c r="A83" s="26" t="s">
        <v>584</v>
      </c>
      <c r="B83" s="227"/>
      <c r="K83" s="410" t="s">
        <v>243</v>
      </c>
      <c r="L83" s="410" t="s">
        <v>244</v>
      </c>
      <c r="M83" s="410" t="s">
        <v>245</v>
      </c>
    </row>
    <row r="84" spans="1:13" ht="12.75" customHeight="1" x14ac:dyDescent="0.2">
      <c r="A84" s="26"/>
      <c r="B84" s="227"/>
      <c r="K84" s="410" t="s">
        <v>246</v>
      </c>
      <c r="L84" s="410" t="s">
        <v>247</v>
      </c>
      <c r="M84" s="410" t="s">
        <v>248</v>
      </c>
    </row>
    <row r="85" spans="1:13" ht="12.75" customHeight="1" x14ac:dyDescent="0.2">
      <c r="A85" s="26"/>
      <c r="B85" s="227"/>
      <c r="K85" s="410" t="s">
        <v>246</v>
      </c>
      <c r="L85" s="410" t="s">
        <v>249</v>
      </c>
      <c r="M85" s="410" t="s">
        <v>250</v>
      </c>
    </row>
    <row r="86" spans="1:13" ht="12.75" customHeight="1" x14ac:dyDescent="0.2">
      <c r="B86" s="227"/>
      <c r="K86" s="410" t="s">
        <v>251</v>
      </c>
      <c r="L86" s="410" t="s">
        <v>252</v>
      </c>
      <c r="M86" s="410" t="s">
        <v>253</v>
      </c>
    </row>
    <row r="87" spans="1:13" ht="12.75" customHeight="1" x14ac:dyDescent="0.2">
      <c r="B87" s="227"/>
      <c r="K87" s="410" t="s">
        <v>254</v>
      </c>
      <c r="L87" s="410" t="s">
        <v>255</v>
      </c>
      <c r="M87" s="410"/>
    </row>
    <row r="88" spans="1:13" ht="12.75" customHeight="1" x14ac:dyDescent="0.2">
      <c r="B88" s="227"/>
      <c r="K88" s="410" t="s">
        <v>256</v>
      </c>
      <c r="L88" s="410" t="s">
        <v>257</v>
      </c>
      <c r="M88" s="410"/>
    </row>
    <row r="89" spans="1:13" ht="12.75" customHeight="1" x14ac:dyDescent="0.2">
      <c r="B89" s="227"/>
      <c r="K89" s="410" t="s">
        <v>258</v>
      </c>
      <c r="L89" s="410" t="s">
        <v>259</v>
      </c>
      <c r="M89" s="410"/>
    </row>
    <row r="90" spans="1:13" ht="12.75" customHeight="1" x14ac:dyDescent="0.2">
      <c r="B90" s="227"/>
      <c r="K90" s="410" t="s">
        <v>260</v>
      </c>
      <c r="L90" s="410" t="s">
        <v>261</v>
      </c>
      <c r="M90" s="410" t="s">
        <v>262</v>
      </c>
    </row>
    <row r="91" spans="1:13" ht="12.75" customHeight="1" x14ac:dyDescent="0.2">
      <c r="B91" s="227"/>
      <c r="K91" s="410" t="s">
        <v>263</v>
      </c>
      <c r="L91" s="410" t="s">
        <v>264</v>
      </c>
      <c r="M91" s="410" t="s">
        <v>265</v>
      </c>
    </row>
    <row r="92" spans="1:13" ht="12.75" customHeight="1" x14ac:dyDescent="0.2">
      <c r="B92" s="227"/>
      <c r="K92" s="410" t="s">
        <v>266</v>
      </c>
      <c r="L92" s="410" t="s">
        <v>267</v>
      </c>
      <c r="M92" s="410"/>
    </row>
    <row r="93" spans="1:13" ht="12.75" customHeight="1" x14ac:dyDescent="0.2">
      <c r="B93" s="227"/>
      <c r="K93" s="410" t="s">
        <v>268</v>
      </c>
      <c r="L93" s="410" t="s">
        <v>269</v>
      </c>
      <c r="M93" s="410" t="s">
        <v>270</v>
      </c>
    </row>
    <row r="94" spans="1:13" ht="12.75" customHeight="1" x14ac:dyDescent="0.2">
      <c r="B94" s="227"/>
      <c r="K94" s="410" t="s">
        <v>271</v>
      </c>
      <c r="L94" s="410" t="s">
        <v>272</v>
      </c>
      <c r="M94" s="410"/>
    </row>
    <row r="95" spans="1:13" ht="12.75" customHeight="1" x14ac:dyDescent="0.2">
      <c r="B95" s="227"/>
      <c r="K95" s="410" t="s">
        <v>273</v>
      </c>
      <c r="L95" s="410" t="s">
        <v>274</v>
      </c>
      <c r="M95" s="410" t="s">
        <v>275</v>
      </c>
    </row>
    <row r="96" spans="1:13" ht="12.75" customHeight="1" x14ac:dyDescent="0.2">
      <c r="B96" s="227"/>
      <c r="K96" s="410" t="s">
        <v>276</v>
      </c>
      <c r="L96" s="410" t="s">
        <v>277</v>
      </c>
      <c r="M96" s="410"/>
    </row>
    <row r="97" spans="2:13" ht="12.75" customHeight="1" x14ac:dyDescent="0.2">
      <c r="B97" s="227"/>
      <c r="K97" s="410" t="s">
        <v>278</v>
      </c>
      <c r="L97" s="410" t="s">
        <v>279</v>
      </c>
      <c r="M97" s="410"/>
    </row>
    <row r="98" spans="2:13" ht="12.75" customHeight="1" x14ac:dyDescent="0.2">
      <c r="B98" s="227"/>
      <c r="K98" s="410" t="s">
        <v>280</v>
      </c>
      <c r="L98" s="410" t="s">
        <v>281</v>
      </c>
      <c r="M98" s="410" t="s">
        <v>282</v>
      </c>
    </row>
    <row r="99" spans="2:13" ht="12.75" customHeight="1" x14ac:dyDescent="0.2">
      <c r="B99" s="227"/>
      <c r="K99" s="410" t="s">
        <v>283</v>
      </c>
      <c r="L99" s="410" t="s">
        <v>284</v>
      </c>
      <c r="M99" s="410" t="s">
        <v>285</v>
      </c>
    </row>
    <row r="100" spans="2:13" ht="12.75" customHeight="1" x14ac:dyDescent="0.2">
      <c r="B100" s="227"/>
      <c r="K100" s="410" t="s">
        <v>286</v>
      </c>
      <c r="L100" s="410" t="s">
        <v>287</v>
      </c>
      <c r="M100" s="410"/>
    </row>
    <row r="101" spans="2:13" ht="12.75" customHeight="1" x14ac:dyDescent="0.2">
      <c r="B101" s="227"/>
    </row>
    <row r="102" spans="2:13" ht="12.75" customHeight="1" x14ac:dyDescent="0.2">
      <c r="B102" s="227"/>
    </row>
    <row r="103" spans="2:13" ht="12.75" customHeight="1" x14ac:dyDescent="0.2">
      <c r="B103" s="227"/>
    </row>
    <row r="104" spans="2:13" ht="12.75" customHeight="1" x14ac:dyDescent="0.2">
      <c r="B104" s="227"/>
    </row>
    <row r="105" spans="2:13" ht="12.75" customHeight="1" x14ac:dyDescent="0.2">
      <c r="B105" s="227"/>
    </row>
    <row r="106" spans="2:13" ht="12.75" customHeight="1" x14ac:dyDescent="0.2">
      <c r="B106" s="227"/>
    </row>
    <row r="107" spans="2:13" ht="12.75" customHeight="1" x14ac:dyDescent="0.2">
      <c r="B107" s="227"/>
    </row>
    <row r="108" spans="2:13" ht="12.75" customHeight="1" x14ac:dyDescent="0.2">
      <c r="B108" s="227"/>
    </row>
    <row r="109" spans="2:13" ht="12.75" customHeight="1" x14ac:dyDescent="0.2">
      <c r="B109" s="227"/>
    </row>
    <row r="110" spans="2:13" ht="12.75" customHeight="1" x14ac:dyDescent="0.2">
      <c r="B110" s="227"/>
    </row>
    <row r="111" spans="2:13" ht="12.75" customHeight="1" x14ac:dyDescent="0.2">
      <c r="B111" s="227"/>
    </row>
    <row r="112" spans="2:13" ht="12.75" customHeight="1" x14ac:dyDescent="0.2">
      <c r="B112" s="227"/>
    </row>
    <row r="113" spans="2:2" ht="12.75" customHeight="1" x14ac:dyDescent="0.2">
      <c r="B113" s="227"/>
    </row>
    <row r="114" spans="2:2" ht="12.75" customHeight="1" x14ac:dyDescent="0.2">
      <c r="B114" s="227"/>
    </row>
    <row r="115" spans="2:2" ht="12.75" customHeight="1" x14ac:dyDescent="0.2">
      <c r="B115" s="227"/>
    </row>
    <row r="116" spans="2:2" ht="12.75" customHeight="1" x14ac:dyDescent="0.2">
      <c r="B116" s="227"/>
    </row>
    <row r="117" spans="2:2" ht="12.75" customHeight="1" x14ac:dyDescent="0.2">
      <c r="B117" s="227"/>
    </row>
    <row r="118" spans="2:2" ht="12.75" customHeight="1" x14ac:dyDescent="0.2">
      <c r="B118" s="227"/>
    </row>
    <row r="119" spans="2:2" ht="12.75" customHeight="1" x14ac:dyDescent="0.2">
      <c r="B119" s="227"/>
    </row>
    <row r="120" spans="2:2" ht="12.75" customHeight="1" x14ac:dyDescent="0.2">
      <c r="B120" s="227"/>
    </row>
    <row r="121" spans="2:2" ht="12.75" customHeight="1" x14ac:dyDescent="0.2">
      <c r="B121" s="227"/>
    </row>
    <row r="122" spans="2:2" ht="12.75" customHeight="1" x14ac:dyDescent="0.2">
      <c r="B122" s="227"/>
    </row>
    <row r="123" spans="2:2" ht="12.75" customHeight="1" x14ac:dyDescent="0.2">
      <c r="B123" s="227"/>
    </row>
    <row r="124" spans="2:2" ht="12.75" customHeight="1" x14ac:dyDescent="0.2">
      <c r="B124" s="227"/>
    </row>
    <row r="125" spans="2:2" ht="12.75" customHeight="1" x14ac:dyDescent="0.2">
      <c r="B125" s="227"/>
    </row>
    <row r="126" spans="2:2" ht="12.75" customHeight="1" x14ac:dyDescent="0.2">
      <c r="B126" s="227"/>
    </row>
    <row r="127" spans="2:2" ht="12.75" customHeight="1" x14ac:dyDescent="0.2">
      <c r="B127" s="227"/>
    </row>
    <row r="128" spans="2:2" ht="12.75" customHeight="1" x14ac:dyDescent="0.2">
      <c r="B128" s="227"/>
    </row>
    <row r="129" spans="2:2" ht="12.75" customHeight="1" x14ac:dyDescent="0.2">
      <c r="B129" s="227"/>
    </row>
    <row r="130" spans="2:2" ht="12.75" customHeight="1" x14ac:dyDescent="0.2">
      <c r="B130" s="227"/>
    </row>
    <row r="131" spans="2:2" ht="12.75" customHeight="1" x14ac:dyDescent="0.2">
      <c r="B131" s="227"/>
    </row>
    <row r="132" spans="2:2" ht="12.75" customHeight="1" x14ac:dyDescent="0.2">
      <c r="B132" s="227"/>
    </row>
    <row r="133" spans="2:2" ht="12.75" customHeight="1" x14ac:dyDescent="0.2">
      <c r="B133" s="227"/>
    </row>
    <row r="134" spans="2:2" ht="12.75" customHeight="1" x14ac:dyDescent="0.2">
      <c r="B134" s="227"/>
    </row>
    <row r="135" spans="2:2" ht="12.75" customHeight="1" x14ac:dyDescent="0.2">
      <c r="B135" s="227"/>
    </row>
    <row r="136" spans="2:2" ht="12.75" customHeight="1" x14ac:dyDescent="0.2">
      <c r="B136" s="227"/>
    </row>
    <row r="137" spans="2:2" ht="12.75" customHeight="1" x14ac:dyDescent="0.2">
      <c r="B137" s="227"/>
    </row>
    <row r="138" spans="2:2" ht="12.75" customHeight="1" x14ac:dyDescent="0.2">
      <c r="B138" s="227"/>
    </row>
    <row r="139" spans="2:2" ht="12.75" customHeight="1" x14ac:dyDescent="0.2">
      <c r="B139" s="227"/>
    </row>
    <row r="140" spans="2:2" ht="12.75" customHeight="1" x14ac:dyDescent="0.2">
      <c r="B140" s="227"/>
    </row>
    <row r="141" spans="2:2" ht="12.75" customHeight="1" x14ac:dyDescent="0.2">
      <c r="B141" s="227"/>
    </row>
    <row r="142" spans="2:2" ht="12.75" customHeight="1" x14ac:dyDescent="0.2">
      <c r="B142" s="227"/>
    </row>
    <row r="143" spans="2:2" ht="12.75" customHeight="1" x14ac:dyDescent="0.2">
      <c r="B143" s="227"/>
    </row>
    <row r="144" spans="2:2" ht="12.75" customHeight="1" x14ac:dyDescent="0.2">
      <c r="B144" s="227"/>
    </row>
    <row r="145" spans="2:2" ht="12.75" customHeight="1" x14ac:dyDescent="0.2">
      <c r="B145" s="227"/>
    </row>
    <row r="146" spans="2:2" ht="12.75" customHeight="1" x14ac:dyDescent="0.2">
      <c r="B146" s="227"/>
    </row>
    <row r="147" spans="2:2" ht="12.75" customHeight="1" x14ac:dyDescent="0.2">
      <c r="B147" s="227"/>
    </row>
    <row r="148" spans="2:2" ht="12.75" customHeight="1" x14ac:dyDescent="0.2">
      <c r="B148" s="227"/>
    </row>
    <row r="149" spans="2:2" ht="12.75" customHeight="1" x14ac:dyDescent="0.2">
      <c r="B149" s="227"/>
    </row>
    <row r="150" spans="2:2" ht="12.75" customHeight="1" x14ac:dyDescent="0.2">
      <c r="B150" s="227"/>
    </row>
    <row r="151" spans="2:2" ht="12.75" customHeight="1" x14ac:dyDescent="0.2">
      <c r="B151" s="227"/>
    </row>
    <row r="152" spans="2:2" ht="12.75" customHeight="1" x14ac:dyDescent="0.2">
      <c r="B152" s="227"/>
    </row>
    <row r="153" spans="2:2" ht="12.75" customHeight="1" x14ac:dyDescent="0.2">
      <c r="B153" s="227"/>
    </row>
    <row r="154" spans="2:2" ht="12.75" customHeight="1" x14ac:dyDescent="0.2">
      <c r="B154" s="227"/>
    </row>
    <row r="155" spans="2:2" ht="12.75" customHeight="1" x14ac:dyDescent="0.2">
      <c r="B155" s="227"/>
    </row>
    <row r="156" spans="2:2" ht="12.75" customHeight="1" x14ac:dyDescent="0.2">
      <c r="B156" s="227"/>
    </row>
    <row r="157" spans="2:2" ht="12.75" customHeight="1" x14ac:dyDescent="0.2">
      <c r="B157" s="227"/>
    </row>
    <row r="158" spans="2:2" ht="12.75" customHeight="1" x14ac:dyDescent="0.2">
      <c r="B158" s="227"/>
    </row>
    <row r="159" spans="2:2" ht="12.75" customHeight="1" x14ac:dyDescent="0.2">
      <c r="B159" s="227"/>
    </row>
    <row r="160" spans="2:2" ht="12.75" customHeight="1" x14ac:dyDescent="0.2">
      <c r="B160" s="227"/>
    </row>
    <row r="161" spans="2:2" ht="12.75" customHeight="1" x14ac:dyDescent="0.2">
      <c r="B161" s="227"/>
    </row>
    <row r="162" spans="2:2" ht="12.75" customHeight="1" x14ac:dyDescent="0.2">
      <c r="B162" s="227"/>
    </row>
    <row r="163" spans="2:2" ht="12.75" customHeight="1" x14ac:dyDescent="0.2">
      <c r="B163" s="227"/>
    </row>
    <row r="164" spans="2:2" ht="12.75" customHeight="1" x14ac:dyDescent="0.2">
      <c r="B164" s="227"/>
    </row>
    <row r="165" spans="2:2" ht="12.75" customHeight="1" x14ac:dyDescent="0.2">
      <c r="B165" s="227"/>
    </row>
    <row r="166" spans="2:2" ht="12.75" customHeight="1" x14ac:dyDescent="0.2">
      <c r="B166" s="227"/>
    </row>
    <row r="167" spans="2:2" ht="12.75" customHeight="1" x14ac:dyDescent="0.2">
      <c r="B167" s="227"/>
    </row>
    <row r="168" spans="2:2" ht="12.75" customHeight="1" x14ac:dyDescent="0.2">
      <c r="B168" s="227"/>
    </row>
    <row r="169" spans="2:2" ht="12.75" customHeight="1" x14ac:dyDescent="0.2">
      <c r="B169" s="227"/>
    </row>
    <row r="170" spans="2:2" ht="12.75" customHeight="1" x14ac:dyDescent="0.2">
      <c r="B170" s="227"/>
    </row>
    <row r="171" spans="2:2" ht="12.75" customHeight="1" x14ac:dyDescent="0.2">
      <c r="B171" s="227"/>
    </row>
    <row r="172" spans="2:2" ht="12.75" customHeight="1" x14ac:dyDescent="0.2">
      <c r="B172" s="227"/>
    </row>
    <row r="173" spans="2:2" ht="12.75" customHeight="1" x14ac:dyDescent="0.2">
      <c r="B173" s="227"/>
    </row>
    <row r="174" spans="2:2" ht="12.75" customHeight="1" x14ac:dyDescent="0.2">
      <c r="B174" s="227"/>
    </row>
    <row r="175" spans="2:2" ht="12.75" customHeight="1" x14ac:dyDescent="0.2">
      <c r="B175" s="227"/>
    </row>
    <row r="176" spans="2:2" ht="12.75" customHeight="1" x14ac:dyDescent="0.2">
      <c r="B176" s="227"/>
    </row>
    <row r="177" spans="2:2" ht="12.75" customHeight="1" x14ac:dyDescent="0.2">
      <c r="B177" s="227"/>
    </row>
    <row r="178" spans="2:2" ht="12.75" customHeight="1" x14ac:dyDescent="0.2">
      <c r="B178" s="227"/>
    </row>
    <row r="179" spans="2:2" ht="12.75" customHeight="1" x14ac:dyDescent="0.2">
      <c r="B179" s="227"/>
    </row>
    <row r="180" spans="2:2" ht="12.75" customHeight="1" x14ac:dyDescent="0.2">
      <c r="B180" s="227"/>
    </row>
    <row r="181" spans="2:2" ht="12.75" customHeight="1" x14ac:dyDescent="0.2">
      <c r="B181" s="227"/>
    </row>
    <row r="182" spans="2:2" ht="12.75" customHeight="1" x14ac:dyDescent="0.2">
      <c r="B182" s="227"/>
    </row>
    <row r="183" spans="2:2" ht="12.75" customHeight="1" x14ac:dyDescent="0.2">
      <c r="B183" s="227"/>
    </row>
    <row r="184" spans="2:2" ht="12.75" customHeight="1" x14ac:dyDescent="0.2">
      <c r="B184" s="227"/>
    </row>
    <row r="185" spans="2:2" ht="12.75" customHeight="1" x14ac:dyDescent="0.2">
      <c r="B185" s="227"/>
    </row>
    <row r="186" spans="2:2" ht="12.75" customHeight="1" x14ac:dyDescent="0.2">
      <c r="B186" s="227"/>
    </row>
    <row r="187" spans="2:2" ht="12.75" customHeight="1" x14ac:dyDescent="0.2">
      <c r="B187" s="227"/>
    </row>
    <row r="188" spans="2:2" ht="12.75" customHeight="1" x14ac:dyDescent="0.2">
      <c r="B188" s="227"/>
    </row>
    <row r="189" spans="2:2" ht="12.75" customHeight="1" x14ac:dyDescent="0.2">
      <c r="B189" s="227"/>
    </row>
    <row r="190" spans="2:2" ht="12.75" customHeight="1" x14ac:dyDescent="0.2">
      <c r="B190" s="227"/>
    </row>
    <row r="191" spans="2:2" ht="12.75" customHeight="1" x14ac:dyDescent="0.2">
      <c r="B191" s="227"/>
    </row>
    <row r="192" spans="2:2" ht="12.75" customHeight="1" x14ac:dyDescent="0.2">
      <c r="B192" s="227"/>
    </row>
    <row r="193" spans="2:2" ht="12.75" customHeight="1" x14ac:dyDescent="0.2">
      <c r="B193" s="227"/>
    </row>
    <row r="194" spans="2:2" ht="12.75" customHeight="1" x14ac:dyDescent="0.2">
      <c r="B194" s="227"/>
    </row>
    <row r="195" spans="2:2" ht="12.75" customHeight="1" x14ac:dyDescent="0.2">
      <c r="B195" s="227"/>
    </row>
    <row r="196" spans="2:2" ht="12.75" customHeight="1" x14ac:dyDescent="0.2">
      <c r="B196" s="227"/>
    </row>
    <row r="197" spans="2:2" ht="12.75" customHeight="1" x14ac:dyDescent="0.2">
      <c r="B197" s="227"/>
    </row>
    <row r="198" spans="2:2" ht="12.75" customHeight="1" x14ac:dyDescent="0.2">
      <c r="B198" s="227"/>
    </row>
    <row r="199" spans="2:2" ht="12.75" customHeight="1" x14ac:dyDescent="0.2">
      <c r="B199" s="227"/>
    </row>
    <row r="200" spans="2:2" ht="12.75" customHeight="1" x14ac:dyDescent="0.2">
      <c r="B200" s="227"/>
    </row>
    <row r="201" spans="2:2" ht="12.75" customHeight="1" x14ac:dyDescent="0.2">
      <c r="B201" s="227"/>
    </row>
    <row r="202" spans="2:2" ht="12.75" customHeight="1" x14ac:dyDescent="0.2">
      <c r="B202" s="227"/>
    </row>
    <row r="203" spans="2:2" ht="12.75" customHeight="1" x14ac:dyDescent="0.2">
      <c r="B203" s="227"/>
    </row>
    <row r="204" spans="2:2" ht="12.75" customHeight="1" x14ac:dyDescent="0.2">
      <c r="B204" s="227"/>
    </row>
    <row r="205" spans="2:2" ht="12.75" customHeight="1" x14ac:dyDescent="0.2">
      <c r="B205" s="227"/>
    </row>
    <row r="206" spans="2:2" ht="12.75" customHeight="1" x14ac:dyDescent="0.2">
      <c r="B206" s="227"/>
    </row>
    <row r="207" spans="2:2" ht="12.75" customHeight="1" x14ac:dyDescent="0.2">
      <c r="B207" s="227"/>
    </row>
    <row r="208" spans="2:2" ht="12.75" customHeight="1" x14ac:dyDescent="0.2">
      <c r="B208" s="227"/>
    </row>
    <row r="209" spans="2:2" ht="12.75" customHeight="1" x14ac:dyDescent="0.2">
      <c r="B209" s="227"/>
    </row>
    <row r="210" spans="2:2" ht="12.75" customHeight="1" x14ac:dyDescent="0.2">
      <c r="B210" s="227"/>
    </row>
    <row r="211" spans="2:2" ht="12.75" customHeight="1" x14ac:dyDescent="0.2">
      <c r="B211" s="227"/>
    </row>
    <row r="212" spans="2:2" ht="12.75" customHeight="1" x14ac:dyDescent="0.2">
      <c r="B212" s="227"/>
    </row>
    <row r="213" spans="2:2" ht="12.75" customHeight="1" x14ac:dyDescent="0.2">
      <c r="B213" s="227"/>
    </row>
    <row r="214" spans="2:2" ht="12.75" customHeight="1" x14ac:dyDescent="0.2">
      <c r="B214" s="227"/>
    </row>
    <row r="215" spans="2:2" ht="12.75" customHeight="1" x14ac:dyDescent="0.2">
      <c r="B215" s="227"/>
    </row>
    <row r="216" spans="2:2" ht="12.75" customHeight="1" x14ac:dyDescent="0.2">
      <c r="B216" s="227"/>
    </row>
    <row r="217" spans="2:2" ht="12.75" customHeight="1" x14ac:dyDescent="0.2">
      <c r="B217" s="227"/>
    </row>
    <row r="218" spans="2:2" ht="12.75" customHeight="1" x14ac:dyDescent="0.2">
      <c r="B218" s="227"/>
    </row>
    <row r="219" spans="2:2" ht="12.75" customHeight="1" x14ac:dyDescent="0.2">
      <c r="B219" s="227"/>
    </row>
    <row r="220" spans="2:2" ht="12.75" customHeight="1" x14ac:dyDescent="0.2">
      <c r="B220" s="227"/>
    </row>
    <row r="221" spans="2:2" ht="12.75" customHeight="1" x14ac:dyDescent="0.2">
      <c r="B221" s="227"/>
    </row>
    <row r="222" spans="2:2" ht="12.75" customHeight="1" x14ac:dyDescent="0.2">
      <c r="B222" s="227"/>
    </row>
    <row r="223" spans="2:2" ht="12.75" customHeight="1" x14ac:dyDescent="0.2">
      <c r="B223" s="227"/>
    </row>
    <row r="224" spans="2:2" ht="12.75" customHeight="1" x14ac:dyDescent="0.2">
      <c r="B224" s="227"/>
    </row>
    <row r="225" spans="2:2" ht="12.75" customHeight="1" x14ac:dyDescent="0.2">
      <c r="B225" s="227"/>
    </row>
    <row r="226" spans="2:2" ht="12.75" customHeight="1" x14ac:dyDescent="0.2">
      <c r="B226" s="227"/>
    </row>
    <row r="227" spans="2:2" ht="12.75" customHeight="1" x14ac:dyDescent="0.2">
      <c r="B227" s="227"/>
    </row>
    <row r="228" spans="2:2" ht="12.75" customHeight="1" x14ac:dyDescent="0.2">
      <c r="B228" s="227"/>
    </row>
    <row r="229" spans="2:2" ht="12.75" customHeight="1" x14ac:dyDescent="0.2">
      <c r="B229" s="227"/>
    </row>
    <row r="230" spans="2:2" ht="12.75" customHeight="1" x14ac:dyDescent="0.2">
      <c r="B230" s="227"/>
    </row>
    <row r="231" spans="2:2" ht="12.75" customHeight="1" x14ac:dyDescent="0.2">
      <c r="B231" s="227"/>
    </row>
    <row r="232" spans="2:2" ht="12.75" customHeight="1" x14ac:dyDescent="0.2">
      <c r="B232" s="227"/>
    </row>
    <row r="233" spans="2:2" ht="12.75" customHeight="1" x14ac:dyDescent="0.2">
      <c r="B233" s="227"/>
    </row>
    <row r="234" spans="2:2" ht="12.75" customHeight="1" x14ac:dyDescent="0.2">
      <c r="B234" s="227"/>
    </row>
    <row r="235" spans="2:2" ht="12.75" customHeight="1" x14ac:dyDescent="0.2">
      <c r="B235" s="227"/>
    </row>
    <row r="236" spans="2:2" ht="12.75" customHeight="1" x14ac:dyDescent="0.2">
      <c r="B236" s="227"/>
    </row>
    <row r="237" spans="2:2" ht="12.75" customHeight="1" x14ac:dyDescent="0.2">
      <c r="B237" s="227"/>
    </row>
    <row r="238" spans="2:2" ht="12.75" customHeight="1" x14ac:dyDescent="0.2">
      <c r="B238" s="227"/>
    </row>
    <row r="239" spans="2:2" ht="12.75" customHeight="1" x14ac:dyDescent="0.2">
      <c r="B239" s="227"/>
    </row>
    <row r="240" spans="2:2" ht="12.75" customHeight="1" x14ac:dyDescent="0.2">
      <c r="B240" s="227"/>
    </row>
    <row r="241" spans="2:2" ht="12.75" customHeight="1" x14ac:dyDescent="0.2">
      <c r="B241" s="227"/>
    </row>
    <row r="242" spans="2:2" ht="12.75" customHeight="1" x14ac:dyDescent="0.2">
      <c r="B242" s="227"/>
    </row>
    <row r="243" spans="2:2" ht="12.75" customHeight="1" x14ac:dyDescent="0.2">
      <c r="B243" s="227"/>
    </row>
    <row r="244" spans="2:2" ht="12.75" customHeight="1" x14ac:dyDescent="0.2">
      <c r="B244" s="227"/>
    </row>
    <row r="245" spans="2:2" ht="12.75" customHeight="1" x14ac:dyDescent="0.2">
      <c r="B245" s="227"/>
    </row>
    <row r="246" spans="2:2" ht="12.75" customHeight="1" x14ac:dyDescent="0.2">
      <c r="B246" s="227"/>
    </row>
    <row r="247" spans="2:2" ht="12.75" customHeight="1" x14ac:dyDescent="0.2">
      <c r="B247" s="227"/>
    </row>
    <row r="248" spans="2:2" ht="12.75" customHeight="1" x14ac:dyDescent="0.2">
      <c r="B248" s="227"/>
    </row>
    <row r="249" spans="2:2" ht="12.75" customHeight="1" x14ac:dyDescent="0.2">
      <c r="B249" s="227"/>
    </row>
    <row r="250" spans="2:2" ht="12.75" customHeight="1" x14ac:dyDescent="0.2">
      <c r="B250" s="227"/>
    </row>
    <row r="251" spans="2:2" ht="12.75" customHeight="1" x14ac:dyDescent="0.2">
      <c r="B251" s="227"/>
    </row>
    <row r="252" spans="2:2" ht="12.75" customHeight="1" x14ac:dyDescent="0.2">
      <c r="B252" s="227"/>
    </row>
    <row r="253" spans="2:2" ht="12.75" customHeight="1" x14ac:dyDescent="0.2">
      <c r="B253" s="227"/>
    </row>
    <row r="254" spans="2:2" ht="12.75" customHeight="1" x14ac:dyDescent="0.2">
      <c r="B254" s="227"/>
    </row>
    <row r="255" spans="2:2" ht="12.75" customHeight="1" x14ac:dyDescent="0.2">
      <c r="B255" s="227"/>
    </row>
    <row r="256" spans="2:2" ht="12.75" customHeight="1" x14ac:dyDescent="0.2">
      <c r="B256" s="227"/>
    </row>
    <row r="257" spans="2:2" ht="12.75" customHeight="1" x14ac:dyDescent="0.2">
      <c r="B257" s="227"/>
    </row>
    <row r="258" spans="2:2" ht="12.75" customHeight="1" x14ac:dyDescent="0.2">
      <c r="B258" s="227"/>
    </row>
    <row r="259" spans="2:2" ht="12.75" customHeight="1" x14ac:dyDescent="0.2">
      <c r="B259" s="227"/>
    </row>
    <row r="260" spans="2:2" ht="12.75" customHeight="1" x14ac:dyDescent="0.2">
      <c r="B260" s="227"/>
    </row>
    <row r="261" spans="2:2" ht="12.75" customHeight="1" x14ac:dyDescent="0.2">
      <c r="B261" s="227"/>
    </row>
    <row r="262" spans="2:2" ht="12.75" customHeight="1" x14ac:dyDescent="0.2">
      <c r="B262" s="227"/>
    </row>
    <row r="263" spans="2:2" ht="12.75" customHeight="1" x14ac:dyDescent="0.2">
      <c r="B263" s="227"/>
    </row>
    <row r="264" spans="2:2" ht="12.75" customHeight="1" x14ac:dyDescent="0.2">
      <c r="B264" s="227"/>
    </row>
    <row r="265" spans="2:2" ht="12.75" customHeight="1" x14ac:dyDescent="0.2">
      <c r="B265" s="227"/>
    </row>
    <row r="266" spans="2:2" ht="12.75" customHeight="1" x14ac:dyDescent="0.2">
      <c r="B266" s="227"/>
    </row>
    <row r="267" spans="2:2" ht="12.75" customHeight="1" x14ac:dyDescent="0.2">
      <c r="B267" s="227"/>
    </row>
    <row r="268" spans="2:2" ht="12.75" customHeight="1" x14ac:dyDescent="0.2">
      <c r="B268" s="227"/>
    </row>
    <row r="269" spans="2:2" ht="12.75" customHeight="1" x14ac:dyDescent="0.2">
      <c r="B269" s="227"/>
    </row>
    <row r="270" spans="2:2" ht="12.75" customHeight="1" x14ac:dyDescent="0.2">
      <c r="B270" s="227"/>
    </row>
    <row r="271" spans="2:2" ht="12.75" customHeight="1" x14ac:dyDescent="0.2">
      <c r="B271" s="227"/>
    </row>
    <row r="272" spans="2:2" ht="12.75" customHeight="1" x14ac:dyDescent="0.2">
      <c r="B272" s="227"/>
    </row>
    <row r="273" spans="2:2" ht="12.75" customHeight="1" x14ac:dyDescent="0.2">
      <c r="B273" s="227"/>
    </row>
    <row r="274" spans="2:2" ht="12.75" customHeight="1" x14ac:dyDescent="0.2">
      <c r="B274" s="227"/>
    </row>
    <row r="275" spans="2:2" ht="12.75" customHeight="1" x14ac:dyDescent="0.2">
      <c r="B275" s="227"/>
    </row>
    <row r="276" spans="2:2" ht="12.75" customHeight="1" x14ac:dyDescent="0.2">
      <c r="B276" s="227"/>
    </row>
    <row r="277" spans="2:2" ht="12.75" customHeight="1" x14ac:dyDescent="0.2">
      <c r="B277" s="227"/>
    </row>
    <row r="278" spans="2:2" ht="12.75" customHeight="1" x14ac:dyDescent="0.2">
      <c r="B278" s="227"/>
    </row>
    <row r="279" spans="2:2" ht="12.75" customHeight="1" x14ac:dyDescent="0.2">
      <c r="B279" s="227"/>
    </row>
    <row r="280" spans="2:2" ht="12.75" customHeight="1" x14ac:dyDescent="0.2">
      <c r="B280" s="227"/>
    </row>
    <row r="281" spans="2:2" ht="12.75" customHeight="1" x14ac:dyDescent="0.2">
      <c r="B281" s="227"/>
    </row>
    <row r="282" spans="2:2" ht="12.75" customHeight="1" x14ac:dyDescent="0.2">
      <c r="B282" s="227"/>
    </row>
    <row r="283" spans="2:2" ht="12.75" customHeight="1" x14ac:dyDescent="0.2">
      <c r="B283" s="227"/>
    </row>
    <row r="284" spans="2:2" ht="12.75" customHeight="1" x14ac:dyDescent="0.2">
      <c r="B284" s="227"/>
    </row>
    <row r="285" spans="2:2" ht="12.75" customHeight="1" x14ac:dyDescent="0.2">
      <c r="B285" s="227"/>
    </row>
    <row r="286" spans="2:2" ht="12.75" customHeight="1" x14ac:dyDescent="0.2">
      <c r="B286" s="227"/>
    </row>
    <row r="287" spans="2:2" ht="12.75" customHeight="1" x14ac:dyDescent="0.2">
      <c r="B287" s="227"/>
    </row>
    <row r="288" spans="2:2" ht="12.75" customHeight="1" x14ac:dyDescent="0.2">
      <c r="B288" s="227"/>
    </row>
    <row r="289" spans="2:2" ht="12.75" customHeight="1" x14ac:dyDescent="0.2">
      <c r="B289" s="227"/>
    </row>
    <row r="290" spans="2:2" ht="12.75" customHeight="1" x14ac:dyDescent="0.2">
      <c r="B290" s="227"/>
    </row>
    <row r="291" spans="2:2" ht="12.75" customHeight="1" x14ac:dyDescent="0.2">
      <c r="B291" s="227"/>
    </row>
    <row r="292" spans="2:2" ht="12.75" customHeight="1" x14ac:dyDescent="0.2">
      <c r="B292" s="227"/>
    </row>
    <row r="293" spans="2:2" ht="12.75" customHeight="1" x14ac:dyDescent="0.2">
      <c r="B293" s="227"/>
    </row>
    <row r="294" spans="2:2" ht="12.75" customHeight="1" x14ac:dyDescent="0.2">
      <c r="B294" s="227"/>
    </row>
    <row r="295" spans="2:2" ht="12.75" customHeight="1" x14ac:dyDescent="0.2">
      <c r="B295" s="227"/>
    </row>
    <row r="296" spans="2:2" ht="12.75" customHeight="1" x14ac:dyDescent="0.2">
      <c r="B296" s="227"/>
    </row>
    <row r="297" spans="2:2" ht="12.75" customHeight="1" x14ac:dyDescent="0.2">
      <c r="B297" s="227"/>
    </row>
    <row r="298" spans="2:2" ht="12.75" customHeight="1" x14ac:dyDescent="0.2">
      <c r="B298" s="227"/>
    </row>
    <row r="299" spans="2:2" ht="12.75" customHeight="1" x14ac:dyDescent="0.2">
      <c r="B299" s="227"/>
    </row>
    <row r="300" spans="2:2" ht="12.75" customHeight="1" x14ac:dyDescent="0.2">
      <c r="B300" s="227"/>
    </row>
    <row r="301" spans="2:2" ht="12.75" customHeight="1" x14ac:dyDescent="0.2">
      <c r="B301" s="227"/>
    </row>
    <row r="302" spans="2:2" ht="12.75" customHeight="1" x14ac:dyDescent="0.2">
      <c r="B302" s="227"/>
    </row>
    <row r="303" spans="2:2" ht="12.75" customHeight="1" x14ac:dyDescent="0.2">
      <c r="B303" s="227"/>
    </row>
    <row r="304" spans="2:2" ht="12.75" customHeight="1" x14ac:dyDescent="0.2">
      <c r="B304" s="227"/>
    </row>
    <row r="305" spans="2:2" ht="12.75" customHeight="1" x14ac:dyDescent="0.2">
      <c r="B305" s="227"/>
    </row>
    <row r="306" spans="2:2" ht="12.75" customHeight="1" x14ac:dyDescent="0.2">
      <c r="B306" s="227"/>
    </row>
    <row r="307" spans="2:2" ht="12.75" customHeight="1" x14ac:dyDescent="0.2">
      <c r="B307" s="227"/>
    </row>
    <row r="308" spans="2:2" ht="12.75" customHeight="1" x14ac:dyDescent="0.2">
      <c r="B308" s="227"/>
    </row>
    <row r="309" spans="2:2" ht="12.75" customHeight="1" x14ac:dyDescent="0.2">
      <c r="B309" s="227"/>
    </row>
    <row r="310" spans="2:2" ht="12.75" customHeight="1" x14ac:dyDescent="0.2">
      <c r="B310" s="227"/>
    </row>
    <row r="311" spans="2:2" ht="12.75" customHeight="1" x14ac:dyDescent="0.2">
      <c r="B311" s="227"/>
    </row>
    <row r="312" spans="2:2" ht="12.75" customHeight="1" x14ac:dyDescent="0.2">
      <c r="B312" s="227"/>
    </row>
    <row r="313" spans="2:2" ht="12.75" customHeight="1" x14ac:dyDescent="0.2">
      <c r="B313" s="227"/>
    </row>
    <row r="314" spans="2:2" ht="12.75" customHeight="1" x14ac:dyDescent="0.2">
      <c r="B314" s="227"/>
    </row>
    <row r="315" spans="2:2" ht="12.75" customHeight="1" x14ac:dyDescent="0.2">
      <c r="B315" s="227"/>
    </row>
    <row r="316" spans="2:2" ht="12.75" customHeight="1" x14ac:dyDescent="0.2">
      <c r="B316" s="227"/>
    </row>
    <row r="317" spans="2:2" ht="12.75" customHeight="1" x14ac:dyDescent="0.2">
      <c r="B317" s="227"/>
    </row>
    <row r="318" spans="2:2" ht="12.75" customHeight="1" x14ac:dyDescent="0.2">
      <c r="B318" s="227"/>
    </row>
    <row r="319" spans="2:2" ht="12.75" customHeight="1" x14ac:dyDescent="0.2">
      <c r="B319" s="227"/>
    </row>
    <row r="320" spans="2:2" ht="12.75" customHeight="1" x14ac:dyDescent="0.2">
      <c r="B320" s="227"/>
    </row>
    <row r="321" spans="2:2" ht="12.75" customHeight="1" x14ac:dyDescent="0.2">
      <c r="B321" s="227"/>
    </row>
    <row r="322" spans="2:2" ht="12.75" customHeight="1" x14ac:dyDescent="0.2">
      <c r="B322" s="227"/>
    </row>
    <row r="323" spans="2:2" ht="12.75" customHeight="1" x14ac:dyDescent="0.2">
      <c r="B323" s="227"/>
    </row>
    <row r="324" spans="2:2" ht="12.75" customHeight="1" x14ac:dyDescent="0.2">
      <c r="B324" s="227"/>
    </row>
    <row r="325" spans="2:2" ht="12.75" customHeight="1" x14ac:dyDescent="0.2">
      <c r="B325" s="227"/>
    </row>
    <row r="326" spans="2:2" ht="12.75" customHeight="1" x14ac:dyDescent="0.2">
      <c r="B326" s="227"/>
    </row>
    <row r="327" spans="2:2" ht="12.75" customHeight="1" x14ac:dyDescent="0.2">
      <c r="B327" s="227"/>
    </row>
    <row r="328" spans="2:2" ht="12.75" customHeight="1" x14ac:dyDescent="0.2">
      <c r="B328" s="227"/>
    </row>
    <row r="329" spans="2:2" ht="12.75" customHeight="1" x14ac:dyDescent="0.2">
      <c r="B329" s="227"/>
    </row>
    <row r="330" spans="2:2" ht="12.75" customHeight="1" x14ac:dyDescent="0.2">
      <c r="B330" s="227"/>
    </row>
    <row r="331" spans="2:2" ht="12.75" customHeight="1" x14ac:dyDescent="0.2">
      <c r="B331" s="227"/>
    </row>
    <row r="332" spans="2:2" ht="12.75" customHeight="1" x14ac:dyDescent="0.2">
      <c r="B332" s="227"/>
    </row>
    <row r="333" spans="2:2" ht="12.75" customHeight="1" x14ac:dyDescent="0.2">
      <c r="B333" s="227"/>
    </row>
    <row r="334" spans="2:2" ht="12.75" customHeight="1" x14ac:dyDescent="0.2">
      <c r="B334" s="227"/>
    </row>
    <row r="335" spans="2:2" ht="12.75" customHeight="1" x14ac:dyDescent="0.2">
      <c r="B335" s="227"/>
    </row>
    <row r="336" spans="2:2" ht="12.75" customHeight="1" x14ac:dyDescent="0.2">
      <c r="B336" s="227"/>
    </row>
    <row r="337" spans="2:2" ht="12.75" customHeight="1" x14ac:dyDescent="0.2">
      <c r="B337" s="227"/>
    </row>
    <row r="338" spans="2:2" ht="12.75" customHeight="1" x14ac:dyDescent="0.2">
      <c r="B338" s="227"/>
    </row>
    <row r="339" spans="2:2" ht="12.75" customHeight="1" x14ac:dyDescent="0.2">
      <c r="B339" s="227"/>
    </row>
    <row r="340" spans="2:2" ht="12.75" customHeight="1" x14ac:dyDescent="0.2">
      <c r="B340" s="227"/>
    </row>
    <row r="341" spans="2:2" ht="12.75" customHeight="1" x14ac:dyDescent="0.2">
      <c r="B341" s="227"/>
    </row>
    <row r="342" spans="2:2" ht="12.75" customHeight="1" x14ac:dyDescent="0.2">
      <c r="B342" s="227"/>
    </row>
    <row r="343" spans="2:2" ht="12.75" customHeight="1" x14ac:dyDescent="0.2">
      <c r="B343" s="227"/>
    </row>
    <row r="344" spans="2:2" ht="12.75" customHeight="1" x14ac:dyDescent="0.2">
      <c r="B344" s="227"/>
    </row>
    <row r="345" spans="2:2" ht="12.75" customHeight="1" x14ac:dyDescent="0.2">
      <c r="B345" s="227"/>
    </row>
    <row r="346" spans="2:2" ht="12.75" customHeight="1" x14ac:dyDescent="0.2">
      <c r="B346" s="227"/>
    </row>
    <row r="347" spans="2:2" ht="12.75" customHeight="1" x14ac:dyDescent="0.2">
      <c r="B347" s="227"/>
    </row>
    <row r="348" spans="2:2" ht="12.75" customHeight="1" x14ac:dyDescent="0.2">
      <c r="B348" s="227"/>
    </row>
    <row r="349" spans="2:2" ht="12.75" customHeight="1" x14ac:dyDescent="0.2">
      <c r="B349" s="227"/>
    </row>
    <row r="350" spans="2:2" ht="12.75" customHeight="1" x14ac:dyDescent="0.2">
      <c r="B350" s="227"/>
    </row>
    <row r="351" spans="2:2" ht="12.75" customHeight="1" x14ac:dyDescent="0.2">
      <c r="B351" s="227"/>
    </row>
    <row r="352" spans="2:2" ht="12.75" customHeight="1" x14ac:dyDescent="0.2">
      <c r="B352" s="227"/>
    </row>
    <row r="353" spans="2:2" ht="12.75" customHeight="1" x14ac:dyDescent="0.2">
      <c r="B353" s="227"/>
    </row>
    <row r="354" spans="2:2" ht="12.75" customHeight="1" x14ac:dyDescent="0.2">
      <c r="B354" s="227"/>
    </row>
    <row r="355" spans="2:2" ht="12.75" customHeight="1" x14ac:dyDescent="0.2">
      <c r="B355" s="227"/>
    </row>
    <row r="356" spans="2:2" ht="12.75" customHeight="1" x14ac:dyDescent="0.2">
      <c r="B356" s="227"/>
    </row>
    <row r="357" spans="2:2" ht="12.75" customHeight="1" x14ac:dyDescent="0.2">
      <c r="B357" s="227"/>
    </row>
    <row r="358" spans="2:2" ht="12.75" customHeight="1" x14ac:dyDescent="0.2">
      <c r="B358" s="227"/>
    </row>
    <row r="359" spans="2:2" ht="12.75" customHeight="1" x14ac:dyDescent="0.2">
      <c r="B359" s="227"/>
    </row>
    <row r="360" spans="2:2" ht="12.75" customHeight="1" x14ac:dyDescent="0.2">
      <c r="B360" s="227"/>
    </row>
    <row r="361" spans="2:2" ht="12.75" customHeight="1" x14ac:dyDescent="0.2">
      <c r="B361" s="227"/>
    </row>
    <row r="362" spans="2:2" ht="12.75" customHeight="1" x14ac:dyDescent="0.2">
      <c r="B362" s="227"/>
    </row>
    <row r="363" spans="2:2" ht="12.75" customHeight="1" x14ac:dyDescent="0.2">
      <c r="B363" s="227"/>
    </row>
    <row r="364" spans="2:2" ht="12.75" customHeight="1" x14ac:dyDescent="0.2">
      <c r="B364" s="227"/>
    </row>
    <row r="365" spans="2:2" ht="12.75" customHeight="1" x14ac:dyDescent="0.2">
      <c r="B365" s="227"/>
    </row>
    <row r="366" spans="2:2" ht="12.75" customHeight="1" x14ac:dyDescent="0.2">
      <c r="B366" s="227"/>
    </row>
    <row r="367" spans="2:2" ht="12.75" customHeight="1" x14ac:dyDescent="0.2">
      <c r="B367" s="227"/>
    </row>
    <row r="368" spans="2:2" ht="12.75" customHeight="1" x14ac:dyDescent="0.2">
      <c r="B368" s="227"/>
    </row>
    <row r="369" spans="2:2" ht="12.75" customHeight="1" x14ac:dyDescent="0.2">
      <c r="B369" s="227"/>
    </row>
    <row r="370" spans="2:2" ht="12.75" customHeight="1" x14ac:dyDescent="0.2">
      <c r="B370" s="227"/>
    </row>
    <row r="371" spans="2:2" ht="12.75" customHeight="1" x14ac:dyDescent="0.2">
      <c r="B371" s="227"/>
    </row>
    <row r="372" spans="2:2" ht="12.75" customHeight="1" x14ac:dyDescent="0.2">
      <c r="B372" s="227"/>
    </row>
    <row r="373" spans="2:2" ht="12.75" customHeight="1" x14ac:dyDescent="0.2">
      <c r="B373" s="227"/>
    </row>
    <row r="374" spans="2:2" ht="12.75" customHeight="1" x14ac:dyDescent="0.2">
      <c r="B374" s="227"/>
    </row>
    <row r="375" spans="2:2" ht="12.75" customHeight="1" x14ac:dyDescent="0.2">
      <c r="B375" s="227"/>
    </row>
    <row r="376" spans="2:2" ht="12.75" customHeight="1" x14ac:dyDescent="0.2">
      <c r="B376" s="227"/>
    </row>
    <row r="377" spans="2:2" ht="12.75" customHeight="1" x14ac:dyDescent="0.2">
      <c r="B377" s="227"/>
    </row>
    <row r="378" spans="2:2" ht="12.75" customHeight="1" x14ac:dyDescent="0.2">
      <c r="B378" s="227"/>
    </row>
    <row r="379" spans="2:2" ht="12.75" customHeight="1" x14ac:dyDescent="0.2">
      <c r="B379" s="227"/>
    </row>
    <row r="380" spans="2:2" ht="12.75" customHeight="1" x14ac:dyDescent="0.2">
      <c r="B380" s="227"/>
    </row>
    <row r="381" spans="2:2" ht="12.75" customHeight="1" x14ac:dyDescent="0.2">
      <c r="B381" s="227"/>
    </row>
    <row r="382" spans="2:2" ht="12.75" customHeight="1" x14ac:dyDescent="0.2">
      <c r="B382" s="227"/>
    </row>
    <row r="383" spans="2:2" ht="12.75" customHeight="1" x14ac:dyDescent="0.2">
      <c r="B383" s="227"/>
    </row>
    <row r="384" spans="2:2" ht="12.75" customHeight="1" x14ac:dyDescent="0.2">
      <c r="B384" s="227"/>
    </row>
    <row r="385" spans="2:2" ht="12.75" customHeight="1" x14ac:dyDescent="0.2">
      <c r="B385" s="227"/>
    </row>
    <row r="386" spans="2:2" ht="12.75" customHeight="1" x14ac:dyDescent="0.2">
      <c r="B386" s="227"/>
    </row>
    <row r="387" spans="2:2" ht="12.75" customHeight="1" x14ac:dyDescent="0.2">
      <c r="B387" s="227"/>
    </row>
    <row r="388" spans="2:2" ht="12.75" customHeight="1" x14ac:dyDescent="0.2">
      <c r="B388" s="227"/>
    </row>
    <row r="389" spans="2:2" ht="12.75" customHeight="1" x14ac:dyDescent="0.2">
      <c r="B389" s="227"/>
    </row>
    <row r="390" spans="2:2" ht="12.75" customHeight="1" x14ac:dyDescent="0.2">
      <c r="B390" s="227"/>
    </row>
    <row r="391" spans="2:2" ht="12.75" customHeight="1" x14ac:dyDescent="0.2">
      <c r="B391" s="227"/>
    </row>
    <row r="392" spans="2:2" ht="12.75" customHeight="1" x14ac:dyDescent="0.2">
      <c r="B392" s="227"/>
    </row>
    <row r="393" spans="2:2" ht="12.75" customHeight="1" x14ac:dyDescent="0.2">
      <c r="B393" s="227"/>
    </row>
    <row r="394" spans="2:2" ht="12.75" customHeight="1" x14ac:dyDescent="0.2">
      <c r="B394" s="227"/>
    </row>
    <row r="395" spans="2:2" ht="12.75" customHeight="1" x14ac:dyDescent="0.2">
      <c r="B395" s="227"/>
    </row>
    <row r="396" spans="2:2" ht="12.75" customHeight="1" x14ac:dyDescent="0.2">
      <c r="B396" s="227"/>
    </row>
    <row r="397" spans="2:2" ht="12.75" customHeight="1" x14ac:dyDescent="0.2">
      <c r="B397" s="227"/>
    </row>
    <row r="398" spans="2:2" ht="12.75" customHeight="1" x14ac:dyDescent="0.2">
      <c r="B398" s="227"/>
    </row>
    <row r="399" spans="2:2" ht="12.75" customHeight="1" x14ac:dyDescent="0.2">
      <c r="B399" s="227"/>
    </row>
    <row r="400" spans="2:2" ht="12.75" customHeight="1" x14ac:dyDescent="0.2">
      <c r="B400" s="227"/>
    </row>
    <row r="401" spans="2:2" ht="12.75" customHeight="1" x14ac:dyDescent="0.2">
      <c r="B401" s="227"/>
    </row>
    <row r="402" spans="2:2" ht="12.75" customHeight="1" x14ac:dyDescent="0.2">
      <c r="B402" s="227"/>
    </row>
    <row r="403" spans="2:2" ht="12.75" customHeight="1" x14ac:dyDescent="0.2">
      <c r="B403" s="227"/>
    </row>
    <row r="404" spans="2:2" ht="12.75" customHeight="1" x14ac:dyDescent="0.2">
      <c r="B404" s="227"/>
    </row>
    <row r="405" spans="2:2" ht="12.75" customHeight="1" x14ac:dyDescent="0.2">
      <c r="B405" s="227"/>
    </row>
    <row r="406" spans="2:2" ht="12.75" customHeight="1" x14ac:dyDescent="0.2">
      <c r="B406" s="227"/>
    </row>
    <row r="407" spans="2:2" ht="12.75" customHeight="1" x14ac:dyDescent="0.2">
      <c r="B407" s="227"/>
    </row>
    <row r="408" spans="2:2" ht="12.75" customHeight="1" x14ac:dyDescent="0.2">
      <c r="B408" s="227"/>
    </row>
    <row r="409" spans="2:2" ht="12.75" customHeight="1" x14ac:dyDescent="0.2">
      <c r="B409" s="227"/>
    </row>
    <row r="410" spans="2:2" ht="12.75" customHeight="1" x14ac:dyDescent="0.2">
      <c r="B410" s="227"/>
    </row>
    <row r="411" spans="2:2" ht="12.75" customHeight="1" x14ac:dyDescent="0.2">
      <c r="B411" s="227"/>
    </row>
    <row r="412" spans="2:2" ht="12.75" customHeight="1" x14ac:dyDescent="0.2">
      <c r="B412" s="227"/>
    </row>
    <row r="413" spans="2:2" ht="12.75" customHeight="1" x14ac:dyDescent="0.2">
      <c r="B413" s="227"/>
    </row>
    <row r="414" spans="2:2" ht="12.75" customHeight="1" x14ac:dyDescent="0.2">
      <c r="B414" s="227"/>
    </row>
    <row r="415" spans="2:2" ht="12.75" customHeight="1" x14ac:dyDescent="0.2">
      <c r="B415" s="227"/>
    </row>
    <row r="416" spans="2:2" ht="12.75" customHeight="1" x14ac:dyDescent="0.2">
      <c r="B416" s="227"/>
    </row>
    <row r="417" spans="2:2" ht="12.75" customHeight="1" x14ac:dyDescent="0.2">
      <c r="B417" s="227"/>
    </row>
    <row r="418" spans="2:2" ht="12.75" customHeight="1" x14ac:dyDescent="0.2">
      <c r="B418" s="227"/>
    </row>
    <row r="419" spans="2:2" ht="12.75" customHeight="1" x14ac:dyDescent="0.2">
      <c r="B419" s="227"/>
    </row>
    <row r="420" spans="2:2" ht="12.75" customHeight="1" x14ac:dyDescent="0.2">
      <c r="B420" s="227"/>
    </row>
    <row r="421" spans="2:2" ht="12.75" customHeight="1" x14ac:dyDescent="0.2">
      <c r="B421" s="227"/>
    </row>
    <row r="422" spans="2:2" ht="12.75" customHeight="1" x14ac:dyDescent="0.2">
      <c r="B422" s="227"/>
    </row>
    <row r="423" spans="2:2" ht="12.75" customHeight="1" x14ac:dyDescent="0.2">
      <c r="B423" s="227"/>
    </row>
    <row r="424" spans="2:2" ht="12.75" customHeight="1" x14ac:dyDescent="0.2">
      <c r="B424" s="227"/>
    </row>
    <row r="425" spans="2:2" ht="12.75" customHeight="1" x14ac:dyDescent="0.2">
      <c r="B425" s="227"/>
    </row>
    <row r="426" spans="2:2" ht="12.75" customHeight="1" x14ac:dyDescent="0.2">
      <c r="B426" s="227"/>
    </row>
    <row r="427" spans="2:2" ht="12.75" customHeight="1" x14ac:dyDescent="0.2">
      <c r="B427" s="227"/>
    </row>
    <row r="428" spans="2:2" ht="12.75" customHeight="1" x14ac:dyDescent="0.2">
      <c r="B428" s="227"/>
    </row>
    <row r="429" spans="2:2" ht="12.75" customHeight="1" x14ac:dyDescent="0.2">
      <c r="B429" s="227"/>
    </row>
    <row r="430" spans="2:2" ht="12.75" customHeight="1" x14ac:dyDescent="0.2">
      <c r="B430" s="227"/>
    </row>
    <row r="431" spans="2:2" ht="12.75" customHeight="1" x14ac:dyDescent="0.2">
      <c r="B431" s="227"/>
    </row>
    <row r="432" spans="2:2" ht="12.75" customHeight="1" x14ac:dyDescent="0.2">
      <c r="B432" s="227"/>
    </row>
    <row r="433" spans="2:2" ht="12.75" customHeight="1" x14ac:dyDescent="0.2">
      <c r="B433" s="227"/>
    </row>
    <row r="434" spans="2:2" ht="12.75" customHeight="1" x14ac:dyDescent="0.2">
      <c r="B434" s="227"/>
    </row>
    <row r="435" spans="2:2" ht="12.75" customHeight="1" x14ac:dyDescent="0.2">
      <c r="B435" s="227"/>
    </row>
    <row r="436" spans="2:2" ht="12.75" customHeight="1" x14ac:dyDescent="0.2">
      <c r="B436" s="227"/>
    </row>
    <row r="437" spans="2:2" ht="12.75" customHeight="1" x14ac:dyDescent="0.2">
      <c r="B437" s="227"/>
    </row>
    <row r="438" spans="2:2" ht="12.75" customHeight="1" x14ac:dyDescent="0.2">
      <c r="B438" s="227"/>
    </row>
    <row r="439" spans="2:2" ht="12.75" customHeight="1" x14ac:dyDescent="0.2">
      <c r="B439" s="227"/>
    </row>
    <row r="440" spans="2:2" ht="12.75" customHeight="1" x14ac:dyDescent="0.2">
      <c r="B440" s="227"/>
    </row>
    <row r="441" spans="2:2" ht="12.75" customHeight="1" x14ac:dyDescent="0.2">
      <c r="B441" s="227"/>
    </row>
    <row r="442" spans="2:2" ht="12.75" customHeight="1" x14ac:dyDescent="0.2">
      <c r="B442" s="227"/>
    </row>
    <row r="443" spans="2:2" ht="12.75" customHeight="1" x14ac:dyDescent="0.2">
      <c r="B443" s="227"/>
    </row>
    <row r="444" spans="2:2" ht="12.75" customHeight="1" x14ac:dyDescent="0.2">
      <c r="B444" s="227"/>
    </row>
    <row r="445" spans="2:2" ht="12.75" customHeight="1" x14ac:dyDescent="0.2">
      <c r="B445" s="227"/>
    </row>
    <row r="446" spans="2:2" ht="12.75" customHeight="1" x14ac:dyDescent="0.2">
      <c r="B446" s="227"/>
    </row>
    <row r="447" spans="2:2" ht="12.75" customHeight="1" x14ac:dyDescent="0.2">
      <c r="B447" s="227"/>
    </row>
    <row r="448" spans="2:2" ht="12.75" customHeight="1" x14ac:dyDescent="0.2">
      <c r="B448" s="227"/>
    </row>
    <row r="449" spans="2:2" ht="12.75" customHeight="1" x14ac:dyDescent="0.2">
      <c r="B449" s="227"/>
    </row>
    <row r="450" spans="2:2" ht="12.75" customHeight="1" x14ac:dyDescent="0.2">
      <c r="B450" s="227"/>
    </row>
    <row r="451" spans="2:2" ht="12.75" customHeight="1" x14ac:dyDescent="0.2">
      <c r="B451" s="227"/>
    </row>
    <row r="452" spans="2:2" ht="12.75" customHeight="1" x14ac:dyDescent="0.2">
      <c r="B452" s="227"/>
    </row>
    <row r="453" spans="2:2" ht="12.75" customHeight="1" x14ac:dyDescent="0.2">
      <c r="B453" s="227"/>
    </row>
    <row r="454" spans="2:2" ht="12.75" customHeight="1" x14ac:dyDescent="0.2">
      <c r="B454" s="227"/>
    </row>
    <row r="455" spans="2:2" ht="12.75" customHeight="1" x14ac:dyDescent="0.2">
      <c r="B455" s="227"/>
    </row>
    <row r="456" spans="2:2" ht="12.75" customHeight="1" x14ac:dyDescent="0.2">
      <c r="B456" s="227"/>
    </row>
    <row r="457" spans="2:2" ht="12.75" customHeight="1" x14ac:dyDescent="0.2">
      <c r="B457" s="227"/>
    </row>
    <row r="458" spans="2:2" ht="12.75" customHeight="1" x14ac:dyDescent="0.2">
      <c r="B458" s="227"/>
    </row>
    <row r="459" spans="2:2" ht="12.75" customHeight="1" x14ac:dyDescent="0.2">
      <c r="B459" s="227"/>
    </row>
    <row r="460" spans="2:2" ht="12.75" customHeight="1" x14ac:dyDescent="0.2">
      <c r="B460" s="227"/>
    </row>
    <row r="461" spans="2:2" ht="12.75" customHeight="1" x14ac:dyDescent="0.2">
      <c r="B461" s="227"/>
    </row>
    <row r="462" spans="2:2" ht="12.75" customHeight="1" x14ac:dyDescent="0.2">
      <c r="B462" s="227"/>
    </row>
    <row r="463" spans="2:2" ht="12.75" customHeight="1" x14ac:dyDescent="0.2">
      <c r="B463" s="227"/>
    </row>
    <row r="464" spans="2:2" ht="12.75" customHeight="1" x14ac:dyDescent="0.2">
      <c r="B464" s="227"/>
    </row>
    <row r="465" spans="2:2" ht="12.75" customHeight="1" x14ac:dyDescent="0.2">
      <c r="B465" s="227"/>
    </row>
    <row r="466" spans="2:2" ht="12.75" customHeight="1" x14ac:dyDescent="0.2">
      <c r="B466" s="227"/>
    </row>
    <row r="467" spans="2:2" ht="12.75" customHeight="1" x14ac:dyDescent="0.2">
      <c r="B467" s="227"/>
    </row>
    <row r="468" spans="2:2" ht="12.75" customHeight="1" x14ac:dyDescent="0.2">
      <c r="B468" s="227"/>
    </row>
    <row r="469" spans="2:2" ht="12.75" customHeight="1" x14ac:dyDescent="0.2">
      <c r="B469" s="227"/>
    </row>
    <row r="470" spans="2:2" ht="12.75" customHeight="1" x14ac:dyDescent="0.2">
      <c r="B470" s="227"/>
    </row>
    <row r="471" spans="2:2" ht="12.75" customHeight="1" x14ac:dyDescent="0.2">
      <c r="B471" s="227"/>
    </row>
    <row r="472" spans="2:2" ht="12.75" customHeight="1" x14ac:dyDescent="0.2">
      <c r="B472" s="227"/>
    </row>
    <row r="473" spans="2:2" ht="12.75" customHeight="1" x14ac:dyDescent="0.2">
      <c r="B473" s="227"/>
    </row>
    <row r="474" spans="2:2" ht="12.75" customHeight="1" x14ac:dyDescent="0.2">
      <c r="B474" s="227"/>
    </row>
    <row r="475" spans="2:2" ht="12.75" customHeight="1" x14ac:dyDescent="0.2">
      <c r="B475" s="227"/>
    </row>
    <row r="476" spans="2:2" ht="12.75" customHeight="1" x14ac:dyDescent="0.2">
      <c r="B476" s="227"/>
    </row>
    <row r="477" spans="2:2" ht="12.75" customHeight="1" x14ac:dyDescent="0.2">
      <c r="B477" s="227"/>
    </row>
    <row r="478" spans="2:2" ht="12.75" customHeight="1" x14ac:dyDescent="0.2">
      <c r="B478" s="227"/>
    </row>
    <row r="479" spans="2:2" ht="12.75" customHeight="1" x14ac:dyDescent="0.2">
      <c r="B479" s="227"/>
    </row>
    <row r="480" spans="2:2" ht="12.75" customHeight="1" x14ac:dyDescent="0.2">
      <c r="B480" s="227"/>
    </row>
    <row r="481" spans="2:2" ht="12.75" customHeight="1" x14ac:dyDescent="0.2">
      <c r="B481" s="227"/>
    </row>
    <row r="482" spans="2:2" ht="12.75" customHeight="1" x14ac:dyDescent="0.2">
      <c r="B482" s="227"/>
    </row>
    <row r="483" spans="2:2" ht="12.75" customHeight="1" x14ac:dyDescent="0.2">
      <c r="B483" s="227"/>
    </row>
    <row r="484" spans="2:2" ht="12.75" customHeight="1" x14ac:dyDescent="0.2">
      <c r="B484" s="227"/>
    </row>
    <row r="485" spans="2:2" ht="12.75" customHeight="1" x14ac:dyDescent="0.2">
      <c r="B485" s="227"/>
    </row>
    <row r="486" spans="2:2" ht="12.75" customHeight="1" x14ac:dyDescent="0.2">
      <c r="B486" s="227"/>
    </row>
    <row r="487" spans="2:2" ht="12.75" customHeight="1" x14ac:dyDescent="0.2">
      <c r="B487" s="227"/>
    </row>
    <row r="488" spans="2:2" ht="12.75" customHeight="1" x14ac:dyDescent="0.2">
      <c r="B488" s="227"/>
    </row>
    <row r="489" spans="2:2" ht="12.75" customHeight="1" x14ac:dyDescent="0.2">
      <c r="B489" s="227"/>
    </row>
    <row r="490" spans="2:2" ht="12.75" customHeight="1" x14ac:dyDescent="0.2">
      <c r="B490" s="227"/>
    </row>
    <row r="491" spans="2:2" ht="12.75" customHeight="1" x14ac:dyDescent="0.2">
      <c r="B491" s="227"/>
    </row>
    <row r="492" spans="2:2" ht="12.75" customHeight="1" x14ac:dyDescent="0.2">
      <c r="B492" s="227"/>
    </row>
    <row r="493" spans="2:2" ht="12.75" customHeight="1" x14ac:dyDescent="0.2">
      <c r="B493" s="227"/>
    </row>
    <row r="494" spans="2:2" ht="12.75" customHeight="1" x14ac:dyDescent="0.2">
      <c r="B494" s="227"/>
    </row>
    <row r="495" spans="2:2" ht="12.75" customHeight="1" x14ac:dyDescent="0.2">
      <c r="B495" s="227"/>
    </row>
    <row r="496" spans="2:2" ht="12.75" customHeight="1" x14ac:dyDescent="0.2">
      <c r="B496" s="227"/>
    </row>
    <row r="497" spans="2:2" ht="12.75" customHeight="1" x14ac:dyDescent="0.2">
      <c r="B497" s="227"/>
    </row>
    <row r="498" spans="2:2" ht="12.75" customHeight="1" x14ac:dyDescent="0.2">
      <c r="B498" s="227"/>
    </row>
    <row r="499" spans="2:2" ht="12.75" customHeight="1" x14ac:dyDescent="0.2">
      <c r="B499" s="227"/>
    </row>
    <row r="500" spans="2:2" ht="12.75" customHeight="1" x14ac:dyDescent="0.2">
      <c r="B500" s="227"/>
    </row>
    <row r="501" spans="2:2" ht="12.75" customHeight="1" x14ac:dyDescent="0.2">
      <c r="B501" s="227"/>
    </row>
    <row r="502" spans="2:2" ht="12.75" customHeight="1" x14ac:dyDescent="0.2">
      <c r="B502" s="227"/>
    </row>
    <row r="503" spans="2:2" ht="12.75" customHeight="1" x14ac:dyDescent="0.2">
      <c r="B503" s="227"/>
    </row>
    <row r="504" spans="2:2" ht="12.75" customHeight="1" x14ac:dyDescent="0.2">
      <c r="B504" s="227"/>
    </row>
    <row r="505" spans="2:2" ht="12.75" customHeight="1" x14ac:dyDescent="0.2">
      <c r="B505" s="227"/>
    </row>
    <row r="506" spans="2:2" ht="12.75" customHeight="1" x14ac:dyDescent="0.2">
      <c r="B506" s="227"/>
    </row>
    <row r="507" spans="2:2" ht="12.75" customHeight="1" x14ac:dyDescent="0.2">
      <c r="B507" s="227"/>
    </row>
    <row r="508" spans="2:2" ht="12.75" customHeight="1" x14ac:dyDescent="0.2">
      <c r="B508" s="227"/>
    </row>
    <row r="509" spans="2:2" ht="12.75" customHeight="1" x14ac:dyDescent="0.2">
      <c r="B509" s="227"/>
    </row>
    <row r="510" spans="2:2" ht="12.75" customHeight="1" x14ac:dyDescent="0.2">
      <c r="B510" s="227"/>
    </row>
    <row r="511" spans="2:2" ht="12.75" customHeight="1" x14ac:dyDescent="0.2">
      <c r="B511" s="227"/>
    </row>
    <row r="512" spans="2:2" ht="12.75" customHeight="1" x14ac:dyDescent="0.2">
      <c r="B512" s="227"/>
    </row>
    <row r="513" spans="2:2" ht="12.75" customHeight="1" x14ac:dyDescent="0.2">
      <c r="B513" s="227"/>
    </row>
    <row r="514" spans="2:2" ht="12.75" customHeight="1" x14ac:dyDescent="0.2">
      <c r="B514" s="227"/>
    </row>
    <row r="515" spans="2:2" ht="12.75" customHeight="1" x14ac:dyDescent="0.2">
      <c r="B515" s="227"/>
    </row>
    <row r="516" spans="2:2" ht="12.75" customHeight="1" x14ac:dyDescent="0.2">
      <c r="B516" s="227"/>
    </row>
    <row r="517" spans="2:2" ht="12.75" customHeight="1" x14ac:dyDescent="0.2">
      <c r="B517" s="227"/>
    </row>
    <row r="518" spans="2:2" ht="12.75" customHeight="1" x14ac:dyDescent="0.2">
      <c r="B518" s="227"/>
    </row>
    <row r="519" spans="2:2" ht="12.75" customHeight="1" x14ac:dyDescent="0.2">
      <c r="B519" s="227"/>
    </row>
    <row r="520" spans="2:2" ht="12.75" customHeight="1" x14ac:dyDescent="0.2">
      <c r="B520" s="227"/>
    </row>
    <row r="521" spans="2:2" ht="12.75" customHeight="1" x14ac:dyDescent="0.2">
      <c r="B521" s="227"/>
    </row>
    <row r="522" spans="2:2" ht="12.75" customHeight="1" x14ac:dyDescent="0.2">
      <c r="B522" s="227"/>
    </row>
    <row r="523" spans="2:2" ht="12.75" customHeight="1" x14ac:dyDescent="0.2">
      <c r="B523" s="227"/>
    </row>
    <row r="524" spans="2:2" ht="12.75" customHeight="1" x14ac:dyDescent="0.2">
      <c r="B524" s="227"/>
    </row>
    <row r="525" spans="2:2" ht="12.75" customHeight="1" x14ac:dyDescent="0.2">
      <c r="B525" s="227"/>
    </row>
    <row r="526" spans="2:2" ht="12.75" customHeight="1" x14ac:dyDescent="0.2">
      <c r="B526" s="227"/>
    </row>
    <row r="527" spans="2:2" ht="12.75" customHeight="1" x14ac:dyDescent="0.2">
      <c r="B527" s="227"/>
    </row>
    <row r="528" spans="2:2" ht="12.75" customHeight="1" x14ac:dyDescent="0.2">
      <c r="B528" s="227"/>
    </row>
    <row r="529" spans="2:2" ht="12.75" customHeight="1" x14ac:dyDescent="0.2">
      <c r="B529" s="227"/>
    </row>
    <row r="530" spans="2:2" ht="12.75" customHeight="1" x14ac:dyDescent="0.2">
      <c r="B530" s="227"/>
    </row>
    <row r="531" spans="2:2" ht="12.75" customHeight="1" x14ac:dyDescent="0.2">
      <c r="B531" s="227"/>
    </row>
    <row r="532" spans="2:2" ht="12.75" customHeight="1" x14ac:dyDescent="0.2">
      <c r="B532" s="227"/>
    </row>
    <row r="533" spans="2:2" ht="12.75" customHeight="1" x14ac:dyDescent="0.2">
      <c r="B533" s="227"/>
    </row>
    <row r="534" spans="2:2" ht="12.75" customHeight="1" x14ac:dyDescent="0.2">
      <c r="B534" s="227"/>
    </row>
    <row r="535" spans="2:2" ht="12.75" customHeight="1" x14ac:dyDescent="0.2">
      <c r="B535" s="227"/>
    </row>
    <row r="536" spans="2:2" ht="12.75" customHeight="1" x14ac:dyDescent="0.2">
      <c r="B536" s="227"/>
    </row>
    <row r="537" spans="2:2" ht="12.75" customHeight="1" x14ac:dyDescent="0.2">
      <c r="B537" s="227"/>
    </row>
    <row r="538" spans="2:2" ht="12.75" customHeight="1" x14ac:dyDescent="0.2">
      <c r="B538" s="227"/>
    </row>
    <row r="539" spans="2:2" ht="12.75" customHeight="1" x14ac:dyDescent="0.2">
      <c r="B539" s="227"/>
    </row>
    <row r="540" spans="2:2" ht="12.75" customHeight="1" x14ac:dyDescent="0.2">
      <c r="B540" s="227"/>
    </row>
    <row r="541" spans="2:2" ht="12.75" customHeight="1" x14ac:dyDescent="0.2">
      <c r="B541" s="227"/>
    </row>
    <row r="542" spans="2:2" ht="12.75" customHeight="1" x14ac:dyDescent="0.2">
      <c r="B542" s="227"/>
    </row>
    <row r="543" spans="2:2" ht="12.75" customHeight="1" x14ac:dyDescent="0.2">
      <c r="B543" s="227"/>
    </row>
    <row r="544" spans="2:2" ht="12.75" customHeight="1" x14ac:dyDescent="0.2">
      <c r="B544" s="227"/>
    </row>
    <row r="545" spans="2:2" ht="12.75" customHeight="1" x14ac:dyDescent="0.2">
      <c r="B545" s="227"/>
    </row>
    <row r="546" spans="2:2" ht="12.75" customHeight="1" x14ac:dyDescent="0.2">
      <c r="B546" s="227"/>
    </row>
    <row r="547" spans="2:2" ht="12.75" customHeight="1" x14ac:dyDescent="0.2">
      <c r="B547" s="227"/>
    </row>
    <row r="548" spans="2:2" ht="12.75" customHeight="1" x14ac:dyDescent="0.2">
      <c r="B548" s="227"/>
    </row>
    <row r="549" spans="2:2" ht="12.75" customHeight="1" x14ac:dyDescent="0.2">
      <c r="B549" s="227"/>
    </row>
    <row r="550" spans="2:2" ht="12.75" customHeight="1" x14ac:dyDescent="0.2">
      <c r="B550" s="227"/>
    </row>
    <row r="551" spans="2:2" ht="12.75" customHeight="1" x14ac:dyDescent="0.2">
      <c r="B551" s="227"/>
    </row>
    <row r="552" spans="2:2" ht="12.75" customHeight="1" x14ac:dyDescent="0.2">
      <c r="B552" s="227"/>
    </row>
    <row r="553" spans="2:2" ht="12.75" customHeight="1" x14ac:dyDescent="0.2">
      <c r="B553" s="227"/>
    </row>
    <row r="554" spans="2:2" ht="12.75" customHeight="1" x14ac:dyDescent="0.2">
      <c r="B554" s="227"/>
    </row>
    <row r="555" spans="2:2" ht="12.75" customHeight="1" x14ac:dyDescent="0.2">
      <c r="B555" s="227"/>
    </row>
    <row r="556" spans="2:2" ht="12.75" customHeight="1" x14ac:dyDescent="0.2">
      <c r="B556" s="227"/>
    </row>
    <row r="557" spans="2:2" ht="12.75" customHeight="1" x14ac:dyDescent="0.2">
      <c r="B557" s="227"/>
    </row>
    <row r="558" spans="2:2" ht="12.75" customHeight="1" x14ac:dyDescent="0.2">
      <c r="B558" s="227"/>
    </row>
    <row r="559" spans="2:2" ht="12.75" customHeight="1" x14ac:dyDescent="0.2">
      <c r="B559" s="227"/>
    </row>
    <row r="560" spans="2:2" ht="12.75" customHeight="1" x14ac:dyDescent="0.2">
      <c r="B560" s="227"/>
    </row>
    <row r="561" spans="2:2" ht="12.75" customHeight="1" x14ac:dyDescent="0.2">
      <c r="B561" s="227"/>
    </row>
    <row r="562" spans="2:2" ht="12.75" customHeight="1" x14ac:dyDescent="0.2">
      <c r="B562" s="227"/>
    </row>
    <row r="563" spans="2:2" ht="12.75" customHeight="1" x14ac:dyDescent="0.2">
      <c r="B563" s="227"/>
    </row>
    <row r="564" spans="2:2" ht="12.75" customHeight="1" x14ac:dyDescent="0.2">
      <c r="B564" s="227"/>
    </row>
    <row r="565" spans="2:2" ht="12.75" customHeight="1" x14ac:dyDescent="0.2">
      <c r="B565" s="227"/>
    </row>
    <row r="566" spans="2:2" ht="12.75" customHeight="1" x14ac:dyDescent="0.2">
      <c r="B566" s="227"/>
    </row>
    <row r="567" spans="2:2" ht="12.75" customHeight="1" x14ac:dyDescent="0.2">
      <c r="B567" s="227"/>
    </row>
    <row r="568" spans="2:2" ht="12.75" customHeight="1" x14ac:dyDescent="0.2">
      <c r="B568" s="227"/>
    </row>
    <row r="569" spans="2:2" ht="12.75" customHeight="1" x14ac:dyDescent="0.2">
      <c r="B569" s="227"/>
    </row>
    <row r="570" spans="2:2" ht="12.75" customHeight="1" x14ac:dyDescent="0.2">
      <c r="B570" s="227"/>
    </row>
    <row r="571" spans="2:2" ht="12.75" customHeight="1" x14ac:dyDescent="0.2">
      <c r="B571" s="227"/>
    </row>
    <row r="572" spans="2:2" ht="12.75" customHeight="1" x14ac:dyDescent="0.2">
      <c r="B572" s="227"/>
    </row>
    <row r="573" spans="2:2" ht="12.75" customHeight="1" x14ac:dyDescent="0.2">
      <c r="B573" s="227"/>
    </row>
    <row r="574" spans="2:2" ht="12.75" customHeight="1" x14ac:dyDescent="0.2">
      <c r="B574" s="227"/>
    </row>
    <row r="575" spans="2:2" ht="12.75" customHeight="1" x14ac:dyDescent="0.2">
      <c r="B575" s="227"/>
    </row>
    <row r="576" spans="2:2" ht="12.75" customHeight="1" x14ac:dyDescent="0.2">
      <c r="B576" s="227"/>
    </row>
    <row r="577" spans="2:2" ht="12.75" customHeight="1" x14ac:dyDescent="0.2">
      <c r="B577" s="227"/>
    </row>
    <row r="578" spans="2:2" ht="12.75" customHeight="1" x14ac:dyDescent="0.2">
      <c r="B578" s="227"/>
    </row>
    <row r="579" spans="2:2" ht="12.75" customHeight="1" x14ac:dyDescent="0.2">
      <c r="B579" s="227"/>
    </row>
    <row r="580" spans="2:2" ht="12.75" customHeight="1" x14ac:dyDescent="0.2">
      <c r="B580" s="227"/>
    </row>
    <row r="581" spans="2:2" ht="12.75" customHeight="1" x14ac:dyDescent="0.2">
      <c r="B581" s="227"/>
    </row>
    <row r="582" spans="2:2" ht="12.75" customHeight="1" x14ac:dyDescent="0.2">
      <c r="B582" s="227"/>
    </row>
    <row r="583" spans="2:2" ht="12.75" customHeight="1" x14ac:dyDescent="0.2">
      <c r="B583" s="227"/>
    </row>
    <row r="584" spans="2:2" ht="12.75" customHeight="1" x14ac:dyDescent="0.2">
      <c r="B584" s="227"/>
    </row>
    <row r="585" spans="2:2" ht="12.75" customHeight="1" x14ac:dyDescent="0.2">
      <c r="B585" s="227"/>
    </row>
    <row r="586" spans="2:2" ht="12.75" customHeight="1" x14ac:dyDescent="0.2">
      <c r="B586" s="227"/>
    </row>
    <row r="587" spans="2:2" ht="12.75" customHeight="1" x14ac:dyDescent="0.2">
      <c r="B587" s="227"/>
    </row>
    <row r="588" spans="2:2" ht="12.75" customHeight="1" x14ac:dyDescent="0.2">
      <c r="B588" s="227"/>
    </row>
    <row r="589" spans="2:2" ht="12.75" customHeight="1" x14ac:dyDescent="0.2">
      <c r="B589" s="227"/>
    </row>
    <row r="590" spans="2:2" ht="12.75" customHeight="1" x14ac:dyDescent="0.2">
      <c r="B590" s="227"/>
    </row>
    <row r="591" spans="2:2" ht="12.75" customHeight="1" x14ac:dyDescent="0.2">
      <c r="B591" s="227"/>
    </row>
    <row r="592" spans="2:2" ht="12.75" customHeight="1" x14ac:dyDescent="0.2">
      <c r="B592" s="227"/>
    </row>
    <row r="593" spans="2:2" ht="12.75" customHeight="1" x14ac:dyDescent="0.2">
      <c r="B593" s="227"/>
    </row>
    <row r="594" spans="2:2" ht="12.75" customHeight="1" x14ac:dyDescent="0.2">
      <c r="B594" s="227"/>
    </row>
    <row r="595" spans="2:2" ht="12.75" customHeight="1" x14ac:dyDescent="0.2">
      <c r="B595" s="227"/>
    </row>
    <row r="596" spans="2:2" ht="12.75" customHeight="1" x14ac:dyDescent="0.2">
      <c r="B596" s="227"/>
    </row>
    <row r="597" spans="2:2" ht="12.75" customHeight="1" x14ac:dyDescent="0.2">
      <c r="B597" s="227"/>
    </row>
    <row r="598" spans="2:2" ht="12.75" customHeight="1" x14ac:dyDescent="0.2">
      <c r="B598" s="227"/>
    </row>
    <row r="599" spans="2:2" ht="12.75" customHeight="1" x14ac:dyDescent="0.2">
      <c r="B599" s="227"/>
    </row>
    <row r="600" spans="2:2" ht="12.75" customHeight="1" x14ac:dyDescent="0.2">
      <c r="B600" s="227"/>
    </row>
    <row r="601" spans="2:2" ht="12.75" customHeight="1" x14ac:dyDescent="0.2">
      <c r="B601" s="227"/>
    </row>
    <row r="602" spans="2:2" ht="12.75" customHeight="1" x14ac:dyDescent="0.2">
      <c r="B602" s="227"/>
    </row>
    <row r="603" spans="2:2" ht="12.75" customHeight="1" x14ac:dyDescent="0.2">
      <c r="B603" s="227"/>
    </row>
    <row r="604" spans="2:2" ht="12.75" customHeight="1" x14ac:dyDescent="0.2">
      <c r="B604" s="227"/>
    </row>
    <row r="605" spans="2:2" ht="12.75" customHeight="1" x14ac:dyDescent="0.2">
      <c r="B605" s="227"/>
    </row>
    <row r="606" spans="2:2" ht="12.75" customHeight="1" x14ac:dyDescent="0.2">
      <c r="B606" s="227"/>
    </row>
    <row r="607" spans="2:2" ht="12.75" customHeight="1" x14ac:dyDescent="0.2">
      <c r="B607" s="227"/>
    </row>
    <row r="608" spans="2:2" ht="12.75" customHeight="1" x14ac:dyDescent="0.2">
      <c r="B608" s="227"/>
    </row>
    <row r="609" spans="2:2" ht="12.75" customHeight="1" x14ac:dyDescent="0.2">
      <c r="B609" s="227"/>
    </row>
    <row r="610" spans="2:2" ht="12.75" customHeight="1" x14ac:dyDescent="0.2">
      <c r="B610" s="227"/>
    </row>
    <row r="611" spans="2:2" ht="12.75" customHeight="1" x14ac:dyDescent="0.2">
      <c r="B611" s="227"/>
    </row>
    <row r="612" spans="2:2" ht="12.75" customHeight="1" x14ac:dyDescent="0.2">
      <c r="B612" s="227"/>
    </row>
    <row r="613" spans="2:2" ht="12.75" customHeight="1" x14ac:dyDescent="0.2">
      <c r="B613" s="227"/>
    </row>
    <row r="614" spans="2:2" ht="12.75" customHeight="1" x14ac:dyDescent="0.2">
      <c r="B614" s="227"/>
    </row>
    <row r="615" spans="2:2" ht="12.75" customHeight="1" x14ac:dyDescent="0.2">
      <c r="B615" s="227"/>
    </row>
    <row r="616" spans="2:2" ht="12.75" customHeight="1" x14ac:dyDescent="0.2">
      <c r="B616" s="227"/>
    </row>
    <row r="617" spans="2:2" ht="12.75" customHeight="1" x14ac:dyDescent="0.2">
      <c r="B617" s="227"/>
    </row>
    <row r="618" spans="2:2" ht="12.75" customHeight="1" x14ac:dyDescent="0.2">
      <c r="B618" s="227"/>
    </row>
    <row r="619" spans="2:2" ht="12.75" customHeight="1" x14ac:dyDescent="0.2">
      <c r="B619" s="227"/>
    </row>
    <row r="620" spans="2:2" ht="12.75" customHeight="1" x14ac:dyDescent="0.2">
      <c r="B620" s="227"/>
    </row>
    <row r="621" spans="2:2" ht="12.75" customHeight="1" x14ac:dyDescent="0.2">
      <c r="B621" s="227"/>
    </row>
    <row r="622" spans="2:2" ht="12.75" customHeight="1" x14ac:dyDescent="0.2">
      <c r="B622" s="227"/>
    </row>
    <row r="623" spans="2:2" ht="12.75" customHeight="1" x14ac:dyDescent="0.2">
      <c r="B623" s="227"/>
    </row>
    <row r="624" spans="2:2" ht="12.75" customHeight="1" x14ac:dyDescent="0.2">
      <c r="B624" s="227"/>
    </row>
    <row r="625" spans="2:2" ht="12.75" customHeight="1" x14ac:dyDescent="0.2">
      <c r="B625" s="227"/>
    </row>
    <row r="626" spans="2:2" ht="12.75" customHeight="1" x14ac:dyDescent="0.2">
      <c r="B626" s="227"/>
    </row>
    <row r="627" spans="2:2" ht="12.75" customHeight="1" x14ac:dyDescent="0.2">
      <c r="B627" s="227"/>
    </row>
    <row r="628" spans="2:2" ht="12.75" customHeight="1" x14ac:dyDescent="0.2">
      <c r="B628" s="227"/>
    </row>
    <row r="629" spans="2:2" ht="12.75" customHeight="1" x14ac:dyDescent="0.2">
      <c r="B629" s="227"/>
    </row>
    <row r="630" spans="2:2" ht="12.75" customHeight="1" x14ac:dyDescent="0.2">
      <c r="B630" s="227"/>
    </row>
    <row r="631" spans="2:2" ht="12.75" customHeight="1" x14ac:dyDescent="0.2">
      <c r="B631" s="227"/>
    </row>
    <row r="632" spans="2:2" ht="12.75" customHeight="1" x14ac:dyDescent="0.2">
      <c r="B632" s="227"/>
    </row>
    <row r="633" spans="2:2" ht="12.75" customHeight="1" x14ac:dyDescent="0.2">
      <c r="B633" s="227"/>
    </row>
    <row r="634" spans="2:2" ht="12.75" customHeight="1" x14ac:dyDescent="0.2">
      <c r="B634" s="227"/>
    </row>
    <row r="635" spans="2:2" ht="12.75" customHeight="1" x14ac:dyDescent="0.2">
      <c r="B635" s="227"/>
    </row>
    <row r="636" spans="2:2" ht="12.75" customHeight="1" x14ac:dyDescent="0.2">
      <c r="B636" s="227"/>
    </row>
    <row r="637" spans="2:2" ht="12.75" customHeight="1" x14ac:dyDescent="0.2">
      <c r="B637" s="227"/>
    </row>
    <row r="638" spans="2:2" ht="12.75" customHeight="1" x14ac:dyDescent="0.2">
      <c r="B638" s="227"/>
    </row>
    <row r="639" spans="2:2" ht="12.75" customHeight="1" x14ac:dyDescent="0.2">
      <c r="B639" s="227"/>
    </row>
    <row r="640" spans="2:2" ht="12.75" customHeight="1" x14ac:dyDescent="0.2">
      <c r="B640" s="227"/>
    </row>
    <row r="641" spans="2:2" ht="12.75" customHeight="1" x14ac:dyDescent="0.2">
      <c r="B641" s="227"/>
    </row>
    <row r="642" spans="2:2" ht="12.75" customHeight="1" x14ac:dyDescent="0.2">
      <c r="B642" s="227"/>
    </row>
    <row r="643" spans="2:2" ht="12.75" customHeight="1" x14ac:dyDescent="0.2">
      <c r="B643" s="227"/>
    </row>
    <row r="644" spans="2:2" ht="12.75" customHeight="1" x14ac:dyDescent="0.2">
      <c r="B644" s="227"/>
    </row>
    <row r="645" spans="2:2" ht="12.75" customHeight="1" x14ac:dyDescent="0.2">
      <c r="B645" s="227"/>
    </row>
    <row r="646" spans="2:2" ht="12.75" customHeight="1" x14ac:dyDescent="0.2">
      <c r="B646" s="227"/>
    </row>
    <row r="647" spans="2:2" ht="12.75" customHeight="1" x14ac:dyDescent="0.2">
      <c r="B647" s="227"/>
    </row>
    <row r="648" spans="2:2" ht="12.75" customHeight="1" x14ac:dyDescent="0.2">
      <c r="B648" s="227"/>
    </row>
    <row r="649" spans="2:2" ht="12.75" customHeight="1" x14ac:dyDescent="0.2">
      <c r="B649" s="227"/>
    </row>
    <row r="650" spans="2:2" ht="12.75" customHeight="1" x14ac:dyDescent="0.2">
      <c r="B650" s="227"/>
    </row>
    <row r="651" spans="2:2" ht="12.75" customHeight="1" x14ac:dyDescent="0.2">
      <c r="B651" s="227"/>
    </row>
    <row r="652" spans="2:2" ht="12.75" customHeight="1" x14ac:dyDescent="0.2">
      <c r="B652" s="227"/>
    </row>
    <row r="653" spans="2:2" ht="12.75" customHeight="1" x14ac:dyDescent="0.2">
      <c r="B653" s="227"/>
    </row>
    <row r="654" spans="2:2" ht="12.75" customHeight="1" x14ac:dyDescent="0.2">
      <c r="B654" s="227"/>
    </row>
    <row r="655" spans="2:2" ht="12.75" customHeight="1" x14ac:dyDescent="0.2">
      <c r="B655" s="227"/>
    </row>
    <row r="656" spans="2:2" ht="12.75" customHeight="1" x14ac:dyDescent="0.2">
      <c r="B656" s="227"/>
    </row>
    <row r="657" spans="2:2" ht="12.75" customHeight="1" x14ac:dyDescent="0.2">
      <c r="B657" s="227"/>
    </row>
    <row r="658" spans="2:2" ht="12.75" customHeight="1" x14ac:dyDescent="0.2">
      <c r="B658" s="227"/>
    </row>
    <row r="659" spans="2:2" ht="12.75" customHeight="1" x14ac:dyDescent="0.2">
      <c r="B659" s="227"/>
    </row>
    <row r="660" spans="2:2" ht="12.75" customHeight="1" x14ac:dyDescent="0.2">
      <c r="B660" s="227"/>
    </row>
    <row r="661" spans="2:2" ht="12.75" customHeight="1" x14ac:dyDescent="0.2">
      <c r="B661" s="227"/>
    </row>
    <row r="662" spans="2:2" ht="12.75" customHeight="1" x14ac:dyDescent="0.2">
      <c r="B662" s="227"/>
    </row>
    <row r="663" spans="2:2" ht="12.75" customHeight="1" x14ac:dyDescent="0.2">
      <c r="B663" s="227"/>
    </row>
    <row r="664" spans="2:2" ht="12.75" customHeight="1" x14ac:dyDescent="0.2">
      <c r="B664" s="227"/>
    </row>
    <row r="665" spans="2:2" ht="12.75" customHeight="1" x14ac:dyDescent="0.2">
      <c r="B665" s="227"/>
    </row>
    <row r="666" spans="2:2" ht="12.75" customHeight="1" x14ac:dyDescent="0.2">
      <c r="B666" s="227"/>
    </row>
    <row r="667" spans="2:2" ht="12.75" customHeight="1" x14ac:dyDescent="0.2">
      <c r="B667" s="227"/>
    </row>
    <row r="668" spans="2:2" ht="12.75" customHeight="1" x14ac:dyDescent="0.2">
      <c r="B668" s="227"/>
    </row>
    <row r="669" spans="2:2" ht="12.75" customHeight="1" x14ac:dyDescent="0.2">
      <c r="B669" s="227"/>
    </row>
    <row r="670" spans="2:2" ht="12.75" customHeight="1" x14ac:dyDescent="0.2">
      <c r="B670" s="227"/>
    </row>
    <row r="671" spans="2:2" ht="12.75" customHeight="1" x14ac:dyDescent="0.2">
      <c r="B671" s="227"/>
    </row>
    <row r="672" spans="2:2" ht="12.75" customHeight="1" x14ac:dyDescent="0.2">
      <c r="B672" s="227"/>
    </row>
    <row r="673" spans="2:2" ht="12.75" customHeight="1" x14ac:dyDescent="0.2">
      <c r="B673" s="227"/>
    </row>
    <row r="674" spans="2:2" ht="12.75" customHeight="1" x14ac:dyDescent="0.2">
      <c r="B674" s="227"/>
    </row>
    <row r="675" spans="2:2" ht="12.75" customHeight="1" x14ac:dyDescent="0.2">
      <c r="B675" s="227"/>
    </row>
    <row r="676" spans="2:2" ht="12.75" customHeight="1" x14ac:dyDescent="0.2">
      <c r="B676" s="227"/>
    </row>
    <row r="677" spans="2:2" ht="12.75" customHeight="1" x14ac:dyDescent="0.2">
      <c r="B677" s="227"/>
    </row>
    <row r="678" spans="2:2" ht="12.75" customHeight="1" x14ac:dyDescent="0.2">
      <c r="B678" s="227"/>
    </row>
    <row r="679" spans="2:2" ht="12.75" customHeight="1" x14ac:dyDescent="0.2">
      <c r="B679" s="227"/>
    </row>
    <row r="680" spans="2:2" ht="12.75" customHeight="1" x14ac:dyDescent="0.2">
      <c r="B680" s="227"/>
    </row>
    <row r="681" spans="2:2" ht="12.75" customHeight="1" x14ac:dyDescent="0.2">
      <c r="B681" s="227"/>
    </row>
    <row r="682" spans="2:2" ht="12.75" customHeight="1" x14ac:dyDescent="0.2">
      <c r="B682" s="227"/>
    </row>
    <row r="683" spans="2:2" ht="12.75" customHeight="1" x14ac:dyDescent="0.2">
      <c r="B683" s="227"/>
    </row>
    <row r="684" spans="2:2" ht="12.75" customHeight="1" x14ac:dyDescent="0.2">
      <c r="B684" s="227"/>
    </row>
    <row r="685" spans="2:2" ht="12.75" customHeight="1" x14ac:dyDescent="0.2">
      <c r="B685" s="227"/>
    </row>
    <row r="686" spans="2:2" ht="12.75" customHeight="1" x14ac:dyDescent="0.2">
      <c r="B686" s="227"/>
    </row>
    <row r="687" spans="2:2" ht="12.75" customHeight="1" x14ac:dyDescent="0.2">
      <c r="B687" s="227"/>
    </row>
    <row r="688" spans="2:2" ht="12.75" customHeight="1" x14ac:dyDescent="0.2">
      <c r="B688" s="227"/>
    </row>
    <row r="689" spans="2:2" ht="12.75" customHeight="1" x14ac:dyDescent="0.2">
      <c r="B689" s="227"/>
    </row>
    <row r="690" spans="2:2" ht="12.75" customHeight="1" x14ac:dyDescent="0.2">
      <c r="B690" s="227"/>
    </row>
    <row r="691" spans="2:2" ht="12.75" customHeight="1" x14ac:dyDescent="0.2">
      <c r="B691" s="227"/>
    </row>
    <row r="692" spans="2:2" ht="12.75" customHeight="1" x14ac:dyDescent="0.2">
      <c r="B692" s="227"/>
    </row>
    <row r="693" spans="2:2" ht="12.75" customHeight="1" x14ac:dyDescent="0.2">
      <c r="B693" s="227"/>
    </row>
    <row r="694" spans="2:2" ht="12.75" customHeight="1" x14ac:dyDescent="0.2">
      <c r="B694" s="227"/>
    </row>
    <row r="695" spans="2:2" ht="12.75" customHeight="1" x14ac:dyDescent="0.2">
      <c r="B695" s="227"/>
    </row>
    <row r="696" spans="2:2" ht="12.75" customHeight="1" x14ac:dyDescent="0.2">
      <c r="B696" s="227"/>
    </row>
    <row r="697" spans="2:2" ht="12.75" customHeight="1" x14ac:dyDescent="0.2">
      <c r="B697" s="227"/>
    </row>
    <row r="698" spans="2:2" ht="12.75" customHeight="1" x14ac:dyDescent="0.2">
      <c r="B698" s="227"/>
    </row>
    <row r="699" spans="2:2" ht="12.75" customHeight="1" x14ac:dyDescent="0.2">
      <c r="B699" s="227"/>
    </row>
    <row r="700" spans="2:2" ht="12.75" customHeight="1" x14ac:dyDescent="0.2">
      <c r="B700" s="227"/>
    </row>
    <row r="701" spans="2:2" ht="12.75" customHeight="1" x14ac:dyDescent="0.2">
      <c r="B701" s="227"/>
    </row>
    <row r="702" spans="2:2" ht="12.75" customHeight="1" x14ac:dyDescent="0.2">
      <c r="B702" s="227"/>
    </row>
    <row r="703" spans="2:2" ht="12.75" customHeight="1" x14ac:dyDescent="0.2">
      <c r="B703" s="227"/>
    </row>
    <row r="704" spans="2:2" ht="12.75" customHeight="1" x14ac:dyDescent="0.2">
      <c r="B704" s="227"/>
    </row>
    <row r="705" spans="2:2" ht="12.75" customHeight="1" x14ac:dyDescent="0.2">
      <c r="B705" s="227"/>
    </row>
    <row r="706" spans="2:2" ht="12.75" customHeight="1" x14ac:dyDescent="0.2">
      <c r="B706" s="227"/>
    </row>
    <row r="707" spans="2:2" ht="12.75" customHeight="1" x14ac:dyDescent="0.2">
      <c r="B707" s="227"/>
    </row>
    <row r="708" spans="2:2" ht="12.75" customHeight="1" x14ac:dyDescent="0.2">
      <c r="B708" s="227"/>
    </row>
    <row r="709" spans="2:2" ht="12.75" customHeight="1" x14ac:dyDescent="0.2">
      <c r="B709" s="227"/>
    </row>
    <row r="710" spans="2:2" ht="12.75" customHeight="1" x14ac:dyDescent="0.2">
      <c r="B710" s="227"/>
    </row>
    <row r="711" spans="2:2" ht="12.75" customHeight="1" x14ac:dyDescent="0.2">
      <c r="B711" s="227"/>
    </row>
    <row r="712" spans="2:2" ht="12.75" customHeight="1" x14ac:dyDescent="0.2">
      <c r="B712" s="227"/>
    </row>
    <row r="713" spans="2:2" ht="12.75" customHeight="1" x14ac:dyDescent="0.2">
      <c r="B713" s="227"/>
    </row>
    <row r="714" spans="2:2" ht="12.75" customHeight="1" x14ac:dyDescent="0.2">
      <c r="B714" s="227"/>
    </row>
    <row r="715" spans="2:2" ht="12.75" customHeight="1" x14ac:dyDescent="0.2">
      <c r="B715" s="227"/>
    </row>
    <row r="716" spans="2:2" ht="12.75" customHeight="1" x14ac:dyDescent="0.2">
      <c r="B716" s="227"/>
    </row>
    <row r="717" spans="2:2" ht="12.75" customHeight="1" x14ac:dyDescent="0.2">
      <c r="B717" s="227"/>
    </row>
    <row r="718" spans="2:2" ht="12.75" customHeight="1" x14ac:dyDescent="0.2">
      <c r="B718" s="227"/>
    </row>
    <row r="719" spans="2:2" ht="12.75" customHeight="1" x14ac:dyDescent="0.2">
      <c r="B719" s="227"/>
    </row>
    <row r="720" spans="2:2" ht="12.75" customHeight="1" x14ac:dyDescent="0.2">
      <c r="B720" s="227"/>
    </row>
    <row r="721" spans="2:2" ht="12.75" customHeight="1" x14ac:dyDescent="0.2">
      <c r="B721" s="227"/>
    </row>
    <row r="722" spans="2:2" ht="12.75" customHeight="1" x14ac:dyDescent="0.2">
      <c r="B722" s="227"/>
    </row>
    <row r="723" spans="2:2" ht="12.75" customHeight="1" x14ac:dyDescent="0.2">
      <c r="B723" s="227"/>
    </row>
    <row r="724" spans="2:2" ht="12.75" customHeight="1" x14ac:dyDescent="0.2">
      <c r="B724" s="227"/>
    </row>
    <row r="725" spans="2:2" ht="12.75" customHeight="1" x14ac:dyDescent="0.2">
      <c r="B725" s="227"/>
    </row>
    <row r="726" spans="2:2" ht="12.75" customHeight="1" x14ac:dyDescent="0.2">
      <c r="B726" s="227"/>
    </row>
    <row r="727" spans="2:2" ht="12.75" customHeight="1" x14ac:dyDescent="0.2">
      <c r="B727" s="227"/>
    </row>
    <row r="728" spans="2:2" ht="12.75" customHeight="1" x14ac:dyDescent="0.2">
      <c r="B728" s="227"/>
    </row>
    <row r="729" spans="2:2" ht="12.75" customHeight="1" x14ac:dyDescent="0.2">
      <c r="B729" s="227"/>
    </row>
    <row r="730" spans="2:2" ht="12.75" customHeight="1" x14ac:dyDescent="0.2">
      <c r="B730" s="227"/>
    </row>
    <row r="731" spans="2:2" ht="12.75" customHeight="1" x14ac:dyDescent="0.2">
      <c r="B731" s="227"/>
    </row>
    <row r="732" spans="2:2" ht="12.75" customHeight="1" x14ac:dyDescent="0.2">
      <c r="B732" s="227"/>
    </row>
    <row r="733" spans="2:2" ht="12.75" customHeight="1" x14ac:dyDescent="0.2">
      <c r="B733" s="227"/>
    </row>
    <row r="734" spans="2:2" ht="12.75" customHeight="1" x14ac:dyDescent="0.2">
      <c r="B734" s="227"/>
    </row>
    <row r="735" spans="2:2" ht="12.75" customHeight="1" x14ac:dyDescent="0.2">
      <c r="B735" s="227"/>
    </row>
    <row r="736" spans="2:2" ht="12.75" customHeight="1" x14ac:dyDescent="0.2">
      <c r="B736" s="227"/>
    </row>
    <row r="737" spans="2:2" ht="12.75" customHeight="1" x14ac:dyDescent="0.2">
      <c r="B737" s="227"/>
    </row>
    <row r="738" spans="2:2" ht="12.75" customHeight="1" x14ac:dyDescent="0.2">
      <c r="B738" s="227"/>
    </row>
    <row r="739" spans="2:2" ht="12.75" customHeight="1" x14ac:dyDescent="0.2">
      <c r="B739" s="227"/>
    </row>
    <row r="740" spans="2:2" ht="12.75" customHeight="1" x14ac:dyDescent="0.2">
      <c r="B740" s="227"/>
    </row>
    <row r="741" spans="2:2" ht="12.75" customHeight="1" x14ac:dyDescent="0.2">
      <c r="B741" s="227"/>
    </row>
    <row r="742" spans="2:2" ht="12.75" customHeight="1" x14ac:dyDescent="0.2">
      <c r="B742" s="227"/>
    </row>
    <row r="743" spans="2:2" ht="12.75" customHeight="1" x14ac:dyDescent="0.2">
      <c r="B743" s="227"/>
    </row>
    <row r="744" spans="2:2" ht="12.75" customHeight="1" x14ac:dyDescent="0.2">
      <c r="B744" s="227"/>
    </row>
    <row r="745" spans="2:2" ht="12.75" customHeight="1" x14ac:dyDescent="0.2">
      <c r="B745" s="227"/>
    </row>
    <row r="746" spans="2:2" ht="12.75" customHeight="1" x14ac:dyDescent="0.2">
      <c r="B746" s="227"/>
    </row>
    <row r="747" spans="2:2" ht="12.75" customHeight="1" x14ac:dyDescent="0.2">
      <c r="B747" s="227"/>
    </row>
    <row r="748" spans="2:2" ht="12.75" customHeight="1" x14ac:dyDescent="0.2">
      <c r="B748" s="227"/>
    </row>
    <row r="749" spans="2:2" ht="12.75" customHeight="1" x14ac:dyDescent="0.2">
      <c r="B749" s="227"/>
    </row>
    <row r="750" spans="2:2" ht="12.75" customHeight="1" x14ac:dyDescent="0.2">
      <c r="B750" s="227"/>
    </row>
    <row r="751" spans="2:2" ht="12.75" customHeight="1" x14ac:dyDescent="0.2">
      <c r="B751" s="227"/>
    </row>
    <row r="752" spans="2:2" ht="12.75" customHeight="1" x14ac:dyDescent="0.2">
      <c r="B752" s="227"/>
    </row>
    <row r="753" spans="2:2" ht="12.75" customHeight="1" x14ac:dyDescent="0.2">
      <c r="B753" s="227"/>
    </row>
    <row r="754" spans="2:2" ht="12.75" customHeight="1" x14ac:dyDescent="0.2">
      <c r="B754" s="227"/>
    </row>
    <row r="755" spans="2:2" ht="12.75" customHeight="1" x14ac:dyDescent="0.2">
      <c r="B755" s="227"/>
    </row>
    <row r="756" spans="2:2" ht="12.75" customHeight="1" x14ac:dyDescent="0.2">
      <c r="B756" s="227"/>
    </row>
    <row r="757" spans="2:2" ht="12.75" customHeight="1" x14ac:dyDescent="0.2">
      <c r="B757" s="227"/>
    </row>
    <row r="758" spans="2:2" ht="12.75" customHeight="1" x14ac:dyDescent="0.2">
      <c r="B758" s="227"/>
    </row>
    <row r="759" spans="2:2" ht="12.75" customHeight="1" x14ac:dyDescent="0.2">
      <c r="B759" s="227"/>
    </row>
    <row r="760" spans="2:2" ht="12.75" customHeight="1" x14ac:dyDescent="0.2">
      <c r="B760" s="227"/>
    </row>
    <row r="761" spans="2:2" ht="12.75" customHeight="1" x14ac:dyDescent="0.2">
      <c r="B761" s="227"/>
    </row>
    <row r="762" spans="2:2" ht="12.75" customHeight="1" x14ac:dyDescent="0.2">
      <c r="B762" s="227"/>
    </row>
    <row r="763" spans="2:2" ht="12.75" customHeight="1" x14ac:dyDescent="0.2">
      <c r="B763" s="227"/>
    </row>
    <row r="764" spans="2:2" ht="12.75" customHeight="1" x14ac:dyDescent="0.2">
      <c r="B764" s="227"/>
    </row>
    <row r="765" spans="2:2" ht="12.75" customHeight="1" x14ac:dyDescent="0.2">
      <c r="B765" s="227"/>
    </row>
    <row r="766" spans="2:2" ht="12.75" customHeight="1" x14ac:dyDescent="0.2">
      <c r="B766" s="227"/>
    </row>
    <row r="767" spans="2:2" ht="12.75" customHeight="1" x14ac:dyDescent="0.2">
      <c r="B767" s="227"/>
    </row>
    <row r="768" spans="2:2" ht="12.75" customHeight="1" x14ac:dyDescent="0.2">
      <c r="B768" s="227"/>
    </row>
    <row r="769" spans="2:2" ht="12.75" customHeight="1" x14ac:dyDescent="0.2">
      <c r="B769" s="227"/>
    </row>
    <row r="770" spans="2:2" ht="12.75" customHeight="1" x14ac:dyDescent="0.2">
      <c r="B770" s="227"/>
    </row>
    <row r="771" spans="2:2" ht="12.75" customHeight="1" x14ac:dyDescent="0.2">
      <c r="B771" s="227"/>
    </row>
    <row r="772" spans="2:2" ht="12.75" customHeight="1" x14ac:dyDescent="0.2">
      <c r="B772" s="227"/>
    </row>
    <row r="773" spans="2:2" ht="12.75" customHeight="1" x14ac:dyDescent="0.2">
      <c r="B773" s="227"/>
    </row>
    <row r="774" spans="2:2" ht="12.75" customHeight="1" x14ac:dyDescent="0.2">
      <c r="B774" s="227"/>
    </row>
    <row r="775" spans="2:2" ht="12.75" customHeight="1" x14ac:dyDescent="0.2">
      <c r="B775" s="227"/>
    </row>
    <row r="776" spans="2:2" ht="12.75" customHeight="1" x14ac:dyDescent="0.2">
      <c r="B776" s="227"/>
    </row>
    <row r="777" spans="2:2" ht="12.75" customHeight="1" x14ac:dyDescent="0.2">
      <c r="B777" s="227"/>
    </row>
    <row r="778" spans="2:2" ht="12.75" customHeight="1" x14ac:dyDescent="0.2">
      <c r="B778" s="227"/>
    </row>
    <row r="779" spans="2:2" ht="12.75" customHeight="1" x14ac:dyDescent="0.2">
      <c r="B779" s="227"/>
    </row>
    <row r="780" spans="2:2" ht="12.75" customHeight="1" x14ac:dyDescent="0.2">
      <c r="B780" s="227"/>
    </row>
    <row r="781" spans="2:2" ht="12.75" customHeight="1" x14ac:dyDescent="0.2">
      <c r="B781" s="227"/>
    </row>
    <row r="782" spans="2:2" ht="12.75" customHeight="1" x14ac:dyDescent="0.2">
      <c r="B782" s="227"/>
    </row>
    <row r="783" spans="2:2" ht="12.75" customHeight="1" x14ac:dyDescent="0.2">
      <c r="B783" s="227"/>
    </row>
    <row r="784" spans="2:2" ht="12.75" customHeight="1" x14ac:dyDescent="0.2">
      <c r="B784" s="227"/>
    </row>
    <row r="785" spans="2:2" ht="12.75" customHeight="1" x14ac:dyDescent="0.2">
      <c r="B785" s="227"/>
    </row>
    <row r="786" spans="2:2" ht="12.75" customHeight="1" x14ac:dyDescent="0.2">
      <c r="B786" s="227"/>
    </row>
    <row r="787" spans="2:2" ht="12.75" customHeight="1" x14ac:dyDescent="0.2">
      <c r="B787" s="227"/>
    </row>
    <row r="788" spans="2:2" ht="12.75" customHeight="1" x14ac:dyDescent="0.2">
      <c r="B788" s="227"/>
    </row>
    <row r="789" spans="2:2" ht="12.75" customHeight="1" x14ac:dyDescent="0.2">
      <c r="B789" s="227"/>
    </row>
    <row r="790" spans="2:2" ht="12.75" customHeight="1" x14ac:dyDescent="0.2">
      <c r="B790" s="227"/>
    </row>
    <row r="791" spans="2:2" ht="12.75" customHeight="1" x14ac:dyDescent="0.2">
      <c r="B791" s="227"/>
    </row>
    <row r="792" spans="2:2" ht="12.75" customHeight="1" x14ac:dyDescent="0.2">
      <c r="B792" s="227"/>
    </row>
    <row r="793" spans="2:2" ht="12.75" customHeight="1" x14ac:dyDescent="0.2">
      <c r="B793" s="227"/>
    </row>
    <row r="794" spans="2:2" ht="12.75" customHeight="1" x14ac:dyDescent="0.2">
      <c r="B794" s="227"/>
    </row>
    <row r="795" spans="2:2" ht="12.75" customHeight="1" x14ac:dyDescent="0.2">
      <c r="B795" s="227"/>
    </row>
    <row r="796" spans="2:2" ht="12.75" customHeight="1" x14ac:dyDescent="0.2">
      <c r="B796" s="227"/>
    </row>
    <row r="797" spans="2:2" ht="12.75" customHeight="1" x14ac:dyDescent="0.2">
      <c r="B797" s="227"/>
    </row>
    <row r="798" spans="2:2" ht="12.75" customHeight="1" x14ac:dyDescent="0.2">
      <c r="B798" s="227"/>
    </row>
    <row r="799" spans="2:2" ht="12.75" customHeight="1" x14ac:dyDescent="0.2">
      <c r="B799" s="227"/>
    </row>
    <row r="800" spans="2:2" ht="12.75" customHeight="1" x14ac:dyDescent="0.2">
      <c r="B800" s="227"/>
    </row>
    <row r="801" spans="2:2" ht="12.75" customHeight="1" x14ac:dyDescent="0.2">
      <c r="B801" s="227"/>
    </row>
    <row r="802" spans="2:2" ht="12.75" customHeight="1" x14ac:dyDescent="0.2">
      <c r="B802" s="227"/>
    </row>
    <row r="803" spans="2:2" ht="12.75" customHeight="1" x14ac:dyDescent="0.2">
      <c r="B803" s="227"/>
    </row>
    <row r="804" spans="2:2" ht="12.75" customHeight="1" x14ac:dyDescent="0.2">
      <c r="B804" s="227"/>
    </row>
    <row r="805" spans="2:2" ht="12.75" customHeight="1" x14ac:dyDescent="0.2">
      <c r="B805" s="227"/>
    </row>
    <row r="806" spans="2:2" ht="12.75" customHeight="1" x14ac:dyDescent="0.2">
      <c r="B806" s="227"/>
    </row>
    <row r="807" spans="2:2" ht="12.75" customHeight="1" x14ac:dyDescent="0.2">
      <c r="B807" s="227"/>
    </row>
    <row r="808" spans="2:2" ht="12.75" customHeight="1" x14ac:dyDescent="0.2">
      <c r="B808" s="227"/>
    </row>
    <row r="809" spans="2:2" ht="12.75" customHeight="1" x14ac:dyDescent="0.2">
      <c r="B809" s="227"/>
    </row>
    <row r="810" spans="2:2" ht="12.75" customHeight="1" x14ac:dyDescent="0.2">
      <c r="B810" s="227"/>
    </row>
    <row r="811" spans="2:2" ht="12.75" customHeight="1" x14ac:dyDescent="0.2">
      <c r="B811" s="227"/>
    </row>
    <row r="812" spans="2:2" ht="12.75" customHeight="1" x14ac:dyDescent="0.2">
      <c r="B812" s="227"/>
    </row>
    <row r="813" spans="2:2" ht="12.75" customHeight="1" x14ac:dyDescent="0.2">
      <c r="B813" s="227"/>
    </row>
    <row r="814" spans="2:2" ht="12.75" customHeight="1" x14ac:dyDescent="0.2">
      <c r="B814" s="227"/>
    </row>
    <row r="815" spans="2:2" ht="12.75" customHeight="1" x14ac:dyDescent="0.2">
      <c r="B815" s="227"/>
    </row>
    <row r="816" spans="2:2" ht="12.75" customHeight="1" x14ac:dyDescent="0.2">
      <c r="B816" s="227"/>
    </row>
    <row r="817" spans="2:2" ht="12.75" customHeight="1" x14ac:dyDescent="0.2">
      <c r="B817" s="227"/>
    </row>
    <row r="818" spans="2:2" ht="12.75" customHeight="1" x14ac:dyDescent="0.2">
      <c r="B818" s="227"/>
    </row>
    <row r="819" spans="2:2" ht="12.75" customHeight="1" x14ac:dyDescent="0.2">
      <c r="B819" s="227"/>
    </row>
    <row r="820" spans="2:2" ht="12.75" customHeight="1" x14ac:dyDescent="0.2">
      <c r="B820" s="227"/>
    </row>
    <row r="821" spans="2:2" ht="12.75" customHeight="1" x14ac:dyDescent="0.2">
      <c r="B821" s="227"/>
    </row>
    <row r="822" spans="2:2" ht="12.75" customHeight="1" x14ac:dyDescent="0.2">
      <c r="B822" s="227"/>
    </row>
    <row r="823" spans="2:2" ht="12.75" customHeight="1" x14ac:dyDescent="0.2">
      <c r="B823" s="227"/>
    </row>
    <row r="824" spans="2:2" ht="12.75" customHeight="1" x14ac:dyDescent="0.2">
      <c r="B824" s="227"/>
    </row>
    <row r="825" spans="2:2" ht="12.75" customHeight="1" x14ac:dyDescent="0.2">
      <c r="B825" s="227"/>
    </row>
    <row r="826" spans="2:2" ht="12.75" customHeight="1" x14ac:dyDescent="0.2">
      <c r="B826" s="227"/>
    </row>
    <row r="827" spans="2:2" ht="12.75" customHeight="1" x14ac:dyDescent="0.2">
      <c r="B827" s="227"/>
    </row>
    <row r="828" spans="2:2" ht="12.75" customHeight="1" x14ac:dyDescent="0.2">
      <c r="B828" s="227"/>
    </row>
    <row r="829" spans="2:2" ht="12.75" customHeight="1" x14ac:dyDescent="0.2">
      <c r="B829" s="227"/>
    </row>
    <row r="830" spans="2:2" ht="12.75" customHeight="1" x14ac:dyDescent="0.2">
      <c r="B830" s="227"/>
    </row>
    <row r="831" spans="2:2" ht="12.75" customHeight="1" x14ac:dyDescent="0.2">
      <c r="B831" s="227"/>
    </row>
    <row r="832" spans="2:2" ht="12.75" customHeight="1" x14ac:dyDescent="0.2">
      <c r="B832" s="227"/>
    </row>
    <row r="833" spans="2:2" ht="12.75" customHeight="1" x14ac:dyDescent="0.2">
      <c r="B833" s="227"/>
    </row>
    <row r="834" spans="2:2" ht="12.75" customHeight="1" x14ac:dyDescent="0.2">
      <c r="B834" s="227"/>
    </row>
    <row r="835" spans="2:2" ht="12.75" customHeight="1" x14ac:dyDescent="0.2">
      <c r="B835" s="227"/>
    </row>
    <row r="836" spans="2:2" ht="12.75" customHeight="1" x14ac:dyDescent="0.2">
      <c r="B836" s="227"/>
    </row>
    <row r="837" spans="2:2" ht="12.75" customHeight="1" x14ac:dyDescent="0.2">
      <c r="B837" s="227"/>
    </row>
    <row r="838" spans="2:2" ht="12.75" customHeight="1" x14ac:dyDescent="0.2">
      <c r="B838" s="227"/>
    </row>
    <row r="839" spans="2:2" ht="12.75" customHeight="1" x14ac:dyDescent="0.2">
      <c r="B839" s="227"/>
    </row>
    <row r="840" spans="2:2" ht="12.75" customHeight="1" x14ac:dyDescent="0.2">
      <c r="B840" s="227"/>
    </row>
    <row r="841" spans="2:2" ht="12.75" customHeight="1" x14ac:dyDescent="0.2">
      <c r="B841" s="227"/>
    </row>
    <row r="842" spans="2:2" ht="12.75" customHeight="1" x14ac:dyDescent="0.2">
      <c r="B842" s="227"/>
    </row>
    <row r="843" spans="2:2" ht="12.75" customHeight="1" x14ac:dyDescent="0.2">
      <c r="B843" s="227"/>
    </row>
    <row r="844" spans="2:2" ht="12.75" customHeight="1" x14ac:dyDescent="0.2">
      <c r="B844" s="227"/>
    </row>
    <row r="845" spans="2:2" ht="12.75" customHeight="1" x14ac:dyDescent="0.2">
      <c r="B845" s="227"/>
    </row>
    <row r="846" spans="2:2" ht="12.75" customHeight="1" x14ac:dyDescent="0.2">
      <c r="B846" s="227"/>
    </row>
    <row r="847" spans="2:2" ht="12.75" customHeight="1" x14ac:dyDescent="0.2">
      <c r="B847" s="227"/>
    </row>
    <row r="848" spans="2:2" ht="12.75" customHeight="1" x14ac:dyDescent="0.2">
      <c r="B848" s="227"/>
    </row>
    <row r="849" spans="2:2" ht="12.75" customHeight="1" x14ac:dyDescent="0.2">
      <c r="B849" s="227"/>
    </row>
    <row r="850" spans="2:2" ht="12.75" customHeight="1" x14ac:dyDescent="0.2">
      <c r="B850" s="227"/>
    </row>
    <row r="851" spans="2:2" ht="12.75" customHeight="1" x14ac:dyDescent="0.2">
      <c r="B851" s="227"/>
    </row>
    <row r="852" spans="2:2" ht="12.75" customHeight="1" x14ac:dyDescent="0.2">
      <c r="B852" s="227"/>
    </row>
    <row r="853" spans="2:2" ht="12.75" customHeight="1" x14ac:dyDescent="0.2">
      <c r="B853" s="227"/>
    </row>
    <row r="854" spans="2:2" ht="12.75" customHeight="1" x14ac:dyDescent="0.2">
      <c r="B854" s="227"/>
    </row>
    <row r="855" spans="2:2" ht="12.75" customHeight="1" x14ac:dyDescent="0.2">
      <c r="B855" s="227"/>
    </row>
    <row r="856" spans="2:2" ht="12.75" customHeight="1" x14ac:dyDescent="0.2">
      <c r="B856" s="227"/>
    </row>
    <row r="857" spans="2:2" ht="12.75" customHeight="1" x14ac:dyDescent="0.2">
      <c r="B857" s="227"/>
    </row>
    <row r="858" spans="2:2" ht="12.75" customHeight="1" x14ac:dyDescent="0.2">
      <c r="B858" s="227"/>
    </row>
    <row r="859" spans="2:2" ht="12.75" customHeight="1" x14ac:dyDescent="0.2">
      <c r="B859" s="227"/>
    </row>
    <row r="860" spans="2:2" ht="12.75" customHeight="1" x14ac:dyDescent="0.2">
      <c r="B860" s="227"/>
    </row>
    <row r="861" spans="2:2" ht="12.75" customHeight="1" x14ac:dyDescent="0.2">
      <c r="B861" s="227"/>
    </row>
    <row r="862" spans="2:2" ht="12.75" customHeight="1" x14ac:dyDescent="0.2">
      <c r="B862" s="227"/>
    </row>
    <row r="863" spans="2:2" ht="12.75" customHeight="1" x14ac:dyDescent="0.2">
      <c r="B863" s="227"/>
    </row>
    <row r="864" spans="2:2" ht="12.75" customHeight="1" x14ac:dyDescent="0.2">
      <c r="B864" s="227"/>
    </row>
    <row r="865" spans="2:2" ht="12.75" customHeight="1" x14ac:dyDescent="0.2">
      <c r="B865" s="227"/>
    </row>
    <row r="866" spans="2:2" ht="12.75" customHeight="1" x14ac:dyDescent="0.2">
      <c r="B866" s="227"/>
    </row>
    <row r="867" spans="2:2" ht="12.75" customHeight="1" x14ac:dyDescent="0.2">
      <c r="B867" s="227"/>
    </row>
    <row r="868" spans="2:2" ht="12.75" customHeight="1" x14ac:dyDescent="0.2">
      <c r="B868" s="227"/>
    </row>
    <row r="869" spans="2:2" ht="12.75" customHeight="1" x14ac:dyDescent="0.2">
      <c r="B869" s="227"/>
    </row>
    <row r="870" spans="2:2" ht="12.75" customHeight="1" x14ac:dyDescent="0.2">
      <c r="B870" s="227"/>
    </row>
    <row r="871" spans="2:2" ht="12.75" customHeight="1" x14ac:dyDescent="0.2">
      <c r="B871" s="227"/>
    </row>
    <row r="872" spans="2:2" ht="12.75" customHeight="1" x14ac:dyDescent="0.2">
      <c r="B872" s="227"/>
    </row>
    <row r="873" spans="2:2" ht="12.75" customHeight="1" x14ac:dyDescent="0.2">
      <c r="B873" s="227"/>
    </row>
    <row r="874" spans="2:2" ht="12.75" customHeight="1" x14ac:dyDescent="0.2">
      <c r="B874" s="227"/>
    </row>
    <row r="875" spans="2:2" ht="12.75" customHeight="1" x14ac:dyDescent="0.2">
      <c r="B875" s="227"/>
    </row>
    <row r="876" spans="2:2" ht="12.75" customHeight="1" x14ac:dyDescent="0.2">
      <c r="B876" s="227"/>
    </row>
    <row r="877" spans="2:2" ht="12.75" customHeight="1" x14ac:dyDescent="0.2">
      <c r="B877" s="227"/>
    </row>
    <row r="878" spans="2:2" ht="12.75" customHeight="1" x14ac:dyDescent="0.2">
      <c r="B878" s="227"/>
    </row>
    <row r="879" spans="2:2" ht="12.75" customHeight="1" x14ac:dyDescent="0.2">
      <c r="B879" s="227"/>
    </row>
    <row r="880" spans="2:2" ht="12.75" customHeight="1" x14ac:dyDescent="0.2">
      <c r="B880" s="227"/>
    </row>
    <row r="881" spans="2:2" ht="12.75" customHeight="1" x14ac:dyDescent="0.2">
      <c r="B881" s="227"/>
    </row>
    <row r="882" spans="2:2" ht="12.75" customHeight="1" x14ac:dyDescent="0.2">
      <c r="B882" s="227"/>
    </row>
    <row r="883" spans="2:2" ht="12.75" customHeight="1" x14ac:dyDescent="0.2">
      <c r="B883" s="227"/>
    </row>
    <row r="884" spans="2:2" ht="12.75" customHeight="1" x14ac:dyDescent="0.2">
      <c r="B884" s="227"/>
    </row>
    <row r="885" spans="2:2" ht="12.75" customHeight="1" x14ac:dyDescent="0.2">
      <c r="B885" s="227"/>
    </row>
    <row r="886" spans="2:2" ht="12.75" customHeight="1" x14ac:dyDescent="0.2">
      <c r="B886" s="227"/>
    </row>
    <row r="887" spans="2:2" ht="12.75" customHeight="1" x14ac:dyDescent="0.2">
      <c r="B887" s="227"/>
    </row>
    <row r="888" spans="2:2" ht="12.75" customHeight="1" x14ac:dyDescent="0.2">
      <c r="B888" s="227"/>
    </row>
    <row r="889" spans="2:2" ht="12.75" customHeight="1" x14ac:dyDescent="0.2">
      <c r="B889" s="227"/>
    </row>
    <row r="890" spans="2:2" ht="12.75" customHeight="1" x14ac:dyDescent="0.2">
      <c r="B890" s="227"/>
    </row>
    <row r="891" spans="2:2" ht="12.75" customHeight="1" x14ac:dyDescent="0.2">
      <c r="B891" s="227"/>
    </row>
    <row r="892" spans="2:2" ht="12.75" customHeight="1" x14ac:dyDescent="0.2">
      <c r="B892" s="227"/>
    </row>
    <row r="893" spans="2:2" ht="12.75" customHeight="1" x14ac:dyDescent="0.2">
      <c r="B893" s="227"/>
    </row>
    <row r="894" spans="2:2" ht="12.75" customHeight="1" x14ac:dyDescent="0.2">
      <c r="B894" s="227"/>
    </row>
    <row r="895" spans="2:2" ht="12.75" customHeight="1" x14ac:dyDescent="0.2">
      <c r="B895" s="227"/>
    </row>
    <row r="896" spans="2:2" ht="12.75" customHeight="1" x14ac:dyDescent="0.2">
      <c r="B896" s="227"/>
    </row>
    <row r="897" spans="2:2" ht="12.75" customHeight="1" x14ac:dyDescent="0.2">
      <c r="B897" s="227"/>
    </row>
    <row r="898" spans="2:2" ht="12.75" customHeight="1" x14ac:dyDescent="0.2">
      <c r="B898" s="227"/>
    </row>
    <row r="899" spans="2:2" ht="12.75" customHeight="1" x14ac:dyDescent="0.2">
      <c r="B899" s="227"/>
    </row>
    <row r="900" spans="2:2" ht="12.75" customHeight="1" x14ac:dyDescent="0.2">
      <c r="B900" s="227"/>
    </row>
    <row r="901" spans="2:2" ht="12.75" customHeight="1" x14ac:dyDescent="0.2">
      <c r="B901" s="227"/>
    </row>
    <row r="902" spans="2:2" ht="12.75" customHeight="1" x14ac:dyDescent="0.2">
      <c r="B902" s="227"/>
    </row>
    <row r="903" spans="2:2" ht="12.75" customHeight="1" x14ac:dyDescent="0.2">
      <c r="B903" s="227"/>
    </row>
    <row r="904" spans="2:2" ht="12.75" customHeight="1" x14ac:dyDescent="0.2">
      <c r="B904" s="227"/>
    </row>
    <row r="905" spans="2:2" ht="12.75" customHeight="1" x14ac:dyDescent="0.2">
      <c r="B905" s="227"/>
    </row>
    <row r="906" spans="2:2" ht="12.75" customHeight="1" x14ac:dyDescent="0.2">
      <c r="B906" s="227"/>
    </row>
    <row r="907" spans="2:2" ht="12.75" customHeight="1" x14ac:dyDescent="0.2">
      <c r="B907" s="227"/>
    </row>
    <row r="908" spans="2:2" ht="12.75" customHeight="1" x14ac:dyDescent="0.2">
      <c r="B908" s="227"/>
    </row>
    <row r="909" spans="2:2" ht="12.75" customHeight="1" x14ac:dyDescent="0.2">
      <c r="B909" s="227"/>
    </row>
    <row r="910" spans="2:2" ht="12.75" customHeight="1" x14ac:dyDescent="0.2">
      <c r="B910" s="227"/>
    </row>
    <row r="911" spans="2:2" ht="12.75" customHeight="1" x14ac:dyDescent="0.2">
      <c r="B911" s="227"/>
    </row>
    <row r="912" spans="2:2" ht="12.75" customHeight="1" x14ac:dyDescent="0.2">
      <c r="B912" s="227"/>
    </row>
    <row r="913" spans="2:2" ht="12.75" customHeight="1" x14ac:dyDescent="0.2">
      <c r="B913" s="227"/>
    </row>
    <row r="914" spans="2:2" ht="12.75" customHeight="1" x14ac:dyDescent="0.2">
      <c r="B914" s="227"/>
    </row>
    <row r="915" spans="2:2" ht="12.75" customHeight="1" x14ac:dyDescent="0.2">
      <c r="B915" s="227"/>
    </row>
    <row r="916" spans="2:2" ht="12.75" customHeight="1" x14ac:dyDescent="0.2">
      <c r="B916" s="227"/>
    </row>
    <row r="917" spans="2:2" ht="12.75" customHeight="1" x14ac:dyDescent="0.2">
      <c r="B917" s="227"/>
    </row>
    <row r="918" spans="2:2" ht="12.75" customHeight="1" x14ac:dyDescent="0.2">
      <c r="B918" s="227"/>
    </row>
    <row r="919" spans="2:2" ht="12.75" customHeight="1" x14ac:dyDescent="0.2">
      <c r="B919" s="227"/>
    </row>
    <row r="920" spans="2:2" ht="12.75" customHeight="1" x14ac:dyDescent="0.2">
      <c r="B920" s="227"/>
    </row>
    <row r="921" spans="2:2" ht="12.75" customHeight="1" x14ac:dyDescent="0.2">
      <c r="B921" s="227"/>
    </row>
    <row r="922" spans="2:2" ht="12.75" customHeight="1" x14ac:dyDescent="0.2">
      <c r="B922" s="227"/>
    </row>
    <row r="923" spans="2:2" ht="12.75" customHeight="1" x14ac:dyDescent="0.2">
      <c r="B923" s="227"/>
    </row>
    <row r="924" spans="2:2" ht="12.75" customHeight="1" x14ac:dyDescent="0.2">
      <c r="B924" s="227"/>
    </row>
    <row r="925" spans="2:2" ht="12.75" customHeight="1" x14ac:dyDescent="0.2">
      <c r="B925" s="227"/>
    </row>
    <row r="926" spans="2:2" ht="12.75" customHeight="1" x14ac:dyDescent="0.2">
      <c r="B926" s="227"/>
    </row>
    <row r="927" spans="2:2" ht="12.75" customHeight="1" x14ac:dyDescent="0.2">
      <c r="B927" s="227"/>
    </row>
    <row r="928" spans="2:2" ht="12.75" customHeight="1" x14ac:dyDescent="0.2">
      <c r="B928" s="227"/>
    </row>
    <row r="929" spans="2:2" ht="12.75" customHeight="1" x14ac:dyDescent="0.2">
      <c r="B929" s="227"/>
    </row>
    <row r="930" spans="2:2" ht="12.75" customHeight="1" x14ac:dyDescent="0.2">
      <c r="B930" s="227"/>
    </row>
    <row r="931" spans="2:2" ht="12.75" customHeight="1" x14ac:dyDescent="0.2">
      <c r="B931" s="227"/>
    </row>
    <row r="932" spans="2:2" ht="12.75" customHeight="1" x14ac:dyDescent="0.2">
      <c r="B932" s="227"/>
    </row>
    <row r="933" spans="2:2" ht="12.75" customHeight="1" x14ac:dyDescent="0.2">
      <c r="B933" s="227"/>
    </row>
    <row r="934" spans="2:2" ht="12.75" customHeight="1" x14ac:dyDescent="0.2">
      <c r="B934" s="227"/>
    </row>
    <row r="935" spans="2:2" ht="12.75" customHeight="1" x14ac:dyDescent="0.2">
      <c r="B935" s="227"/>
    </row>
    <row r="936" spans="2:2" ht="12.75" customHeight="1" x14ac:dyDescent="0.2">
      <c r="B936" s="227"/>
    </row>
    <row r="937" spans="2:2" ht="12.75" customHeight="1" x14ac:dyDescent="0.2">
      <c r="B937" s="227"/>
    </row>
    <row r="938" spans="2:2" ht="12.75" customHeight="1" x14ac:dyDescent="0.2">
      <c r="B938" s="227"/>
    </row>
    <row r="939" spans="2:2" ht="12.75" customHeight="1" x14ac:dyDescent="0.2">
      <c r="B939" s="227"/>
    </row>
    <row r="940" spans="2:2" ht="12.75" customHeight="1" x14ac:dyDescent="0.2">
      <c r="B940" s="227"/>
    </row>
    <row r="941" spans="2:2" ht="12.75" customHeight="1" x14ac:dyDescent="0.2">
      <c r="B941" s="227"/>
    </row>
    <row r="942" spans="2:2" ht="12.75" customHeight="1" x14ac:dyDescent="0.2">
      <c r="B942" s="227"/>
    </row>
    <row r="943" spans="2:2" ht="12.75" customHeight="1" x14ac:dyDescent="0.2">
      <c r="B943" s="227"/>
    </row>
    <row r="944" spans="2:2" ht="12.75" customHeight="1" x14ac:dyDescent="0.2">
      <c r="B944" s="227"/>
    </row>
    <row r="945" spans="2:2" ht="12.75" customHeight="1" x14ac:dyDescent="0.2">
      <c r="B945" s="227"/>
    </row>
    <row r="946" spans="2:2" ht="12.75" customHeight="1" x14ac:dyDescent="0.2">
      <c r="B946" s="227"/>
    </row>
    <row r="947" spans="2:2" ht="12.75" customHeight="1" x14ac:dyDescent="0.2">
      <c r="B947" s="227"/>
    </row>
    <row r="948" spans="2:2" ht="12.75" customHeight="1" x14ac:dyDescent="0.2">
      <c r="B948" s="227"/>
    </row>
    <row r="949" spans="2:2" ht="12.75" customHeight="1" x14ac:dyDescent="0.2">
      <c r="B949" s="227"/>
    </row>
    <row r="950" spans="2:2" ht="12.75" customHeight="1" x14ac:dyDescent="0.2">
      <c r="B950" s="227"/>
    </row>
    <row r="951" spans="2:2" ht="12.75" customHeight="1" x14ac:dyDescent="0.2">
      <c r="B951" s="227"/>
    </row>
    <row r="952" spans="2:2" ht="12.75" customHeight="1" x14ac:dyDescent="0.2">
      <c r="B952" s="227"/>
    </row>
    <row r="953" spans="2:2" ht="12.75" customHeight="1" x14ac:dyDescent="0.2">
      <c r="B953" s="227"/>
    </row>
    <row r="954" spans="2:2" ht="12.75" customHeight="1" x14ac:dyDescent="0.2">
      <c r="B954" s="227"/>
    </row>
    <row r="955" spans="2:2" ht="12.75" customHeight="1" x14ac:dyDescent="0.2">
      <c r="B955" s="227"/>
    </row>
    <row r="956" spans="2:2" ht="12.75" customHeight="1" x14ac:dyDescent="0.2">
      <c r="B956" s="227"/>
    </row>
    <row r="957" spans="2:2" ht="12.75" customHeight="1" x14ac:dyDescent="0.2">
      <c r="B957" s="227"/>
    </row>
    <row r="958" spans="2:2" ht="12.75" customHeight="1" x14ac:dyDescent="0.2">
      <c r="B958" s="227"/>
    </row>
    <row r="959" spans="2:2" ht="12.75" customHeight="1" x14ac:dyDescent="0.2">
      <c r="B959" s="227"/>
    </row>
    <row r="960" spans="2:2" ht="12.75" customHeight="1" x14ac:dyDescent="0.2">
      <c r="B960" s="227"/>
    </row>
    <row r="961" spans="2:2" ht="12.75" customHeight="1" x14ac:dyDescent="0.2">
      <c r="B961" s="227"/>
    </row>
    <row r="962" spans="2:2" ht="12.75" customHeight="1" x14ac:dyDescent="0.2">
      <c r="B962" s="227"/>
    </row>
    <row r="963" spans="2:2" ht="12.75" customHeight="1" x14ac:dyDescent="0.2">
      <c r="B963" s="227"/>
    </row>
    <row r="964" spans="2:2" ht="12.75" customHeight="1" x14ac:dyDescent="0.2">
      <c r="B964" s="227"/>
    </row>
    <row r="965" spans="2:2" ht="12.75" customHeight="1" x14ac:dyDescent="0.2">
      <c r="B965" s="227"/>
    </row>
    <row r="966" spans="2:2" ht="12.75" customHeight="1" x14ac:dyDescent="0.2">
      <c r="B966" s="227"/>
    </row>
    <row r="967" spans="2:2" ht="12.75" customHeight="1" x14ac:dyDescent="0.2">
      <c r="B967" s="227"/>
    </row>
    <row r="968" spans="2:2" ht="12.75" customHeight="1" x14ac:dyDescent="0.2">
      <c r="B968" s="227"/>
    </row>
    <row r="969" spans="2:2" ht="12.75" customHeight="1" x14ac:dyDescent="0.2">
      <c r="B969" s="227"/>
    </row>
    <row r="970" spans="2:2" ht="12.75" customHeight="1" x14ac:dyDescent="0.2">
      <c r="B970" s="227"/>
    </row>
    <row r="971" spans="2:2" ht="12.75" customHeight="1" x14ac:dyDescent="0.2">
      <c r="B971" s="227"/>
    </row>
    <row r="972" spans="2:2" ht="12.75" customHeight="1" x14ac:dyDescent="0.2">
      <c r="B972" s="227"/>
    </row>
    <row r="973" spans="2:2" ht="12.75" customHeight="1" x14ac:dyDescent="0.2">
      <c r="B973" s="227"/>
    </row>
    <row r="974" spans="2:2" ht="12.75" customHeight="1" x14ac:dyDescent="0.2">
      <c r="B974" s="227"/>
    </row>
    <row r="975" spans="2:2" ht="12.75" customHeight="1" x14ac:dyDescent="0.2">
      <c r="B975" s="227"/>
    </row>
    <row r="976" spans="2:2" ht="12.75" customHeight="1" x14ac:dyDescent="0.2">
      <c r="B976" s="227"/>
    </row>
    <row r="977" spans="2:2" ht="12.75" customHeight="1" x14ac:dyDescent="0.2">
      <c r="B977" s="227"/>
    </row>
    <row r="978" spans="2:2" ht="12.75" customHeight="1" x14ac:dyDescent="0.2">
      <c r="B978" s="227"/>
    </row>
    <row r="979" spans="2:2" ht="12.75" customHeight="1" x14ac:dyDescent="0.2">
      <c r="B979" s="227"/>
    </row>
    <row r="980" spans="2:2" ht="12.75" customHeight="1" x14ac:dyDescent="0.2">
      <c r="B980" s="227"/>
    </row>
    <row r="981" spans="2:2" ht="12.75" customHeight="1" x14ac:dyDescent="0.2">
      <c r="B981" s="227"/>
    </row>
    <row r="982" spans="2:2" ht="12.75" customHeight="1" x14ac:dyDescent="0.2">
      <c r="B982" s="227"/>
    </row>
    <row r="983" spans="2:2" ht="12.75" customHeight="1" x14ac:dyDescent="0.2">
      <c r="B983" s="227"/>
    </row>
    <row r="984" spans="2:2" ht="12.75" customHeight="1" x14ac:dyDescent="0.2">
      <c r="B984" s="227"/>
    </row>
    <row r="985" spans="2:2" ht="12.75" customHeight="1" x14ac:dyDescent="0.2">
      <c r="B985" s="227"/>
    </row>
    <row r="986" spans="2:2" ht="12.75" customHeight="1" x14ac:dyDescent="0.2">
      <c r="B986" s="227"/>
    </row>
    <row r="987" spans="2:2" ht="12.75" customHeight="1" x14ac:dyDescent="0.2">
      <c r="B987" s="227"/>
    </row>
    <row r="988" spans="2:2" ht="12.75" customHeight="1" x14ac:dyDescent="0.2">
      <c r="B988" s="227"/>
    </row>
    <row r="989" spans="2:2" ht="12.75" customHeight="1" x14ac:dyDescent="0.2">
      <c r="B989" s="227"/>
    </row>
    <row r="990" spans="2:2" ht="12.75" customHeight="1" x14ac:dyDescent="0.2">
      <c r="B990" s="227"/>
    </row>
    <row r="991" spans="2:2" ht="12.75" customHeight="1" x14ac:dyDescent="0.2">
      <c r="B991" s="227"/>
    </row>
    <row r="992" spans="2:2" ht="12.75" customHeight="1" x14ac:dyDescent="0.2">
      <c r="B992" s="227"/>
    </row>
    <row r="993" spans="2:2" ht="12.75" customHeight="1" x14ac:dyDescent="0.2">
      <c r="B993" s="227"/>
    </row>
    <row r="994" spans="2:2" ht="12.75" customHeight="1" x14ac:dyDescent="0.2">
      <c r="B994" s="227"/>
    </row>
    <row r="995" spans="2:2" ht="12.75" customHeight="1" x14ac:dyDescent="0.2">
      <c r="B995" s="227"/>
    </row>
    <row r="996" spans="2:2" ht="12.75" customHeight="1" x14ac:dyDescent="0.2">
      <c r="B996" s="227"/>
    </row>
    <row r="997" spans="2:2" ht="12.75" customHeight="1" x14ac:dyDescent="0.2">
      <c r="B997" s="227"/>
    </row>
    <row r="998" spans="2:2" ht="12.75" customHeight="1" x14ac:dyDescent="0.2">
      <c r="B998" s="227"/>
    </row>
    <row r="999" spans="2:2" ht="12.75" customHeight="1" x14ac:dyDescent="0.2">
      <c r="B999" s="227"/>
    </row>
    <row r="1000" spans="2:2" ht="12.75" customHeight="1" x14ac:dyDescent="0.2">
      <c r="B1000" s="227"/>
    </row>
    <row r="1001" spans="2:2" ht="12.75" customHeight="1" x14ac:dyDescent="0.2">
      <c r="B1001" s="227"/>
    </row>
    <row r="1002" spans="2:2" ht="12.75" customHeight="1" x14ac:dyDescent="0.2">
      <c r="B1002" s="227"/>
    </row>
    <row r="1003" spans="2:2" ht="12.75" customHeight="1" x14ac:dyDescent="0.2">
      <c r="B1003" s="227"/>
    </row>
    <row r="1004" spans="2:2" ht="12.75" customHeight="1" x14ac:dyDescent="0.2">
      <c r="B1004" s="227"/>
    </row>
    <row r="1005" spans="2:2" ht="12.75" customHeight="1" x14ac:dyDescent="0.2">
      <c r="B1005" s="227"/>
    </row>
    <row r="1006" spans="2:2" ht="12.75" customHeight="1" x14ac:dyDescent="0.2">
      <c r="B1006" s="227"/>
    </row>
    <row r="1007" spans="2:2" ht="12.75" customHeight="1" x14ac:dyDescent="0.2">
      <c r="B1007" s="227"/>
    </row>
    <row r="1008" spans="2:2" ht="12.75" customHeight="1" x14ac:dyDescent="0.2">
      <c r="B1008" s="227"/>
    </row>
    <row r="1009" spans="2:2" ht="12.75" customHeight="1" x14ac:dyDescent="0.2">
      <c r="B1009" s="227"/>
    </row>
    <row r="1010" spans="2:2" ht="12.75" customHeight="1" x14ac:dyDescent="0.2">
      <c r="B1010" s="227"/>
    </row>
    <row r="1011" spans="2:2" ht="12.75" customHeight="1" x14ac:dyDescent="0.2">
      <c r="B1011" s="227"/>
    </row>
    <row r="1012" spans="2:2" ht="12.75" customHeight="1" x14ac:dyDescent="0.2">
      <c r="B1012" s="227"/>
    </row>
    <row r="1013" spans="2:2" ht="12.75" customHeight="1" x14ac:dyDescent="0.2">
      <c r="B1013" s="227"/>
    </row>
    <row r="1014" spans="2:2" ht="12.75" customHeight="1" x14ac:dyDescent="0.2">
      <c r="B1014" s="227"/>
    </row>
    <row r="1015" spans="2:2" ht="12.75" customHeight="1" x14ac:dyDescent="0.2">
      <c r="B1015" s="227"/>
    </row>
    <row r="1016" spans="2:2" ht="12.75" customHeight="1" x14ac:dyDescent="0.2">
      <c r="B1016" s="227"/>
    </row>
    <row r="1017" spans="2:2" ht="12.75" customHeight="1" x14ac:dyDescent="0.2">
      <c r="B1017" s="227"/>
    </row>
    <row r="1018" spans="2:2" ht="12.75" customHeight="1" x14ac:dyDescent="0.2">
      <c r="B1018" s="227"/>
    </row>
    <row r="1019" spans="2:2" ht="12.75" customHeight="1" x14ac:dyDescent="0.2">
      <c r="B1019" s="227"/>
    </row>
    <row r="1020" spans="2:2" ht="12.75" customHeight="1" x14ac:dyDescent="0.2">
      <c r="B1020" s="227"/>
    </row>
    <row r="1021" spans="2:2" ht="12.75" customHeight="1" x14ac:dyDescent="0.2">
      <c r="B1021" s="227"/>
    </row>
    <row r="1022" spans="2:2" ht="12.75" customHeight="1" x14ac:dyDescent="0.2">
      <c r="B1022" s="227"/>
    </row>
    <row r="1023" spans="2:2" ht="12.75" customHeight="1" x14ac:dyDescent="0.2">
      <c r="B1023" s="227"/>
    </row>
    <row r="1024" spans="2:2" ht="12.75" customHeight="1" x14ac:dyDescent="0.2">
      <c r="B1024" s="227"/>
    </row>
    <row r="1025" spans="2:2" ht="12.75" customHeight="1" x14ac:dyDescent="0.2">
      <c r="B1025" s="227"/>
    </row>
    <row r="1026" spans="2:2" ht="12.75" customHeight="1" x14ac:dyDescent="0.2">
      <c r="B1026" s="227"/>
    </row>
    <row r="1027" spans="2:2" ht="12.75" customHeight="1" x14ac:dyDescent="0.2">
      <c r="B1027" s="227"/>
    </row>
    <row r="1028" spans="2:2" ht="12.75" customHeight="1" x14ac:dyDescent="0.2">
      <c r="B1028" s="227"/>
    </row>
    <row r="1029" spans="2:2" ht="12.75" customHeight="1" x14ac:dyDescent="0.2">
      <c r="B1029" s="227"/>
    </row>
    <row r="1030" spans="2:2" ht="12.75" customHeight="1" x14ac:dyDescent="0.2">
      <c r="B1030" s="227"/>
    </row>
    <row r="1031" spans="2:2" ht="12.75" customHeight="1" x14ac:dyDescent="0.2">
      <c r="B1031" s="227"/>
    </row>
    <row r="1032" spans="2:2" ht="12.75" customHeight="1" x14ac:dyDescent="0.2">
      <c r="B1032" s="227"/>
    </row>
    <row r="1033" spans="2:2" ht="12.75" customHeight="1" x14ac:dyDescent="0.2">
      <c r="B1033" s="227"/>
    </row>
    <row r="1034" spans="2:2" ht="12.75" customHeight="1" x14ac:dyDescent="0.2">
      <c r="B1034" s="227"/>
    </row>
    <row r="1035" spans="2:2" ht="12.75" customHeight="1" x14ac:dyDescent="0.2">
      <c r="B1035" s="227"/>
    </row>
    <row r="1036" spans="2:2" ht="12.75" customHeight="1" x14ac:dyDescent="0.2">
      <c r="B1036" s="227"/>
    </row>
    <row r="1037" spans="2:2" ht="12.75" customHeight="1" x14ac:dyDescent="0.2">
      <c r="B1037" s="227"/>
    </row>
    <row r="1038" spans="2:2" ht="12.75" customHeight="1" x14ac:dyDescent="0.2">
      <c r="B1038" s="227"/>
    </row>
    <row r="1039" spans="2:2" ht="12.75" customHeight="1" x14ac:dyDescent="0.2">
      <c r="B1039" s="227"/>
    </row>
    <row r="1040" spans="2:2" ht="12.75" customHeight="1" x14ac:dyDescent="0.2">
      <c r="B1040" s="227"/>
    </row>
    <row r="1041" spans="2:2" ht="12.75" customHeight="1" x14ac:dyDescent="0.2">
      <c r="B1041" s="227"/>
    </row>
    <row r="1042" spans="2:2" ht="12.75" customHeight="1" x14ac:dyDescent="0.2">
      <c r="B1042" s="227"/>
    </row>
    <row r="1043" spans="2:2" ht="12.75" customHeight="1" x14ac:dyDescent="0.2">
      <c r="B1043" s="227"/>
    </row>
    <row r="1044" spans="2:2" ht="12.75" customHeight="1" x14ac:dyDescent="0.2">
      <c r="B1044" s="227"/>
    </row>
    <row r="1045" spans="2:2" ht="12.75" customHeight="1" x14ac:dyDescent="0.2">
      <c r="B1045" s="227"/>
    </row>
    <row r="1046" spans="2:2" ht="12.75" customHeight="1" x14ac:dyDescent="0.2">
      <c r="B1046" s="227"/>
    </row>
    <row r="1047" spans="2:2" ht="12.75" customHeight="1" x14ac:dyDescent="0.2">
      <c r="B1047" s="227"/>
    </row>
    <row r="1048" spans="2:2" ht="12.75" customHeight="1" x14ac:dyDescent="0.2">
      <c r="B1048" s="227"/>
    </row>
    <row r="1049" spans="2:2" ht="12.75" customHeight="1" x14ac:dyDescent="0.2">
      <c r="B1049" s="227"/>
    </row>
    <row r="1050" spans="2:2" ht="12.75" customHeight="1" x14ac:dyDescent="0.2">
      <c r="B1050" s="227"/>
    </row>
    <row r="1051" spans="2:2" ht="12.75" customHeight="1" x14ac:dyDescent="0.2">
      <c r="B1051" s="227"/>
    </row>
    <row r="1052" spans="2:2" ht="12.75" customHeight="1" x14ac:dyDescent="0.2">
      <c r="B1052" s="227"/>
    </row>
    <row r="1053" spans="2:2" ht="12.75" customHeight="1" x14ac:dyDescent="0.2">
      <c r="B1053" s="227"/>
    </row>
    <row r="1054" spans="2:2" ht="12.75" customHeight="1" x14ac:dyDescent="0.2">
      <c r="B1054" s="227"/>
    </row>
    <row r="1055" spans="2:2" ht="12.75" customHeight="1" x14ac:dyDescent="0.2">
      <c r="B1055" s="227"/>
    </row>
    <row r="1056" spans="2:2" ht="12.75" customHeight="1" x14ac:dyDescent="0.2">
      <c r="B1056" s="227"/>
    </row>
    <row r="1057" spans="2:2" ht="12.75" customHeight="1" x14ac:dyDescent="0.2">
      <c r="B1057" s="227"/>
    </row>
    <row r="1058" spans="2:2" ht="12.75" customHeight="1" x14ac:dyDescent="0.2">
      <c r="B1058" s="227"/>
    </row>
    <row r="1059" spans="2:2" ht="12.75" customHeight="1" x14ac:dyDescent="0.2">
      <c r="B1059" s="227"/>
    </row>
    <row r="1060" spans="2:2" ht="12.75" customHeight="1" x14ac:dyDescent="0.2">
      <c r="B1060" s="227"/>
    </row>
    <row r="1061" spans="2:2" ht="12.75" customHeight="1" x14ac:dyDescent="0.2">
      <c r="B1061" s="227"/>
    </row>
    <row r="1062" spans="2:2" ht="12.75" customHeight="1" x14ac:dyDescent="0.2">
      <c r="B1062" s="227"/>
    </row>
    <row r="1063" spans="2:2" ht="12.75" customHeight="1" x14ac:dyDescent="0.2">
      <c r="B1063" s="227"/>
    </row>
    <row r="1064" spans="2:2" ht="12.75" customHeight="1" x14ac:dyDescent="0.2">
      <c r="B1064" s="227"/>
    </row>
    <row r="1065" spans="2:2" ht="12.75" customHeight="1" x14ac:dyDescent="0.2">
      <c r="B1065" s="227"/>
    </row>
    <row r="1066" spans="2:2" ht="12.75" customHeight="1" x14ac:dyDescent="0.2">
      <c r="B1066" s="227"/>
    </row>
    <row r="1067" spans="2:2" ht="12.75" customHeight="1" x14ac:dyDescent="0.2">
      <c r="B1067" s="227"/>
    </row>
    <row r="1068" spans="2:2" ht="12.75" customHeight="1" x14ac:dyDescent="0.2">
      <c r="B1068" s="227"/>
    </row>
    <row r="1069" spans="2:2" ht="12.75" customHeight="1" x14ac:dyDescent="0.2">
      <c r="B1069" s="227"/>
    </row>
    <row r="1070" spans="2:2" ht="12.75" customHeight="1" x14ac:dyDescent="0.2">
      <c r="B1070" s="227"/>
    </row>
    <row r="1071" spans="2:2" ht="12.75" customHeight="1" x14ac:dyDescent="0.2">
      <c r="B1071" s="227"/>
    </row>
    <row r="1072" spans="2:2" ht="12.75" customHeight="1" x14ac:dyDescent="0.2">
      <c r="B1072" s="227"/>
    </row>
    <row r="1073" spans="2:2" ht="12.75" customHeight="1" x14ac:dyDescent="0.2">
      <c r="B1073" s="227"/>
    </row>
    <row r="1074" spans="2:2" ht="12.75" customHeight="1" x14ac:dyDescent="0.2">
      <c r="B1074" s="227"/>
    </row>
    <row r="1075" spans="2:2" ht="12.75" customHeight="1" x14ac:dyDescent="0.2">
      <c r="B1075" s="227"/>
    </row>
    <row r="1076" spans="2:2" ht="12.75" customHeight="1" x14ac:dyDescent="0.2">
      <c r="B1076" s="227"/>
    </row>
    <row r="1077" spans="2:2" ht="12.75" customHeight="1" x14ac:dyDescent="0.2">
      <c r="B1077" s="227"/>
    </row>
    <row r="1078" spans="2:2" ht="12.75" customHeight="1" x14ac:dyDescent="0.2">
      <c r="B1078" s="227"/>
    </row>
    <row r="1079" spans="2:2" ht="12.75" customHeight="1" x14ac:dyDescent="0.2">
      <c r="B1079" s="227"/>
    </row>
    <row r="1080" spans="2:2" ht="12.75" customHeight="1" x14ac:dyDescent="0.2">
      <c r="B1080" s="227"/>
    </row>
    <row r="1081" spans="2:2" ht="12.75" customHeight="1" x14ac:dyDescent="0.2">
      <c r="B1081" s="227"/>
    </row>
    <row r="1082" spans="2:2" ht="12.75" customHeight="1" x14ac:dyDescent="0.2">
      <c r="B1082" s="227"/>
    </row>
    <row r="1083" spans="2:2" ht="12.75" customHeight="1" x14ac:dyDescent="0.2">
      <c r="B1083" s="227"/>
    </row>
    <row r="1084" spans="2:2" ht="12.75" customHeight="1" x14ac:dyDescent="0.2">
      <c r="B1084" s="227"/>
    </row>
    <row r="1085" spans="2:2" ht="12.75" customHeight="1" x14ac:dyDescent="0.2">
      <c r="B1085" s="227"/>
    </row>
    <row r="1086" spans="2:2" ht="12.75" customHeight="1" x14ac:dyDescent="0.2">
      <c r="B1086" s="227"/>
    </row>
    <row r="1087" spans="2:2" ht="12.75" customHeight="1" x14ac:dyDescent="0.2">
      <c r="B1087" s="227"/>
    </row>
    <row r="1088" spans="2:2" ht="12.75" customHeight="1" x14ac:dyDescent="0.2">
      <c r="B1088" s="227"/>
    </row>
    <row r="1089" spans="2:2" ht="12.75" customHeight="1" x14ac:dyDescent="0.2">
      <c r="B1089" s="227"/>
    </row>
    <row r="1090" spans="2:2" ht="12.75" customHeight="1" x14ac:dyDescent="0.2">
      <c r="B1090" s="227"/>
    </row>
    <row r="1091" spans="2:2" ht="12.75" customHeight="1" x14ac:dyDescent="0.2">
      <c r="B1091" s="227"/>
    </row>
    <row r="1092" spans="2:2" ht="12.75" customHeight="1" x14ac:dyDescent="0.2">
      <c r="B1092" s="227"/>
    </row>
    <row r="1093" spans="2:2" ht="12.75" customHeight="1" x14ac:dyDescent="0.2">
      <c r="B1093" s="227"/>
    </row>
    <row r="1094" spans="2:2" ht="12.75" customHeight="1" x14ac:dyDescent="0.2">
      <c r="B1094" s="227"/>
    </row>
    <row r="1095" spans="2:2" ht="12.75" customHeight="1" x14ac:dyDescent="0.2">
      <c r="B1095" s="227"/>
    </row>
    <row r="1096" spans="2:2" ht="12.75" customHeight="1" x14ac:dyDescent="0.2">
      <c r="B1096" s="227"/>
    </row>
    <row r="1097" spans="2:2" ht="12.75" customHeight="1" x14ac:dyDescent="0.2">
      <c r="B1097" s="227"/>
    </row>
    <row r="1098" spans="2:2" ht="12.75" customHeight="1" x14ac:dyDescent="0.2">
      <c r="B1098" s="227"/>
    </row>
    <row r="1099" spans="2:2" ht="12.75" customHeight="1" x14ac:dyDescent="0.2">
      <c r="B1099" s="227"/>
    </row>
    <row r="1100" spans="2:2" ht="12.75" customHeight="1" x14ac:dyDescent="0.2">
      <c r="B1100" s="227"/>
    </row>
    <row r="1101" spans="2:2" ht="12.75" customHeight="1" x14ac:dyDescent="0.2">
      <c r="B1101" s="227"/>
    </row>
    <row r="1102" spans="2:2" ht="12.75" customHeight="1" x14ac:dyDescent="0.2">
      <c r="B1102" s="227"/>
    </row>
    <row r="1103" spans="2:2" ht="12.75" customHeight="1" x14ac:dyDescent="0.2">
      <c r="B1103" s="227"/>
    </row>
    <row r="1104" spans="2:2" ht="12.75" customHeight="1" x14ac:dyDescent="0.2">
      <c r="B1104" s="227"/>
    </row>
  </sheetData>
  <phoneticPr fontId="14" type="noConversion"/>
  <pageMargins left="0.59055118110236227" right="0.59055118110236227" top="0.39370078740157483" bottom="0.39370078740157483" header="0.31496062992125984" footer="0.11811023622047245"/>
  <pageSetup paperSize="9" scale="49" orientation="landscape" r:id="rId1"/>
  <headerFooter alignWithMargins="0">
    <oddFooter>&amp;L&amp;9&amp;F
&amp;A&amp;R&amp;9Printed on: &amp;D &amp;T
Version: 2015.0</oddFoot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1" filterMode="1">
    <tabColor rgb="FFFF0000"/>
  </sheetPr>
  <dimension ref="B1:F14282"/>
  <sheetViews>
    <sheetView workbookViewId="0">
      <pane xSplit="2" ySplit="2" topLeftCell="C47" activePane="bottomRight" state="frozen"/>
      <selection pane="topRight" activeCell="B12" sqref="B12:Q12"/>
      <selection pane="bottomLeft" activeCell="B12" sqref="B12:Q12"/>
      <selection pane="bottomRight" activeCell="B172" sqref="B172"/>
    </sheetView>
  </sheetViews>
  <sheetFormatPr baseColWidth="10" defaultColWidth="11.42578125" defaultRowHeight="12.75" x14ac:dyDescent="0.2"/>
  <cols>
    <col min="1" max="1" width="2.5703125" style="226" customWidth="1"/>
    <col min="2" max="2" width="12" style="226" bestFit="1" customWidth="1"/>
    <col min="3" max="3" width="22.140625" style="226" bestFit="1" customWidth="1"/>
    <col min="4" max="4" width="64.7109375" style="226" bestFit="1" customWidth="1"/>
    <col min="5" max="5" width="17.85546875" style="226" bestFit="1" customWidth="1"/>
    <col min="6" max="6" width="21.42578125" style="226" bestFit="1" customWidth="1"/>
    <col min="7" max="16384" width="11.42578125" style="226"/>
  </cols>
  <sheetData>
    <row r="1" spans="2:6" ht="27.75" x14ac:dyDescent="0.2">
      <c r="B1" s="237" t="s">
        <v>835</v>
      </c>
      <c r="C1" s="225"/>
      <c r="D1" s="225"/>
      <c r="E1" s="225"/>
    </row>
    <row r="2" spans="2:6" ht="27.75" customHeight="1" x14ac:dyDescent="0.2">
      <c r="B2" s="39" t="s">
        <v>836</v>
      </c>
      <c r="C2" s="39" t="s">
        <v>837</v>
      </c>
      <c r="D2" s="39" t="s">
        <v>402</v>
      </c>
      <c r="E2" s="39" t="s">
        <v>838</v>
      </c>
    </row>
    <row r="3" spans="2:6" ht="12.75" hidden="1" customHeight="1" x14ac:dyDescent="0.2">
      <c r="B3" s="42">
        <v>198</v>
      </c>
      <c r="C3" s="43" t="s">
        <v>728</v>
      </c>
      <c r="D3" s="44" t="s">
        <v>839</v>
      </c>
      <c r="E3" s="45">
        <v>0.60101199999999999</v>
      </c>
      <c r="F3" s="227"/>
    </row>
    <row r="4" spans="2:6" ht="12.75" hidden="1" customHeight="1" x14ac:dyDescent="0.2">
      <c r="B4" s="46">
        <v>264</v>
      </c>
      <c r="C4" s="47" t="s">
        <v>736</v>
      </c>
      <c r="D4" s="48" t="s">
        <v>840</v>
      </c>
      <c r="E4" s="49">
        <v>0.34520328282828289</v>
      </c>
      <c r="F4" s="227" t="s">
        <v>841</v>
      </c>
    </row>
    <row r="5" spans="2:6" ht="12.75" hidden="1" customHeight="1" x14ac:dyDescent="0.2">
      <c r="B5" s="46">
        <v>312</v>
      </c>
      <c r="C5" s="47" t="s">
        <v>728</v>
      </c>
      <c r="D5" s="50" t="s">
        <v>842</v>
      </c>
      <c r="E5" s="49">
        <v>0</v>
      </c>
      <c r="F5" s="227" t="s">
        <v>841</v>
      </c>
    </row>
    <row r="6" spans="2:6" hidden="1" x14ac:dyDescent="0.2">
      <c r="B6" s="42">
        <v>316</v>
      </c>
      <c r="C6" s="43" t="s">
        <v>736</v>
      </c>
      <c r="D6" s="44" t="s">
        <v>843</v>
      </c>
      <c r="E6" s="45">
        <v>0.34520328282828289</v>
      </c>
      <c r="F6" s="227"/>
    </row>
    <row r="7" spans="2:6" hidden="1" x14ac:dyDescent="0.2">
      <c r="B7" s="42">
        <v>328</v>
      </c>
      <c r="C7" s="43" t="s">
        <v>736</v>
      </c>
      <c r="D7" s="44" t="s">
        <v>843</v>
      </c>
      <c r="E7" s="45">
        <v>0.34520328282828289</v>
      </c>
      <c r="F7" s="227"/>
    </row>
    <row r="8" spans="2:6" ht="12.75" hidden="1" customHeight="1" x14ac:dyDescent="0.2">
      <c r="B8" s="46">
        <v>347</v>
      </c>
      <c r="C8" s="47" t="s">
        <v>449</v>
      </c>
      <c r="D8" s="50" t="s">
        <v>844</v>
      </c>
      <c r="E8" s="49">
        <v>0.14257142857142857</v>
      </c>
      <c r="F8" s="227" t="s">
        <v>841</v>
      </c>
    </row>
    <row r="9" spans="2:6" hidden="1" x14ac:dyDescent="0.2">
      <c r="B9" s="42">
        <v>347</v>
      </c>
      <c r="C9" s="43" t="s">
        <v>728</v>
      </c>
      <c r="D9" s="44" t="s">
        <v>845</v>
      </c>
      <c r="E9" s="45">
        <v>0</v>
      </c>
      <c r="F9" s="227"/>
    </row>
    <row r="10" spans="2:6" ht="12.75" hidden="1" customHeight="1" x14ac:dyDescent="0.2">
      <c r="B10" s="42">
        <v>359</v>
      </c>
      <c r="C10" s="43" t="s">
        <v>736</v>
      </c>
      <c r="D10" s="44" t="s">
        <v>846</v>
      </c>
      <c r="E10" s="45">
        <v>0.2918857142857143</v>
      </c>
      <c r="F10" s="227"/>
    </row>
    <row r="11" spans="2:6" ht="12.75" hidden="1" customHeight="1" x14ac:dyDescent="0.2">
      <c r="B11" s="42">
        <v>371</v>
      </c>
      <c r="C11" s="43" t="s">
        <v>736</v>
      </c>
      <c r="D11" s="44" t="s">
        <v>847</v>
      </c>
      <c r="E11" s="45">
        <v>0.34520328282828289</v>
      </c>
      <c r="F11" s="227"/>
    </row>
    <row r="12" spans="2:6" hidden="1" x14ac:dyDescent="0.2">
      <c r="B12" s="42">
        <v>387</v>
      </c>
      <c r="C12" s="43" t="s">
        <v>728</v>
      </c>
      <c r="D12" s="44" t="s">
        <v>848</v>
      </c>
      <c r="E12" s="45">
        <v>0.71914285714285719</v>
      </c>
      <c r="F12" s="227"/>
    </row>
    <row r="13" spans="2:6" ht="12.75" hidden="1" customHeight="1" x14ac:dyDescent="0.2">
      <c r="B13" s="42">
        <v>395</v>
      </c>
      <c r="C13" s="43" t="s">
        <v>736</v>
      </c>
      <c r="D13" s="44" t="s">
        <v>846</v>
      </c>
      <c r="E13" s="45">
        <v>0</v>
      </c>
      <c r="F13" s="227"/>
    </row>
    <row r="14" spans="2:6" ht="12.75" hidden="1" customHeight="1" x14ac:dyDescent="0.2">
      <c r="B14" s="42">
        <v>403</v>
      </c>
      <c r="C14" s="43" t="s">
        <v>736</v>
      </c>
      <c r="D14" s="44" t="s">
        <v>843</v>
      </c>
      <c r="E14" s="45">
        <v>0.34520328282828289</v>
      </c>
      <c r="F14" s="227"/>
    </row>
    <row r="15" spans="2:6" ht="12.75" hidden="1" customHeight="1" x14ac:dyDescent="0.2">
      <c r="B15" s="46">
        <v>407</v>
      </c>
      <c r="C15" s="47" t="s">
        <v>729</v>
      </c>
      <c r="D15" s="50" t="s">
        <v>849</v>
      </c>
      <c r="E15" s="49">
        <v>0</v>
      </c>
      <c r="F15" s="227" t="s">
        <v>841</v>
      </c>
    </row>
    <row r="16" spans="2:6" ht="12.75" hidden="1" customHeight="1" x14ac:dyDescent="0.2">
      <c r="B16" s="42">
        <v>409</v>
      </c>
      <c r="C16" s="43" t="s">
        <v>728</v>
      </c>
      <c r="D16" s="44" t="s">
        <v>846</v>
      </c>
      <c r="E16" s="45">
        <v>0.14592171428571429</v>
      </c>
      <c r="F16" s="227"/>
    </row>
    <row r="17" spans="2:6" ht="12.75" hidden="1" customHeight="1" x14ac:dyDescent="0.2">
      <c r="B17" s="42">
        <v>412</v>
      </c>
      <c r="C17" s="43" t="s">
        <v>736</v>
      </c>
      <c r="D17" s="44" t="s">
        <v>847</v>
      </c>
      <c r="E17" s="45">
        <v>0.34520328282828289</v>
      </c>
      <c r="F17" s="227"/>
    </row>
    <row r="18" spans="2:6" ht="12.75" hidden="1" customHeight="1" x14ac:dyDescent="0.2">
      <c r="B18" s="42">
        <v>428</v>
      </c>
      <c r="C18" s="41" t="s">
        <v>729</v>
      </c>
      <c r="D18" s="44" t="s">
        <v>850</v>
      </c>
      <c r="E18" s="45">
        <v>0</v>
      </c>
      <c r="F18" s="227"/>
    </row>
    <row r="19" spans="2:6" ht="12.75" hidden="1" customHeight="1" x14ac:dyDescent="0.2">
      <c r="B19" s="42">
        <v>431</v>
      </c>
      <c r="C19" s="43" t="s">
        <v>736</v>
      </c>
      <c r="D19" s="44" t="s">
        <v>851</v>
      </c>
      <c r="E19" s="45">
        <v>0.34520328282828289</v>
      </c>
      <c r="F19" s="227"/>
    </row>
    <row r="20" spans="2:6" ht="12.75" hidden="1" customHeight="1" x14ac:dyDescent="0.2">
      <c r="B20" s="42">
        <v>433</v>
      </c>
      <c r="C20" s="43" t="s">
        <v>736</v>
      </c>
      <c r="D20" s="44" t="s">
        <v>852</v>
      </c>
      <c r="E20" s="45">
        <v>0.40621010101010108</v>
      </c>
      <c r="F20" s="227"/>
    </row>
    <row r="21" spans="2:6" ht="12.75" hidden="1" customHeight="1" x14ac:dyDescent="0.2">
      <c r="B21" s="42">
        <v>435</v>
      </c>
      <c r="C21" s="43" t="s">
        <v>736</v>
      </c>
      <c r="D21" s="44" t="s">
        <v>853</v>
      </c>
      <c r="E21" s="45">
        <v>0.37904589646464654</v>
      </c>
      <c r="F21" s="227"/>
    </row>
    <row r="22" spans="2:6" ht="12.75" hidden="1" customHeight="1" x14ac:dyDescent="0.2">
      <c r="B22" s="42">
        <v>436</v>
      </c>
      <c r="C22" s="43" t="s">
        <v>728</v>
      </c>
      <c r="D22" s="44" t="s">
        <v>854</v>
      </c>
      <c r="E22" s="45">
        <v>1.1415428571428573E-2</v>
      </c>
      <c r="F22" s="227"/>
    </row>
    <row r="23" spans="2:6" ht="12.75" hidden="1" customHeight="1" x14ac:dyDescent="0.2">
      <c r="B23" s="42">
        <v>437</v>
      </c>
      <c r="C23" s="43" t="s">
        <v>728</v>
      </c>
      <c r="D23" s="44" t="s">
        <v>854</v>
      </c>
      <c r="E23" s="45">
        <v>0.11262914285714286</v>
      </c>
      <c r="F23" s="227"/>
    </row>
    <row r="24" spans="2:6" ht="12.75" hidden="1" customHeight="1" x14ac:dyDescent="0.2">
      <c r="B24" s="42">
        <v>438</v>
      </c>
      <c r="C24" s="43" t="s">
        <v>736</v>
      </c>
      <c r="D24" s="44" t="s">
        <v>854</v>
      </c>
      <c r="E24" s="45">
        <v>1.0302857142857143E-2</v>
      </c>
      <c r="F24" s="227"/>
    </row>
    <row r="25" spans="2:6" ht="12.75" hidden="1" customHeight="1" x14ac:dyDescent="0.2">
      <c r="B25" s="42">
        <v>470</v>
      </c>
      <c r="C25" s="43" t="s">
        <v>736</v>
      </c>
      <c r="D25" s="44" t="s">
        <v>855</v>
      </c>
      <c r="E25" s="45">
        <v>0.39693396464646469</v>
      </c>
      <c r="F25" s="227"/>
    </row>
    <row r="26" spans="2:6" ht="12.75" hidden="1" customHeight="1" x14ac:dyDescent="0.2">
      <c r="B26" s="42">
        <v>472</v>
      </c>
      <c r="C26" s="41" t="s">
        <v>729</v>
      </c>
      <c r="D26" s="44" t="s">
        <v>856</v>
      </c>
      <c r="E26" s="45">
        <v>0.23439485714285715</v>
      </c>
      <c r="F26" s="227"/>
    </row>
    <row r="27" spans="2:6" ht="12.75" hidden="1" customHeight="1" x14ac:dyDescent="0.2">
      <c r="B27" s="42">
        <v>474</v>
      </c>
      <c r="C27" s="43" t="s">
        <v>755</v>
      </c>
      <c r="D27" s="44" t="s">
        <v>854</v>
      </c>
      <c r="E27" s="45">
        <v>0</v>
      </c>
      <c r="F27" s="227"/>
    </row>
    <row r="28" spans="2:6" ht="12.75" hidden="1" customHeight="1" x14ac:dyDescent="0.2">
      <c r="B28" s="42">
        <v>497</v>
      </c>
      <c r="C28" s="43" t="s">
        <v>736</v>
      </c>
      <c r="D28" s="44" t="s">
        <v>857</v>
      </c>
      <c r="E28" s="45">
        <v>0.38096805555555557</v>
      </c>
      <c r="F28" s="227"/>
    </row>
    <row r="29" spans="2:6" ht="12.75" hidden="1" customHeight="1" x14ac:dyDescent="0.2">
      <c r="B29" s="42">
        <v>498</v>
      </c>
      <c r="C29" s="41" t="s">
        <v>729</v>
      </c>
      <c r="D29" s="44" t="s">
        <v>858</v>
      </c>
      <c r="E29" s="45">
        <v>3.6026285714285719E-2</v>
      </c>
      <c r="F29" s="227"/>
    </row>
    <row r="30" spans="2:6" ht="12.75" hidden="1" customHeight="1" x14ac:dyDescent="0.2">
      <c r="B30" s="42">
        <v>505</v>
      </c>
      <c r="C30" s="43" t="s">
        <v>729</v>
      </c>
      <c r="D30" s="44" t="s">
        <v>846</v>
      </c>
      <c r="E30" s="45">
        <v>1.8889142857142861E-2</v>
      </c>
      <c r="F30" s="227"/>
    </row>
    <row r="31" spans="2:6" ht="12.75" hidden="1" customHeight="1" x14ac:dyDescent="0.2">
      <c r="B31" s="42">
        <v>506</v>
      </c>
      <c r="C31" s="43" t="s">
        <v>736</v>
      </c>
      <c r="D31" s="44" t="s">
        <v>853</v>
      </c>
      <c r="E31" s="45">
        <v>0.36392828282828288</v>
      </c>
      <c r="F31" s="227"/>
    </row>
    <row r="32" spans="2:6" ht="12.75" hidden="1" customHeight="1" x14ac:dyDescent="0.2">
      <c r="B32" s="46">
        <v>518</v>
      </c>
      <c r="C32" s="47" t="s">
        <v>728</v>
      </c>
      <c r="D32" s="50" t="s">
        <v>846</v>
      </c>
      <c r="E32" s="49">
        <v>4.8561714285714291E-2</v>
      </c>
      <c r="F32" s="227" t="s">
        <v>841</v>
      </c>
    </row>
    <row r="33" spans="2:6" ht="12.75" hidden="1" customHeight="1" x14ac:dyDescent="0.2">
      <c r="B33" s="42">
        <v>518</v>
      </c>
      <c r="C33" s="43" t="s">
        <v>736</v>
      </c>
      <c r="D33" s="44" t="s">
        <v>846</v>
      </c>
      <c r="E33" s="45">
        <v>0</v>
      </c>
      <c r="F33" s="227"/>
    </row>
    <row r="34" spans="2:6" ht="12.75" hidden="1" customHeight="1" x14ac:dyDescent="0.2">
      <c r="B34" s="42">
        <v>522</v>
      </c>
      <c r="C34" s="43" t="s">
        <v>736</v>
      </c>
      <c r="D34" s="44" t="s">
        <v>859</v>
      </c>
      <c r="E34" s="45">
        <v>0.38451976010101013</v>
      </c>
      <c r="F34" s="227"/>
    </row>
    <row r="35" spans="2:6" ht="12.75" hidden="1" customHeight="1" x14ac:dyDescent="0.2">
      <c r="B35" s="51">
        <v>523</v>
      </c>
      <c r="C35" s="43" t="s">
        <v>736</v>
      </c>
      <c r="D35" s="52" t="s">
        <v>843</v>
      </c>
      <c r="E35" s="45">
        <v>0.51423352272727274</v>
      </c>
      <c r="F35" s="227"/>
    </row>
    <row r="36" spans="2:6" ht="12.75" hidden="1" customHeight="1" x14ac:dyDescent="0.2">
      <c r="B36" s="42">
        <v>529</v>
      </c>
      <c r="C36" s="43" t="s">
        <v>736</v>
      </c>
      <c r="D36" s="44" t="s">
        <v>860</v>
      </c>
      <c r="E36" s="45">
        <v>0.52189021464646468</v>
      </c>
      <c r="F36" s="227"/>
    </row>
    <row r="37" spans="2:6" hidden="1" x14ac:dyDescent="0.2">
      <c r="B37" s="42">
        <v>553</v>
      </c>
      <c r="C37" s="43" t="s">
        <v>729</v>
      </c>
      <c r="D37" s="44" t="s">
        <v>861</v>
      </c>
      <c r="E37" s="45">
        <v>1.3039491428571428</v>
      </c>
      <c r="F37" s="227"/>
    </row>
    <row r="38" spans="2:6" ht="12.75" hidden="1" customHeight="1" x14ac:dyDescent="0.2">
      <c r="B38" s="42">
        <v>558</v>
      </c>
      <c r="C38" s="43" t="s">
        <v>729</v>
      </c>
      <c r="D38" s="44" t="s">
        <v>862</v>
      </c>
      <c r="E38" s="45">
        <v>2.0537714285714288E-2</v>
      </c>
      <c r="F38" s="227"/>
    </row>
    <row r="39" spans="2:6" ht="12.75" hidden="1" customHeight="1" x14ac:dyDescent="0.2">
      <c r="B39" s="42">
        <v>574</v>
      </c>
      <c r="C39" s="43" t="s">
        <v>729</v>
      </c>
      <c r="D39" s="44" t="s">
        <v>861</v>
      </c>
      <c r="E39" s="45">
        <v>2.169692</v>
      </c>
      <c r="F39" s="227"/>
    </row>
    <row r="40" spans="2:6" ht="12.75" hidden="1" customHeight="1" x14ac:dyDescent="0.2">
      <c r="B40" s="42">
        <v>595</v>
      </c>
      <c r="C40" s="43" t="s">
        <v>728</v>
      </c>
      <c r="D40" s="44" t="s">
        <v>842</v>
      </c>
      <c r="E40" s="45">
        <v>0.30596171428571428</v>
      </c>
      <c r="F40" s="227"/>
    </row>
    <row r="41" spans="2:6" ht="12.75" hidden="1" customHeight="1" x14ac:dyDescent="0.2">
      <c r="B41" s="42">
        <v>610</v>
      </c>
      <c r="C41" s="43" t="s">
        <v>729</v>
      </c>
      <c r="D41" s="44" t="s">
        <v>846</v>
      </c>
      <c r="E41" s="45">
        <v>0.85973914285714303</v>
      </c>
      <c r="F41" s="227"/>
    </row>
    <row r="42" spans="2:6" ht="12.75" hidden="1" customHeight="1" x14ac:dyDescent="0.2">
      <c r="B42" s="42">
        <v>611</v>
      </c>
      <c r="C42" s="43" t="s">
        <v>729</v>
      </c>
      <c r="D42" s="44" t="s">
        <v>862</v>
      </c>
      <c r="E42" s="45">
        <v>2.5757714285714287E-2</v>
      </c>
      <c r="F42" s="227"/>
    </row>
    <row r="43" spans="2:6" ht="12.75" hidden="1" customHeight="1" x14ac:dyDescent="0.2">
      <c r="B43" s="46">
        <v>612</v>
      </c>
      <c r="C43" s="47" t="s">
        <v>729</v>
      </c>
      <c r="D43" s="50" t="s">
        <v>863</v>
      </c>
      <c r="E43" s="49">
        <v>2.5757714285714287E-2</v>
      </c>
      <c r="F43" s="227" t="s">
        <v>841</v>
      </c>
    </row>
    <row r="44" spans="2:6" ht="12.75" hidden="1" customHeight="1" x14ac:dyDescent="0.2">
      <c r="B44" s="42">
        <v>614</v>
      </c>
      <c r="C44" s="43" t="s">
        <v>729</v>
      </c>
      <c r="D44" s="44" t="s">
        <v>864</v>
      </c>
      <c r="E44" s="45">
        <v>2.3455982857142859</v>
      </c>
      <c r="F44" s="227"/>
    </row>
    <row r="45" spans="2:6" hidden="1" x14ac:dyDescent="0.2">
      <c r="B45" s="42">
        <v>617</v>
      </c>
      <c r="C45" s="43" t="s">
        <v>736</v>
      </c>
      <c r="D45" s="44" t="s">
        <v>853</v>
      </c>
      <c r="E45" s="45">
        <v>0.45282771464646471</v>
      </c>
      <c r="F45" s="227"/>
    </row>
    <row r="46" spans="2:6" ht="12.75" hidden="1" customHeight="1" x14ac:dyDescent="0.2">
      <c r="B46" s="42">
        <v>618</v>
      </c>
      <c r="C46" s="41" t="s">
        <v>729</v>
      </c>
      <c r="D46" s="44" t="s">
        <v>854</v>
      </c>
      <c r="E46" s="45">
        <v>0.10829714285714287</v>
      </c>
      <c r="F46" s="227"/>
    </row>
    <row r="47" spans="2:6" ht="12.75" hidden="1" customHeight="1" x14ac:dyDescent="0.2">
      <c r="B47" s="53">
        <v>619</v>
      </c>
      <c r="C47" s="54" t="s">
        <v>448</v>
      </c>
      <c r="D47" s="55" t="s">
        <v>854</v>
      </c>
      <c r="E47" s="727">
        <v>0</v>
      </c>
      <c r="F47" s="227"/>
    </row>
    <row r="48" spans="2:6" ht="12.75" hidden="1" customHeight="1" x14ac:dyDescent="0.2">
      <c r="B48" s="46">
        <v>619</v>
      </c>
      <c r="C48" s="47" t="s">
        <v>729</v>
      </c>
      <c r="D48" s="50" t="s">
        <v>846</v>
      </c>
      <c r="E48" s="49">
        <v>0.36595200000000006</v>
      </c>
      <c r="F48" s="227" t="s">
        <v>841</v>
      </c>
    </row>
    <row r="49" spans="2:6" hidden="1" x14ac:dyDescent="0.2">
      <c r="B49" s="42">
        <v>621</v>
      </c>
      <c r="C49" s="43" t="s">
        <v>728</v>
      </c>
      <c r="D49" s="44" t="s">
        <v>854</v>
      </c>
      <c r="E49" s="45">
        <v>0.16858742857142858</v>
      </c>
      <c r="F49" s="227"/>
    </row>
    <row r="50" spans="2:6" hidden="1" x14ac:dyDescent="0.2">
      <c r="B50" s="42">
        <v>622</v>
      </c>
      <c r="C50" s="43" t="s">
        <v>736</v>
      </c>
      <c r="D50" s="44" t="s">
        <v>853</v>
      </c>
      <c r="E50" s="45">
        <v>0.43913055555555558</v>
      </c>
      <c r="F50" s="227"/>
    </row>
    <row r="51" spans="2:6" ht="12.75" hidden="1" customHeight="1" x14ac:dyDescent="0.2">
      <c r="B51" s="56">
        <v>656</v>
      </c>
      <c r="C51" s="43" t="s">
        <v>733</v>
      </c>
      <c r="D51" s="44" t="s">
        <v>865</v>
      </c>
      <c r="E51" s="45">
        <v>9.6433142857142856E-2</v>
      </c>
      <c r="F51" s="227" t="s">
        <v>866</v>
      </c>
    </row>
    <row r="52" spans="2:6" ht="12.75" hidden="1" customHeight="1" x14ac:dyDescent="0.2">
      <c r="B52" s="42">
        <v>662</v>
      </c>
      <c r="C52" s="41" t="s">
        <v>729</v>
      </c>
      <c r="D52" s="44" t="s">
        <v>867</v>
      </c>
      <c r="E52" s="45">
        <v>0.15668799999999999</v>
      </c>
      <c r="F52" s="227"/>
    </row>
    <row r="53" spans="2:6" ht="12.75" hidden="1" customHeight="1" x14ac:dyDescent="0.2">
      <c r="B53" s="46">
        <v>667</v>
      </c>
      <c r="C53" s="47" t="s">
        <v>734</v>
      </c>
      <c r="D53" s="50" t="s">
        <v>868</v>
      </c>
      <c r="E53" s="49">
        <v>1.5569502857142861</v>
      </c>
      <c r="F53" s="227" t="s">
        <v>841</v>
      </c>
    </row>
    <row r="54" spans="2:6" ht="12.75" hidden="1" customHeight="1" x14ac:dyDescent="0.2">
      <c r="B54" s="46">
        <v>669</v>
      </c>
      <c r="C54" s="47" t="s">
        <v>729</v>
      </c>
      <c r="D54" s="50" t="s">
        <v>846</v>
      </c>
      <c r="E54" s="49">
        <v>0.27753485714285714</v>
      </c>
      <c r="F54" s="227" t="s">
        <v>841</v>
      </c>
    </row>
    <row r="55" spans="2:6" hidden="1" x14ac:dyDescent="0.2">
      <c r="B55" s="42">
        <v>670</v>
      </c>
      <c r="C55" s="43" t="s">
        <v>728</v>
      </c>
      <c r="D55" s="44" t="s">
        <v>854</v>
      </c>
      <c r="E55" s="45">
        <v>0.24667657142857144</v>
      </c>
      <c r="F55" s="227"/>
    </row>
    <row r="56" spans="2:6" ht="12.75" hidden="1" customHeight="1" x14ac:dyDescent="0.2">
      <c r="B56" s="42">
        <v>671</v>
      </c>
      <c r="C56" s="43" t="s">
        <v>729</v>
      </c>
      <c r="D56" s="44" t="s">
        <v>846</v>
      </c>
      <c r="E56" s="45">
        <v>0.23410857142857142</v>
      </c>
      <c r="F56" s="227"/>
    </row>
    <row r="57" spans="2:6" hidden="1" x14ac:dyDescent="0.2">
      <c r="B57" s="42">
        <v>672</v>
      </c>
      <c r="C57" s="43" t="s">
        <v>736</v>
      </c>
      <c r="D57" s="44" t="s">
        <v>853</v>
      </c>
      <c r="E57" s="45">
        <v>0.43284362373737378</v>
      </c>
      <c r="F57" s="227"/>
    </row>
    <row r="58" spans="2:6" ht="12.75" hidden="1" customHeight="1" x14ac:dyDescent="0.2">
      <c r="B58" s="46">
        <v>673</v>
      </c>
      <c r="C58" s="47" t="s">
        <v>729</v>
      </c>
      <c r="D58" s="50" t="s">
        <v>846</v>
      </c>
      <c r="E58" s="49">
        <v>0.43450685714285719</v>
      </c>
      <c r="F58" s="227" t="s">
        <v>841</v>
      </c>
    </row>
    <row r="59" spans="2:6" hidden="1" x14ac:dyDescent="0.2">
      <c r="B59" s="42">
        <v>675</v>
      </c>
      <c r="C59" s="43" t="s">
        <v>728</v>
      </c>
      <c r="D59" s="44" t="s">
        <v>854</v>
      </c>
      <c r="E59" s="45">
        <v>0</v>
      </c>
      <c r="F59" s="227"/>
    </row>
    <row r="60" spans="2:6" ht="12.75" hidden="1" customHeight="1" x14ac:dyDescent="0.2">
      <c r="B60" s="42">
        <v>680</v>
      </c>
      <c r="C60" s="43" t="s">
        <v>729</v>
      </c>
      <c r="D60" s="44" t="s">
        <v>869</v>
      </c>
      <c r="E60" s="45">
        <v>0.80076914285714285</v>
      </c>
      <c r="F60" s="227"/>
    </row>
    <row r="61" spans="2:6" ht="12.75" hidden="1" customHeight="1" x14ac:dyDescent="0.2">
      <c r="B61" s="42">
        <v>681</v>
      </c>
      <c r="C61" s="43" t="s">
        <v>729</v>
      </c>
      <c r="D61" s="44" t="s">
        <v>869</v>
      </c>
      <c r="E61" s="45">
        <v>0.5096628571428572</v>
      </c>
      <c r="F61" s="227"/>
    </row>
    <row r="62" spans="2:6" ht="12.75" hidden="1" customHeight="1" x14ac:dyDescent="0.2">
      <c r="B62" s="42">
        <v>682</v>
      </c>
      <c r="C62" s="43" t="s">
        <v>729</v>
      </c>
      <c r="D62" s="44" t="s">
        <v>869</v>
      </c>
      <c r="E62" s="45">
        <v>0.56877657142857141</v>
      </c>
      <c r="F62" s="227"/>
    </row>
    <row r="63" spans="2:6" ht="12.75" hidden="1" customHeight="1" x14ac:dyDescent="0.2">
      <c r="B63" s="56">
        <v>687</v>
      </c>
      <c r="C63" s="43" t="s">
        <v>733</v>
      </c>
      <c r="D63" s="44" t="s">
        <v>870</v>
      </c>
      <c r="E63" s="45">
        <v>0.18756642857142855</v>
      </c>
      <c r="F63" s="227" t="s">
        <v>866</v>
      </c>
    </row>
    <row r="64" spans="2:6" hidden="1" x14ac:dyDescent="0.2">
      <c r="B64" s="42">
        <v>691</v>
      </c>
      <c r="C64" s="43" t="s">
        <v>733</v>
      </c>
      <c r="D64" s="44" t="s">
        <v>871</v>
      </c>
      <c r="E64" s="45">
        <v>1.4887234285714286</v>
      </c>
      <c r="F64" s="227"/>
    </row>
    <row r="65" spans="2:6" hidden="1" x14ac:dyDescent="0.2">
      <c r="B65" s="42">
        <v>694</v>
      </c>
      <c r="C65" s="43" t="s">
        <v>733</v>
      </c>
      <c r="D65" s="44" t="s">
        <v>872</v>
      </c>
      <c r="E65" s="45">
        <v>0</v>
      </c>
      <c r="F65" s="227"/>
    </row>
    <row r="66" spans="2:6" ht="12.75" hidden="1" customHeight="1" x14ac:dyDescent="0.2">
      <c r="B66" s="46">
        <v>696</v>
      </c>
      <c r="C66" s="47" t="s">
        <v>733</v>
      </c>
      <c r="D66" s="50" t="s">
        <v>873</v>
      </c>
      <c r="E66" s="49">
        <v>0.22061600000000001</v>
      </c>
      <c r="F66" s="227" t="s">
        <v>841</v>
      </c>
    </row>
    <row r="67" spans="2:6" ht="12.75" hidden="1" customHeight="1" x14ac:dyDescent="0.2">
      <c r="B67" s="42">
        <v>697</v>
      </c>
      <c r="C67" s="43" t="s">
        <v>733</v>
      </c>
      <c r="D67" s="44" t="s">
        <v>873</v>
      </c>
      <c r="E67" s="45">
        <v>0</v>
      </c>
      <c r="F67" s="227"/>
    </row>
    <row r="68" spans="2:6" hidden="1" x14ac:dyDescent="0.2">
      <c r="B68" s="56">
        <v>698</v>
      </c>
      <c r="C68" s="43" t="s">
        <v>733</v>
      </c>
      <c r="D68" s="44" t="s">
        <v>874</v>
      </c>
      <c r="E68" s="45">
        <v>0.17361371428571429</v>
      </c>
      <c r="F68" s="227" t="s">
        <v>866</v>
      </c>
    </row>
    <row r="69" spans="2:6" ht="12.75" hidden="1" customHeight="1" x14ac:dyDescent="0.2">
      <c r="B69" s="46">
        <v>699</v>
      </c>
      <c r="C69" s="47" t="s">
        <v>729</v>
      </c>
      <c r="D69" s="50" t="s">
        <v>869</v>
      </c>
      <c r="E69" s="49">
        <v>6.9646285714285716E-2</v>
      </c>
      <c r="F69" s="227" t="s">
        <v>841</v>
      </c>
    </row>
    <row r="70" spans="2:6" ht="12.75" hidden="1" customHeight="1" x14ac:dyDescent="0.2">
      <c r="B70" s="42">
        <v>701</v>
      </c>
      <c r="C70" s="43" t="s">
        <v>736</v>
      </c>
      <c r="D70" s="44" t="s">
        <v>846</v>
      </c>
      <c r="E70" s="45">
        <v>0.138628</v>
      </c>
      <c r="F70" s="227"/>
    </row>
    <row r="71" spans="2:6" ht="12.75" hidden="1" customHeight="1" x14ac:dyDescent="0.2">
      <c r="B71" s="46">
        <v>706</v>
      </c>
      <c r="C71" s="47" t="s">
        <v>733</v>
      </c>
      <c r="D71" s="50" t="s">
        <v>870</v>
      </c>
      <c r="E71" s="49">
        <v>0</v>
      </c>
      <c r="F71" s="227" t="s">
        <v>841</v>
      </c>
    </row>
    <row r="72" spans="2:6" ht="12.75" hidden="1" customHeight="1" x14ac:dyDescent="0.2">
      <c r="B72" s="42">
        <v>715</v>
      </c>
      <c r="C72" s="43" t="s">
        <v>736</v>
      </c>
      <c r="D72" s="44" t="s">
        <v>859</v>
      </c>
      <c r="E72" s="45">
        <v>0.48851862373737376</v>
      </c>
      <c r="F72" s="227"/>
    </row>
    <row r="73" spans="2:6" ht="12.75" hidden="1" customHeight="1" x14ac:dyDescent="0.2">
      <c r="B73" s="42">
        <v>721</v>
      </c>
      <c r="C73" s="43" t="s">
        <v>736</v>
      </c>
      <c r="D73" s="44" t="s">
        <v>853</v>
      </c>
      <c r="E73" s="45">
        <v>0.48177885101010104</v>
      </c>
      <c r="F73" s="227"/>
    </row>
    <row r="74" spans="2:6" ht="12.75" hidden="1" customHeight="1" x14ac:dyDescent="0.2">
      <c r="B74" s="42">
        <v>724</v>
      </c>
      <c r="C74" s="43" t="s">
        <v>736</v>
      </c>
      <c r="D74" s="44" t="s">
        <v>859</v>
      </c>
      <c r="E74" s="45">
        <v>0.48851862373737376</v>
      </c>
      <c r="F74" s="227"/>
    </row>
    <row r="75" spans="2:6" ht="12.75" hidden="1" customHeight="1" x14ac:dyDescent="0.2">
      <c r="B75" s="42">
        <v>725</v>
      </c>
      <c r="C75" s="43" t="s">
        <v>736</v>
      </c>
      <c r="D75" s="44" t="s">
        <v>859</v>
      </c>
      <c r="E75" s="45">
        <v>0.48851862373737376</v>
      </c>
      <c r="F75" s="227"/>
    </row>
    <row r="76" spans="2:6" ht="12.75" customHeight="1" x14ac:dyDescent="0.2">
      <c r="B76" s="42">
        <v>727</v>
      </c>
      <c r="C76" s="43" t="s">
        <v>450</v>
      </c>
      <c r="D76" s="44" t="s">
        <v>875</v>
      </c>
      <c r="E76" s="45">
        <v>3.3622337142857139</v>
      </c>
      <c r="F76" s="227"/>
    </row>
    <row r="77" spans="2:6" ht="12.75" hidden="1" customHeight="1" x14ac:dyDescent="0.2">
      <c r="B77" s="57">
        <v>730</v>
      </c>
      <c r="C77" s="58" t="s">
        <v>735</v>
      </c>
      <c r="D77" s="59" t="s">
        <v>876</v>
      </c>
      <c r="E77" s="55">
        <v>0</v>
      </c>
      <c r="F77" s="227"/>
    </row>
    <row r="78" spans="2:6" ht="12.75" hidden="1" customHeight="1" x14ac:dyDescent="0.2">
      <c r="B78" s="42">
        <v>744</v>
      </c>
      <c r="C78" s="43" t="s">
        <v>732</v>
      </c>
      <c r="D78" s="44" t="s">
        <v>877</v>
      </c>
      <c r="E78" s="45">
        <v>1.22</v>
      </c>
      <c r="F78" s="227"/>
    </row>
    <row r="79" spans="2:6" ht="15" hidden="1" x14ac:dyDescent="0.2">
      <c r="B79" s="53">
        <v>756</v>
      </c>
      <c r="C79" s="54" t="s">
        <v>448</v>
      </c>
      <c r="D79" s="55" t="s">
        <v>846</v>
      </c>
      <c r="E79" s="727">
        <v>0</v>
      </c>
      <c r="F79" s="227"/>
    </row>
    <row r="80" spans="2:6" hidden="1" x14ac:dyDescent="0.2">
      <c r="B80" s="46">
        <v>756</v>
      </c>
      <c r="C80" s="47" t="s">
        <v>736</v>
      </c>
      <c r="D80" s="50" t="s">
        <v>843</v>
      </c>
      <c r="E80" s="49">
        <v>0.74168510101010099</v>
      </c>
      <c r="F80" s="227" t="s">
        <v>841</v>
      </c>
    </row>
    <row r="81" spans="2:6" ht="12.75" hidden="1" customHeight="1" x14ac:dyDescent="0.2">
      <c r="B81" s="42">
        <v>761</v>
      </c>
      <c r="C81" s="43" t="s">
        <v>733</v>
      </c>
      <c r="D81" s="44" t="s">
        <v>878</v>
      </c>
      <c r="E81" s="45">
        <v>2.053744</v>
      </c>
      <c r="F81" s="227"/>
    </row>
    <row r="82" spans="2:6" ht="12.75" hidden="1" customHeight="1" x14ac:dyDescent="0.2">
      <c r="B82" s="56">
        <v>762</v>
      </c>
      <c r="C82" s="43" t="s">
        <v>733</v>
      </c>
      <c r="D82" s="44" t="s">
        <v>879</v>
      </c>
      <c r="E82" s="45">
        <v>0.11670000000000001</v>
      </c>
      <c r="F82" s="227" t="s">
        <v>866</v>
      </c>
    </row>
    <row r="83" spans="2:6" ht="12.75" hidden="1" customHeight="1" x14ac:dyDescent="0.2">
      <c r="B83" s="51">
        <v>770</v>
      </c>
      <c r="C83" s="43" t="s">
        <v>736</v>
      </c>
      <c r="D83" s="52" t="s">
        <v>880</v>
      </c>
      <c r="E83" s="45">
        <v>0.64305000000000001</v>
      </c>
      <c r="F83" s="227"/>
    </row>
    <row r="84" spans="2:6" ht="12.75" hidden="1" customHeight="1" x14ac:dyDescent="0.2">
      <c r="B84" s="42">
        <v>780</v>
      </c>
      <c r="C84" s="43" t="s">
        <v>733</v>
      </c>
      <c r="D84" s="44" t="s">
        <v>881</v>
      </c>
      <c r="E84" s="45">
        <v>0.16869485714285715</v>
      </c>
      <c r="F84" s="227"/>
    </row>
    <row r="85" spans="2:6" ht="12.75" hidden="1" customHeight="1" x14ac:dyDescent="0.2">
      <c r="B85" s="46">
        <v>781</v>
      </c>
      <c r="C85" s="47" t="s">
        <v>733</v>
      </c>
      <c r="D85" s="50" t="s">
        <v>882</v>
      </c>
      <c r="E85" s="49">
        <v>0</v>
      </c>
      <c r="F85" s="227" t="s">
        <v>841</v>
      </c>
    </row>
    <row r="86" spans="2:6" hidden="1" x14ac:dyDescent="0.2">
      <c r="B86" s="46">
        <v>783</v>
      </c>
      <c r="C86" s="47" t="s">
        <v>733</v>
      </c>
      <c r="D86" s="50" t="s">
        <v>883</v>
      </c>
      <c r="E86" s="49">
        <v>0</v>
      </c>
      <c r="F86" s="227" t="s">
        <v>841</v>
      </c>
    </row>
    <row r="87" spans="2:6" ht="12.75" hidden="1" customHeight="1" x14ac:dyDescent="0.2">
      <c r="B87" s="42">
        <v>785</v>
      </c>
      <c r="C87" s="43" t="s">
        <v>734</v>
      </c>
      <c r="D87" s="44" t="s">
        <v>884</v>
      </c>
      <c r="E87" s="45">
        <v>0</v>
      </c>
      <c r="F87" s="227"/>
    </row>
    <row r="88" spans="2:6" ht="12.75" hidden="1" customHeight="1" x14ac:dyDescent="0.2">
      <c r="B88" s="42">
        <v>787</v>
      </c>
      <c r="C88" s="43" t="s">
        <v>734</v>
      </c>
      <c r="D88" s="44" t="s">
        <v>868</v>
      </c>
      <c r="E88" s="45">
        <v>0</v>
      </c>
      <c r="F88" s="227"/>
    </row>
    <row r="89" spans="2:6" ht="12.75" hidden="1" customHeight="1" x14ac:dyDescent="0.2">
      <c r="B89" s="42">
        <v>796</v>
      </c>
      <c r="C89" s="43" t="s">
        <v>734</v>
      </c>
      <c r="D89" s="44" t="s">
        <v>885</v>
      </c>
      <c r="E89" s="45">
        <v>0</v>
      </c>
      <c r="F89" s="227"/>
    </row>
    <row r="90" spans="2:6" ht="12.75" hidden="1" customHeight="1" x14ac:dyDescent="0.2">
      <c r="B90" s="42">
        <v>805</v>
      </c>
      <c r="C90" s="43" t="s">
        <v>728</v>
      </c>
      <c r="D90" s="44" t="s">
        <v>886</v>
      </c>
      <c r="E90" s="45">
        <v>14.065026285714287</v>
      </c>
      <c r="F90" s="227"/>
    </row>
    <row r="91" spans="2:6" ht="12.75" hidden="1" customHeight="1" x14ac:dyDescent="0.2">
      <c r="B91" s="46">
        <v>814</v>
      </c>
      <c r="C91" s="47" t="s">
        <v>733</v>
      </c>
      <c r="D91" s="50" t="s">
        <v>887</v>
      </c>
      <c r="E91" s="49">
        <v>0.47137142857142861</v>
      </c>
      <c r="F91" s="227" t="s">
        <v>841</v>
      </c>
    </row>
    <row r="92" spans="2:6" ht="12.75" customHeight="1" x14ac:dyDescent="0.2">
      <c r="B92" s="42">
        <v>827</v>
      </c>
      <c r="C92" s="43" t="s">
        <v>450</v>
      </c>
      <c r="D92" s="44" t="s">
        <v>888</v>
      </c>
      <c r="E92" s="45">
        <v>3.4848000000000003</v>
      </c>
      <c r="F92" s="227"/>
    </row>
    <row r="93" spans="2:6" ht="12.75" hidden="1" customHeight="1" x14ac:dyDescent="0.2">
      <c r="B93" s="42">
        <v>838</v>
      </c>
      <c r="C93" s="43" t="s">
        <v>733</v>
      </c>
      <c r="D93" s="44" t="s">
        <v>878</v>
      </c>
      <c r="E93" s="45">
        <v>0</v>
      </c>
      <c r="F93" s="227"/>
    </row>
    <row r="94" spans="2:6" ht="12.75" hidden="1" customHeight="1" x14ac:dyDescent="0.2">
      <c r="B94" s="46">
        <v>843</v>
      </c>
      <c r="C94" s="47" t="s">
        <v>728</v>
      </c>
      <c r="D94" s="50" t="s">
        <v>889</v>
      </c>
      <c r="E94" s="49">
        <v>0.57714285714285718</v>
      </c>
      <c r="F94" s="227" t="s">
        <v>841</v>
      </c>
    </row>
    <row r="95" spans="2:6" ht="12.75" hidden="1" customHeight="1" x14ac:dyDescent="0.2">
      <c r="B95" s="42">
        <v>848</v>
      </c>
      <c r="C95" s="43" t="s">
        <v>729</v>
      </c>
      <c r="D95" s="44" t="s">
        <v>869</v>
      </c>
      <c r="E95" s="45">
        <v>7.3787634285714283</v>
      </c>
      <c r="F95" s="227"/>
    </row>
    <row r="96" spans="2:6" ht="12.75" hidden="1" customHeight="1" x14ac:dyDescent="0.2">
      <c r="B96" s="42">
        <v>849</v>
      </c>
      <c r="C96" s="43" t="s">
        <v>736</v>
      </c>
      <c r="D96" s="44" t="s">
        <v>890</v>
      </c>
      <c r="E96" s="45">
        <v>1.1246913510101009</v>
      </c>
      <c r="F96" s="227"/>
    </row>
    <row r="97" spans="2:6" ht="12.75" hidden="1" customHeight="1" x14ac:dyDescent="0.2">
      <c r="B97" s="56">
        <v>850</v>
      </c>
      <c r="C97" s="43" t="s">
        <v>733</v>
      </c>
      <c r="D97" s="44" t="s">
        <v>891</v>
      </c>
      <c r="E97" s="45">
        <v>0</v>
      </c>
      <c r="F97" s="227" t="s">
        <v>866</v>
      </c>
    </row>
    <row r="98" spans="2:6" ht="12.75" hidden="1" customHeight="1" x14ac:dyDescent="0.2">
      <c r="B98" s="42">
        <v>854</v>
      </c>
      <c r="C98" s="43" t="s">
        <v>734</v>
      </c>
      <c r="D98" s="44" t="s">
        <v>892</v>
      </c>
      <c r="E98" s="45">
        <v>0.17807657142857145</v>
      </c>
      <c r="F98" s="227"/>
    </row>
    <row r="99" spans="2:6" ht="12.75" hidden="1" customHeight="1" x14ac:dyDescent="0.2">
      <c r="B99" s="42">
        <v>856</v>
      </c>
      <c r="C99" s="43" t="s">
        <v>734</v>
      </c>
      <c r="D99" s="60" t="s">
        <v>868</v>
      </c>
      <c r="E99" s="45">
        <v>0</v>
      </c>
      <c r="F99" s="227"/>
    </row>
    <row r="100" spans="2:6" ht="12.75" customHeight="1" x14ac:dyDescent="0.2">
      <c r="B100" s="42">
        <v>857</v>
      </c>
      <c r="C100" s="43" t="s">
        <v>450</v>
      </c>
      <c r="D100" s="44" t="s">
        <v>893</v>
      </c>
      <c r="E100" s="45">
        <v>0</v>
      </c>
      <c r="F100" s="227"/>
    </row>
    <row r="101" spans="2:6" hidden="1" x14ac:dyDescent="0.2">
      <c r="B101" s="46">
        <v>858</v>
      </c>
      <c r="C101" s="47" t="s">
        <v>733</v>
      </c>
      <c r="D101" s="50" t="s">
        <v>894</v>
      </c>
      <c r="E101" s="49">
        <v>0</v>
      </c>
      <c r="F101" s="227" t="s">
        <v>841</v>
      </c>
    </row>
    <row r="102" spans="2:6" ht="12.75" hidden="1" customHeight="1" x14ac:dyDescent="0.2">
      <c r="B102" s="42">
        <v>863</v>
      </c>
      <c r="C102" s="43" t="s">
        <v>729</v>
      </c>
      <c r="D102" s="44" t="s">
        <v>895</v>
      </c>
      <c r="E102" s="45">
        <v>0.20231085714285713</v>
      </c>
      <c r="F102" s="227"/>
    </row>
    <row r="103" spans="2:6" hidden="1" x14ac:dyDescent="0.2">
      <c r="B103" s="46">
        <v>865</v>
      </c>
      <c r="C103" s="47" t="s">
        <v>733</v>
      </c>
      <c r="D103" s="50" t="s">
        <v>896</v>
      </c>
      <c r="E103" s="49">
        <v>0</v>
      </c>
      <c r="F103" s="227" t="s">
        <v>841</v>
      </c>
    </row>
    <row r="104" spans="2:6" ht="12.75" hidden="1" customHeight="1" x14ac:dyDescent="0.2">
      <c r="B104" s="42">
        <v>873</v>
      </c>
      <c r="C104" s="43" t="s">
        <v>729</v>
      </c>
      <c r="D104" s="44" t="s">
        <v>897</v>
      </c>
      <c r="E104" s="45">
        <v>3.5573760000000001</v>
      </c>
      <c r="F104" s="227"/>
    </row>
    <row r="105" spans="2:6" x14ac:dyDescent="0.2">
      <c r="B105" s="42">
        <v>881</v>
      </c>
      <c r="C105" s="43" t="s">
        <v>450</v>
      </c>
      <c r="D105" s="44" t="s">
        <v>898</v>
      </c>
      <c r="E105" s="45">
        <v>0</v>
      </c>
      <c r="F105" s="227"/>
    </row>
    <row r="106" spans="2:6" ht="12.75" hidden="1" customHeight="1" x14ac:dyDescent="0.2">
      <c r="B106" s="42">
        <v>890</v>
      </c>
      <c r="C106" s="43" t="s">
        <v>729</v>
      </c>
      <c r="D106" s="44" t="s">
        <v>899</v>
      </c>
      <c r="E106" s="45">
        <v>11.295452571428573</v>
      </c>
      <c r="F106" s="227"/>
    </row>
    <row r="107" spans="2:6" ht="12.75" hidden="1" customHeight="1" x14ac:dyDescent="0.2">
      <c r="B107" s="42">
        <v>892</v>
      </c>
      <c r="C107" s="43" t="s">
        <v>729</v>
      </c>
      <c r="D107" s="44" t="s">
        <v>900</v>
      </c>
      <c r="E107" s="45">
        <v>8.2977897142857149</v>
      </c>
      <c r="F107" s="227"/>
    </row>
    <row r="108" spans="2:6" ht="12.75" hidden="1" customHeight="1" x14ac:dyDescent="0.2">
      <c r="B108" s="57">
        <v>893</v>
      </c>
      <c r="C108" s="58" t="s">
        <v>735</v>
      </c>
      <c r="D108" s="59" t="s">
        <v>901</v>
      </c>
      <c r="E108" s="45">
        <v>4.280462857142858</v>
      </c>
      <c r="F108" s="227"/>
    </row>
    <row r="109" spans="2:6" hidden="1" x14ac:dyDescent="0.2">
      <c r="B109" s="42">
        <v>897</v>
      </c>
      <c r="C109" s="43" t="s">
        <v>736</v>
      </c>
      <c r="D109" s="44" t="s">
        <v>902</v>
      </c>
      <c r="E109" s="45">
        <v>2.8262890782828278</v>
      </c>
      <c r="F109" s="227"/>
    </row>
    <row r="110" spans="2:6" ht="12.75" hidden="1" customHeight="1" x14ac:dyDescent="0.2">
      <c r="B110" s="42">
        <v>898</v>
      </c>
      <c r="C110" s="43" t="s">
        <v>732</v>
      </c>
      <c r="D110" s="44" t="s">
        <v>903</v>
      </c>
      <c r="E110" s="45">
        <v>0</v>
      </c>
      <c r="F110" s="227"/>
    </row>
    <row r="111" spans="2:6" x14ac:dyDescent="0.2">
      <c r="B111" s="42">
        <v>901</v>
      </c>
      <c r="C111" s="43" t="s">
        <v>450</v>
      </c>
      <c r="D111" s="44" t="s">
        <v>904</v>
      </c>
      <c r="E111" s="45">
        <v>7.6594285714285713</v>
      </c>
      <c r="F111" s="227"/>
    </row>
    <row r="112" spans="2:6" hidden="1" x14ac:dyDescent="0.2">
      <c r="B112" s="46">
        <v>903</v>
      </c>
      <c r="C112" s="47" t="s">
        <v>735</v>
      </c>
      <c r="D112" s="50" t="s">
        <v>905</v>
      </c>
      <c r="E112" s="49">
        <v>6.9615554285714296</v>
      </c>
      <c r="F112" s="227" t="s">
        <v>841</v>
      </c>
    </row>
    <row r="113" spans="2:6" hidden="1" x14ac:dyDescent="0.2">
      <c r="B113" s="42">
        <v>911</v>
      </c>
      <c r="C113" s="43" t="s">
        <v>736</v>
      </c>
      <c r="D113" s="44" t="s">
        <v>906</v>
      </c>
      <c r="E113" s="45">
        <v>4.9056868055555558</v>
      </c>
      <c r="F113" s="227"/>
    </row>
    <row r="114" spans="2:6" ht="12.75" hidden="1" customHeight="1" x14ac:dyDescent="0.2">
      <c r="B114" s="51">
        <v>912</v>
      </c>
      <c r="C114" s="43" t="s">
        <v>735</v>
      </c>
      <c r="D114" s="52" t="s">
        <v>907</v>
      </c>
      <c r="E114" s="45">
        <v>1.2219039772727271</v>
      </c>
      <c r="F114" s="227"/>
    </row>
    <row r="115" spans="2:6" hidden="1" x14ac:dyDescent="0.2">
      <c r="B115" s="46">
        <v>914</v>
      </c>
      <c r="C115" s="47" t="s">
        <v>735</v>
      </c>
      <c r="D115" s="50" t="s">
        <v>908</v>
      </c>
      <c r="E115" s="49">
        <v>3.8857142857142857</v>
      </c>
      <c r="F115" s="227" t="s">
        <v>841</v>
      </c>
    </row>
    <row r="116" spans="2:6" ht="12.75" hidden="1" customHeight="1" x14ac:dyDescent="0.2">
      <c r="B116" s="42">
        <v>917</v>
      </c>
      <c r="C116" s="43" t="s">
        <v>736</v>
      </c>
      <c r="D116" s="44" t="s">
        <v>902</v>
      </c>
      <c r="E116" s="45">
        <v>2.4695169191919191</v>
      </c>
      <c r="F116" s="227"/>
    </row>
    <row r="117" spans="2:6" hidden="1" x14ac:dyDescent="0.2">
      <c r="B117" s="46">
        <v>919</v>
      </c>
      <c r="C117" s="47" t="s">
        <v>733</v>
      </c>
      <c r="D117" s="50" t="s">
        <v>909</v>
      </c>
      <c r="E117" s="49">
        <v>9.7668571428571429</v>
      </c>
      <c r="F117" s="227" t="s">
        <v>841</v>
      </c>
    </row>
    <row r="118" spans="2:6" ht="12.75" hidden="1" customHeight="1" x14ac:dyDescent="0.2">
      <c r="B118" s="51">
        <v>925</v>
      </c>
      <c r="C118" s="43" t="s">
        <v>735</v>
      </c>
      <c r="D118" s="52" t="s">
        <v>910</v>
      </c>
      <c r="E118" s="45">
        <v>0.61253863636363637</v>
      </c>
      <c r="F118" s="227"/>
    </row>
    <row r="119" spans="2:6" hidden="1" x14ac:dyDescent="0.2">
      <c r="B119" s="42">
        <v>928</v>
      </c>
      <c r="C119" s="43" t="s">
        <v>728</v>
      </c>
      <c r="D119" s="44" t="s">
        <v>854</v>
      </c>
      <c r="E119" s="45">
        <v>0.45714285714285713</v>
      </c>
      <c r="F119" s="227"/>
    </row>
    <row r="120" spans="2:6" ht="12.75" hidden="1" customHeight="1" x14ac:dyDescent="0.2">
      <c r="B120" s="42">
        <v>929</v>
      </c>
      <c r="C120" s="43" t="s">
        <v>734</v>
      </c>
      <c r="D120" s="44" t="s">
        <v>854</v>
      </c>
      <c r="E120" s="45">
        <v>0.45714285714285713</v>
      </c>
      <c r="F120" s="227"/>
    </row>
    <row r="121" spans="2:6" hidden="1" x14ac:dyDescent="0.2">
      <c r="B121" s="42">
        <v>930</v>
      </c>
      <c r="C121" s="43" t="s">
        <v>734</v>
      </c>
      <c r="D121" s="44" t="s">
        <v>854</v>
      </c>
      <c r="E121" s="45">
        <v>0.45714285714285713</v>
      </c>
      <c r="F121" s="227"/>
    </row>
    <row r="122" spans="2:6" ht="12.75" hidden="1" customHeight="1" x14ac:dyDescent="0.2">
      <c r="B122" s="51">
        <v>931</v>
      </c>
      <c r="C122" s="43" t="s">
        <v>735</v>
      </c>
      <c r="D122" s="52" t="s">
        <v>853</v>
      </c>
      <c r="E122" s="45">
        <v>0.69322045454545456</v>
      </c>
      <c r="F122" s="227"/>
    </row>
    <row r="123" spans="2:6" ht="12.75" hidden="1" customHeight="1" x14ac:dyDescent="0.2">
      <c r="B123" s="42">
        <v>932</v>
      </c>
      <c r="C123" s="43" t="s">
        <v>734</v>
      </c>
      <c r="D123" s="44" t="s">
        <v>854</v>
      </c>
      <c r="E123" s="45">
        <v>0.45714285714285713</v>
      </c>
      <c r="F123" s="227"/>
    </row>
    <row r="124" spans="2:6" ht="12.75" hidden="1" customHeight="1" x14ac:dyDescent="0.2">
      <c r="B124" s="42">
        <v>933</v>
      </c>
      <c r="C124" s="43" t="s">
        <v>728</v>
      </c>
      <c r="D124" s="44" t="s">
        <v>854</v>
      </c>
      <c r="E124" s="45">
        <v>0.45714285714285713</v>
      </c>
      <c r="F124" s="227"/>
    </row>
    <row r="125" spans="2:6" ht="12.75" hidden="1" customHeight="1" x14ac:dyDescent="0.2">
      <c r="B125" s="42">
        <v>935</v>
      </c>
      <c r="C125" s="43" t="s">
        <v>734</v>
      </c>
      <c r="D125" s="44" t="s">
        <v>911</v>
      </c>
      <c r="E125" s="45">
        <v>0</v>
      </c>
      <c r="F125" s="227"/>
    </row>
    <row r="126" spans="2:6" hidden="1" x14ac:dyDescent="0.2">
      <c r="B126" s="42">
        <v>936</v>
      </c>
      <c r="C126" s="43" t="s">
        <v>734</v>
      </c>
      <c r="D126" s="44" t="s">
        <v>912</v>
      </c>
      <c r="E126" s="45">
        <v>2.3102857142857145</v>
      </c>
      <c r="F126" s="227"/>
    </row>
    <row r="127" spans="2:6" hidden="1" x14ac:dyDescent="0.2">
      <c r="B127" s="57">
        <v>947</v>
      </c>
      <c r="C127" s="58" t="s">
        <v>735</v>
      </c>
      <c r="D127" s="59" t="s">
        <v>913</v>
      </c>
      <c r="E127" s="45">
        <v>4.4170171428571434</v>
      </c>
      <c r="F127" s="227"/>
    </row>
    <row r="128" spans="2:6" ht="12.75" hidden="1" customHeight="1" x14ac:dyDescent="0.2">
      <c r="B128" s="42">
        <v>954</v>
      </c>
      <c r="C128" s="43" t="s">
        <v>729</v>
      </c>
      <c r="D128" s="44" t="s">
        <v>914</v>
      </c>
      <c r="E128" s="45">
        <v>1.0324068571428573</v>
      </c>
      <c r="F128" s="227"/>
    </row>
    <row r="129" spans="2:6" hidden="1" x14ac:dyDescent="0.2">
      <c r="B129" s="42">
        <v>973</v>
      </c>
      <c r="C129" s="43" t="s">
        <v>449</v>
      </c>
      <c r="D129" s="44" t="s">
        <v>915</v>
      </c>
      <c r="E129" s="45">
        <v>0</v>
      </c>
      <c r="F129" s="227"/>
    </row>
    <row r="130" spans="2:6" hidden="1" x14ac:dyDescent="0.2">
      <c r="B130" s="42">
        <v>976</v>
      </c>
      <c r="C130" s="43" t="s">
        <v>736</v>
      </c>
      <c r="D130" s="44" t="s">
        <v>916</v>
      </c>
      <c r="E130" s="45">
        <v>0.54020328282828289</v>
      </c>
      <c r="F130" s="227"/>
    </row>
    <row r="131" spans="2:6" ht="12.75" hidden="1" customHeight="1" x14ac:dyDescent="0.2">
      <c r="B131" s="42">
        <v>979</v>
      </c>
      <c r="C131" s="43" t="s">
        <v>734</v>
      </c>
      <c r="D131" s="44" t="s">
        <v>868</v>
      </c>
      <c r="E131" s="45">
        <v>2.4664285714285716</v>
      </c>
      <c r="F131" s="227"/>
    </row>
    <row r="132" spans="2:6" hidden="1" x14ac:dyDescent="0.2">
      <c r="B132" s="42">
        <v>980</v>
      </c>
      <c r="C132" s="43" t="s">
        <v>449</v>
      </c>
      <c r="D132" s="44" t="s">
        <v>917</v>
      </c>
      <c r="E132" s="45">
        <v>0</v>
      </c>
      <c r="F132" s="227"/>
    </row>
    <row r="133" spans="2:6" hidden="1" x14ac:dyDescent="0.2">
      <c r="B133" s="46">
        <v>980</v>
      </c>
      <c r="C133" s="47" t="s">
        <v>449</v>
      </c>
      <c r="D133" s="50" t="s">
        <v>917</v>
      </c>
      <c r="E133" s="49">
        <v>2.9937142857142858</v>
      </c>
      <c r="F133" s="227" t="s">
        <v>841</v>
      </c>
    </row>
    <row r="134" spans="2:6" ht="12.75" hidden="1" customHeight="1" x14ac:dyDescent="0.2">
      <c r="B134" s="42">
        <v>986</v>
      </c>
      <c r="C134" s="43" t="s">
        <v>732</v>
      </c>
      <c r="D134" s="44" t="s">
        <v>918</v>
      </c>
      <c r="E134" s="45">
        <v>13.85</v>
      </c>
      <c r="F134" s="227"/>
    </row>
    <row r="135" spans="2:6" hidden="1" x14ac:dyDescent="0.2">
      <c r="B135" s="56">
        <v>989</v>
      </c>
      <c r="C135" s="43" t="s">
        <v>733</v>
      </c>
      <c r="D135" s="44" t="s">
        <v>919</v>
      </c>
      <c r="E135" s="45">
        <v>0</v>
      </c>
      <c r="F135" s="227" t="s">
        <v>866</v>
      </c>
    </row>
    <row r="136" spans="2:6" ht="12.75" hidden="1" customHeight="1" x14ac:dyDescent="0.2">
      <c r="B136" s="42">
        <v>991</v>
      </c>
      <c r="C136" s="43" t="s">
        <v>449</v>
      </c>
      <c r="D136" s="44" t="s">
        <v>920</v>
      </c>
      <c r="E136" s="45">
        <v>0.1870297142857143</v>
      </c>
      <c r="F136" s="227"/>
    </row>
    <row r="137" spans="2:6" hidden="1" x14ac:dyDescent="0.2">
      <c r="B137" s="42">
        <v>994</v>
      </c>
      <c r="C137" s="43" t="s">
        <v>734</v>
      </c>
      <c r="D137" s="44" t="s">
        <v>921</v>
      </c>
      <c r="E137" s="45">
        <v>0</v>
      </c>
      <c r="F137" s="227"/>
    </row>
    <row r="138" spans="2:6" hidden="1" x14ac:dyDescent="0.2">
      <c r="B138" s="42">
        <v>996</v>
      </c>
      <c r="C138" s="43" t="s">
        <v>729</v>
      </c>
      <c r="D138" s="44" t="s">
        <v>900</v>
      </c>
      <c r="E138" s="45">
        <v>4.0146491428571434</v>
      </c>
      <c r="F138" s="227"/>
    </row>
    <row r="139" spans="2:6" hidden="1" x14ac:dyDescent="0.2">
      <c r="B139" s="42">
        <v>997</v>
      </c>
      <c r="C139" s="43" t="s">
        <v>449</v>
      </c>
      <c r="D139" s="44" t="s">
        <v>922</v>
      </c>
      <c r="E139" s="45">
        <v>0.55200000000000005</v>
      </c>
      <c r="F139" s="227"/>
    </row>
    <row r="140" spans="2:6" ht="12.75" hidden="1" customHeight="1" x14ac:dyDescent="0.2">
      <c r="B140" s="46">
        <v>999</v>
      </c>
      <c r="C140" s="47" t="s">
        <v>733</v>
      </c>
      <c r="D140" s="50" t="s">
        <v>896</v>
      </c>
      <c r="E140" s="49">
        <v>0.50640000000000007</v>
      </c>
      <c r="F140" s="227" t="s">
        <v>841</v>
      </c>
    </row>
    <row r="141" spans="2:6" hidden="1" x14ac:dyDescent="0.2">
      <c r="B141" s="56">
        <v>1000</v>
      </c>
      <c r="C141" s="43" t="s">
        <v>733</v>
      </c>
      <c r="D141" s="44" t="s">
        <v>923</v>
      </c>
      <c r="E141" s="45">
        <v>0</v>
      </c>
      <c r="F141" s="227" t="s">
        <v>866</v>
      </c>
    </row>
    <row r="142" spans="2:6" ht="12.75" hidden="1" customHeight="1" x14ac:dyDescent="0.2">
      <c r="B142" s="42">
        <v>1001</v>
      </c>
      <c r="C142" s="43" t="s">
        <v>733</v>
      </c>
      <c r="D142" s="44" t="s">
        <v>924</v>
      </c>
      <c r="E142" s="45">
        <v>0.16484914285714289</v>
      </c>
      <c r="F142" s="227"/>
    </row>
    <row r="143" spans="2:6" ht="12.75" customHeight="1" x14ac:dyDescent="0.2">
      <c r="B143" s="42">
        <v>1002</v>
      </c>
      <c r="C143" s="43" t="s">
        <v>450</v>
      </c>
      <c r="D143" s="44" t="s">
        <v>925</v>
      </c>
      <c r="E143" s="45">
        <v>11.214168000000001</v>
      </c>
      <c r="F143" s="227"/>
    </row>
    <row r="144" spans="2:6" ht="12.75" hidden="1" customHeight="1" x14ac:dyDescent="0.2">
      <c r="B144" s="42">
        <v>1004</v>
      </c>
      <c r="C144" s="43" t="s">
        <v>734</v>
      </c>
      <c r="D144" s="44" t="s">
        <v>926</v>
      </c>
      <c r="E144" s="45">
        <v>0</v>
      </c>
      <c r="F144" s="227"/>
    </row>
    <row r="145" spans="2:6" ht="12.75" hidden="1" customHeight="1" x14ac:dyDescent="0.2">
      <c r="B145" s="42">
        <v>1006</v>
      </c>
      <c r="C145" s="43" t="s">
        <v>729</v>
      </c>
      <c r="D145" s="44" t="s">
        <v>846</v>
      </c>
      <c r="E145" s="45">
        <v>0.49451428571428574</v>
      </c>
      <c r="F145" s="227"/>
    </row>
    <row r="146" spans="2:6" hidden="1" x14ac:dyDescent="0.2">
      <c r="B146" s="42">
        <v>1007</v>
      </c>
      <c r="C146" s="43" t="s">
        <v>736</v>
      </c>
      <c r="D146" s="44" t="s">
        <v>853</v>
      </c>
      <c r="E146" s="45">
        <v>0.51560101010101012</v>
      </c>
      <c r="F146" s="227"/>
    </row>
    <row r="147" spans="2:6" hidden="1" x14ac:dyDescent="0.2">
      <c r="B147" s="42">
        <v>1008</v>
      </c>
      <c r="C147" s="43" t="s">
        <v>729</v>
      </c>
      <c r="D147" s="44" t="s">
        <v>846</v>
      </c>
      <c r="E147" s="45">
        <v>0.34285714285714286</v>
      </c>
      <c r="F147" s="227"/>
    </row>
    <row r="148" spans="2:6" ht="12.75" hidden="1" customHeight="1" x14ac:dyDescent="0.2">
      <c r="B148" s="46">
        <v>1010</v>
      </c>
      <c r="C148" s="47" t="s">
        <v>729</v>
      </c>
      <c r="D148" s="50" t="s">
        <v>895</v>
      </c>
      <c r="E148" s="49">
        <v>9.7469714285714285E-2</v>
      </c>
      <c r="F148" s="227" t="s">
        <v>841</v>
      </c>
    </row>
    <row r="149" spans="2:6" ht="12.75" hidden="1" customHeight="1" x14ac:dyDescent="0.2">
      <c r="B149" s="46">
        <v>1018</v>
      </c>
      <c r="C149" s="47" t="s">
        <v>927</v>
      </c>
      <c r="D149" s="50" t="s">
        <v>901</v>
      </c>
      <c r="E149" s="49">
        <v>4.3428925714285711</v>
      </c>
      <c r="F149" s="227" t="s">
        <v>928</v>
      </c>
    </row>
    <row r="150" spans="2:6" ht="12.75" hidden="1" customHeight="1" x14ac:dyDescent="0.2">
      <c r="B150" s="42">
        <v>1019</v>
      </c>
      <c r="C150" s="43" t="s">
        <v>449</v>
      </c>
      <c r="D150" s="44" t="s">
        <v>929</v>
      </c>
      <c r="E150" s="45">
        <v>0</v>
      </c>
      <c r="F150" s="227"/>
    </row>
    <row r="151" spans="2:6" hidden="1" x14ac:dyDescent="0.2">
      <c r="B151" s="51">
        <v>1022</v>
      </c>
      <c r="C151" s="43" t="s">
        <v>735</v>
      </c>
      <c r="D151" s="52" t="s">
        <v>930</v>
      </c>
      <c r="E151" s="45">
        <v>0.57951420454545455</v>
      </c>
      <c r="F151" s="227"/>
    </row>
    <row r="152" spans="2:6" hidden="1" x14ac:dyDescent="0.2">
      <c r="B152" s="42">
        <v>1030</v>
      </c>
      <c r="C152" s="43" t="s">
        <v>734</v>
      </c>
      <c r="D152" s="44" t="s">
        <v>931</v>
      </c>
      <c r="E152" s="45">
        <v>10.157142857142857</v>
      </c>
      <c r="F152" s="227"/>
    </row>
    <row r="153" spans="2:6" ht="12.75" hidden="1" customHeight="1" x14ac:dyDescent="0.2">
      <c r="B153" s="42">
        <v>1031</v>
      </c>
      <c r="C153" s="43" t="s">
        <v>732</v>
      </c>
      <c r="D153" s="44" t="s">
        <v>932</v>
      </c>
      <c r="E153" s="45">
        <v>0</v>
      </c>
      <c r="F153" s="227"/>
    </row>
    <row r="154" spans="2:6" hidden="1" x14ac:dyDescent="0.2">
      <c r="B154" s="42">
        <v>1033</v>
      </c>
      <c r="C154" s="43" t="s">
        <v>449</v>
      </c>
      <c r="D154" s="44" t="s">
        <v>844</v>
      </c>
      <c r="E154" s="45">
        <v>0</v>
      </c>
      <c r="F154" s="227"/>
    </row>
    <row r="155" spans="2:6" ht="12.75" hidden="1" customHeight="1" x14ac:dyDescent="0.2">
      <c r="B155" s="42">
        <v>1036</v>
      </c>
      <c r="C155" s="43" t="s">
        <v>734</v>
      </c>
      <c r="D155" s="44" t="s">
        <v>933</v>
      </c>
      <c r="E155" s="45">
        <v>1.8411428571428572</v>
      </c>
      <c r="F155" s="227"/>
    </row>
    <row r="156" spans="2:6" ht="12.75" hidden="1" customHeight="1" x14ac:dyDescent="0.2">
      <c r="B156" s="42">
        <v>1037</v>
      </c>
      <c r="C156" s="43" t="s">
        <v>734</v>
      </c>
      <c r="D156" s="44" t="s">
        <v>854</v>
      </c>
      <c r="E156" s="45">
        <v>0.93728571428571428</v>
      </c>
      <c r="F156" s="227"/>
    </row>
    <row r="157" spans="2:6" ht="12.75" hidden="1" customHeight="1" x14ac:dyDescent="0.2">
      <c r="B157" s="46">
        <v>1038</v>
      </c>
      <c r="C157" s="47" t="s">
        <v>734</v>
      </c>
      <c r="D157" s="50" t="s">
        <v>854</v>
      </c>
      <c r="E157" s="49">
        <v>0</v>
      </c>
      <c r="F157" s="227" t="s">
        <v>841</v>
      </c>
    </row>
    <row r="158" spans="2:6" ht="12.75" hidden="1" customHeight="1" x14ac:dyDescent="0.2">
      <c r="B158" s="51">
        <v>1039</v>
      </c>
      <c r="C158" s="54" t="s">
        <v>448</v>
      </c>
      <c r="D158" s="55" t="s">
        <v>908</v>
      </c>
      <c r="E158" s="45">
        <v>4.4571428571428573</v>
      </c>
      <c r="F158" s="227"/>
    </row>
    <row r="159" spans="2:6" ht="12.75" hidden="1" customHeight="1" x14ac:dyDescent="0.2">
      <c r="B159" s="61">
        <v>1044</v>
      </c>
      <c r="C159" s="47" t="s">
        <v>735</v>
      </c>
      <c r="D159" s="62" t="s">
        <v>934</v>
      </c>
      <c r="E159" s="49">
        <v>0.96901590909090918</v>
      </c>
      <c r="F159" s="227" t="s">
        <v>841</v>
      </c>
    </row>
    <row r="160" spans="2:6" ht="12.75" hidden="1" customHeight="1" x14ac:dyDescent="0.2">
      <c r="B160" s="42">
        <v>1047</v>
      </c>
      <c r="C160" s="43" t="s">
        <v>729</v>
      </c>
      <c r="D160" s="44" t="s">
        <v>862</v>
      </c>
      <c r="E160" s="45">
        <v>5.909763428571428</v>
      </c>
      <c r="F160" s="227"/>
    </row>
    <row r="161" spans="2:6" hidden="1" x14ac:dyDescent="0.2">
      <c r="B161" s="42">
        <v>1048</v>
      </c>
      <c r="C161" s="43" t="s">
        <v>734</v>
      </c>
      <c r="D161" s="44" t="s">
        <v>935</v>
      </c>
      <c r="E161" s="45">
        <v>2.0247891428571432</v>
      </c>
      <c r="F161" s="227"/>
    </row>
    <row r="162" spans="2:6" ht="12.75" hidden="1" customHeight="1" x14ac:dyDescent="0.2">
      <c r="B162" s="42">
        <v>1051</v>
      </c>
      <c r="C162" s="43" t="s">
        <v>728</v>
      </c>
      <c r="D162" s="44" t="s">
        <v>936</v>
      </c>
      <c r="E162" s="45">
        <v>6.0394240000000003</v>
      </c>
      <c r="F162" s="227"/>
    </row>
    <row r="163" spans="2:6" hidden="1" x14ac:dyDescent="0.2">
      <c r="B163" s="42">
        <v>1056</v>
      </c>
      <c r="C163" s="43" t="s">
        <v>736</v>
      </c>
      <c r="D163" s="44" t="s">
        <v>937</v>
      </c>
      <c r="E163" s="45">
        <v>0.43220044191919194</v>
      </c>
      <c r="F163" s="227"/>
    </row>
    <row r="164" spans="2:6" ht="12.75" hidden="1" customHeight="1" x14ac:dyDescent="0.2">
      <c r="B164" s="42">
        <v>1067</v>
      </c>
      <c r="C164" s="43" t="s">
        <v>449</v>
      </c>
      <c r="D164" s="44" t="s">
        <v>938</v>
      </c>
      <c r="E164" s="45">
        <v>2.9003554285714288</v>
      </c>
      <c r="F164" s="227"/>
    </row>
    <row r="165" spans="2:6" ht="12.75" hidden="1" customHeight="1" x14ac:dyDescent="0.2">
      <c r="B165" s="42">
        <v>1070</v>
      </c>
      <c r="C165" s="43" t="s">
        <v>733</v>
      </c>
      <c r="D165" s="44" t="s">
        <v>939</v>
      </c>
      <c r="E165" s="45">
        <v>9.6230571428571423</v>
      </c>
      <c r="F165" s="227"/>
    </row>
    <row r="166" spans="2:6" ht="12.75" hidden="1" customHeight="1" x14ac:dyDescent="0.2">
      <c r="B166" s="46">
        <v>1071</v>
      </c>
      <c r="C166" s="47" t="s">
        <v>733</v>
      </c>
      <c r="D166" s="50" t="s">
        <v>940</v>
      </c>
      <c r="E166" s="49">
        <v>0.86142857142857143</v>
      </c>
      <c r="F166" s="227" t="s">
        <v>841</v>
      </c>
    </row>
    <row r="167" spans="2:6" ht="12.75" hidden="1" customHeight="1" x14ac:dyDescent="0.2">
      <c r="B167" s="42">
        <v>1072</v>
      </c>
      <c r="C167" s="43" t="s">
        <v>736</v>
      </c>
      <c r="D167" s="44" t="s">
        <v>941</v>
      </c>
      <c r="E167" s="45">
        <v>0.8078657828282827</v>
      </c>
      <c r="F167" s="227"/>
    </row>
    <row r="168" spans="2:6" hidden="1" x14ac:dyDescent="0.2">
      <c r="B168" s="42">
        <v>1076</v>
      </c>
      <c r="C168" s="43" t="s">
        <v>733</v>
      </c>
      <c r="D168" s="44" t="s">
        <v>878</v>
      </c>
      <c r="E168" s="45">
        <v>11.580428571428572</v>
      </c>
      <c r="F168" s="227"/>
    </row>
    <row r="169" spans="2:6" ht="12.75" hidden="1" customHeight="1" x14ac:dyDescent="0.2">
      <c r="B169" s="42">
        <v>1077</v>
      </c>
      <c r="C169" s="43" t="s">
        <v>732</v>
      </c>
      <c r="D169" s="44" t="s">
        <v>942</v>
      </c>
      <c r="E169" s="45">
        <v>2.69</v>
      </c>
      <c r="F169" s="227"/>
    </row>
    <row r="170" spans="2:6" ht="12.75" hidden="1" customHeight="1" x14ac:dyDescent="0.2">
      <c r="B170" s="46">
        <v>1083</v>
      </c>
      <c r="C170" s="47" t="s">
        <v>728</v>
      </c>
      <c r="D170" s="50" t="s">
        <v>943</v>
      </c>
      <c r="E170" s="49">
        <v>3.0647828571428573</v>
      </c>
      <c r="F170" s="227" t="s">
        <v>944</v>
      </c>
    </row>
    <row r="171" spans="2:6" hidden="1" x14ac:dyDescent="0.2">
      <c r="B171" s="42">
        <v>1088</v>
      </c>
      <c r="C171" s="43" t="s">
        <v>728</v>
      </c>
      <c r="D171" s="44" t="s">
        <v>945</v>
      </c>
      <c r="E171" s="45">
        <v>1.8577337142857144</v>
      </c>
      <c r="F171" s="227"/>
    </row>
    <row r="172" spans="2:6" ht="12.75" customHeight="1" x14ac:dyDescent="0.2">
      <c r="B172" s="42">
        <v>1090</v>
      </c>
      <c r="C172" s="43" t="s">
        <v>450</v>
      </c>
      <c r="D172" s="44" t="s">
        <v>925</v>
      </c>
      <c r="E172" s="45">
        <v>8.7425956362950412</v>
      </c>
      <c r="F172" s="227"/>
    </row>
    <row r="173" spans="2:6" ht="12.75" hidden="1" customHeight="1" x14ac:dyDescent="0.2">
      <c r="B173" s="56">
        <v>1094</v>
      </c>
      <c r="C173" s="43" t="s">
        <v>733</v>
      </c>
      <c r="D173" s="44" t="s">
        <v>946</v>
      </c>
      <c r="E173" s="45">
        <v>1.5714857142857145E-2</v>
      </c>
      <c r="F173" s="227" t="s">
        <v>866</v>
      </c>
    </row>
    <row r="174" spans="2:6" ht="12.75" hidden="1" customHeight="1" x14ac:dyDescent="0.2">
      <c r="B174" s="42">
        <v>1095</v>
      </c>
      <c r="C174" s="43" t="s">
        <v>728</v>
      </c>
      <c r="D174" s="44" t="s">
        <v>854</v>
      </c>
      <c r="E174" s="45">
        <v>1.7474285714285713</v>
      </c>
      <c r="F174" s="227"/>
    </row>
    <row r="175" spans="2:6" ht="12.75" hidden="1" customHeight="1" x14ac:dyDescent="0.2">
      <c r="B175" s="42">
        <v>1096</v>
      </c>
      <c r="C175" s="43" t="s">
        <v>734</v>
      </c>
      <c r="D175" s="44" t="s">
        <v>947</v>
      </c>
      <c r="E175" s="45">
        <v>0</v>
      </c>
      <c r="F175" s="227"/>
    </row>
    <row r="176" spans="2:6" ht="12.75" hidden="1" customHeight="1" x14ac:dyDescent="0.2">
      <c r="B176" s="46">
        <v>1103</v>
      </c>
      <c r="C176" s="47" t="s">
        <v>728</v>
      </c>
      <c r="D176" s="50" t="s">
        <v>842</v>
      </c>
      <c r="E176" s="49">
        <v>0.93133828571428579</v>
      </c>
      <c r="F176" s="227" t="s">
        <v>944</v>
      </c>
    </row>
    <row r="177" spans="2:6" hidden="1" x14ac:dyDescent="0.2">
      <c r="B177" s="42">
        <v>1103</v>
      </c>
      <c r="C177" s="43" t="s">
        <v>736</v>
      </c>
      <c r="D177" s="44" t="s">
        <v>842</v>
      </c>
      <c r="E177" s="45">
        <v>0</v>
      </c>
      <c r="F177" s="227"/>
    </row>
    <row r="178" spans="2:6" hidden="1" x14ac:dyDescent="0.2">
      <c r="B178" s="56">
        <v>1106</v>
      </c>
      <c r="C178" s="43" t="s">
        <v>733</v>
      </c>
      <c r="D178" s="44" t="s">
        <v>948</v>
      </c>
      <c r="E178" s="45">
        <v>0</v>
      </c>
      <c r="F178" s="227" t="s">
        <v>866</v>
      </c>
    </row>
    <row r="179" spans="2:6" ht="12.75" hidden="1" customHeight="1" x14ac:dyDescent="0.2">
      <c r="B179" s="46">
        <v>1110</v>
      </c>
      <c r="C179" s="47" t="s">
        <v>449</v>
      </c>
      <c r="D179" s="50" t="s">
        <v>949</v>
      </c>
      <c r="E179" s="49">
        <v>2.1560000000000001</v>
      </c>
      <c r="F179" s="227" t="s">
        <v>841</v>
      </c>
    </row>
    <row r="180" spans="2:6" ht="12.75" hidden="1" customHeight="1" x14ac:dyDescent="0.2">
      <c r="B180" s="42">
        <v>1111</v>
      </c>
      <c r="C180" s="43" t="s">
        <v>449</v>
      </c>
      <c r="D180" s="44" t="s">
        <v>922</v>
      </c>
      <c r="E180" s="45">
        <v>0.8704102857142858</v>
      </c>
      <c r="F180" s="227"/>
    </row>
    <row r="181" spans="2:6" ht="12.75" hidden="1" customHeight="1" x14ac:dyDescent="0.2">
      <c r="B181" s="42">
        <v>1112</v>
      </c>
      <c r="C181" s="43" t="s">
        <v>449</v>
      </c>
      <c r="D181" s="44" t="s">
        <v>949</v>
      </c>
      <c r="E181" s="45">
        <v>3.548114285714286</v>
      </c>
      <c r="F181" s="227"/>
    </row>
    <row r="182" spans="2:6" hidden="1" x14ac:dyDescent="0.2">
      <c r="B182" s="42">
        <v>1120</v>
      </c>
      <c r="C182" s="43" t="s">
        <v>733</v>
      </c>
      <c r="D182" s="44" t="s">
        <v>950</v>
      </c>
      <c r="E182" s="45">
        <v>1.5918102857142857</v>
      </c>
      <c r="F182" s="227"/>
    </row>
    <row r="183" spans="2:6" ht="12.75" hidden="1" customHeight="1" x14ac:dyDescent="0.2">
      <c r="B183" s="42">
        <v>1121</v>
      </c>
      <c r="C183" s="43" t="s">
        <v>733</v>
      </c>
      <c r="D183" s="44" t="s">
        <v>951</v>
      </c>
      <c r="E183" s="45">
        <v>1.5918102857142857</v>
      </c>
      <c r="F183" s="227"/>
    </row>
    <row r="184" spans="2:6" ht="12.75" hidden="1" customHeight="1" x14ac:dyDescent="0.2">
      <c r="B184" s="46">
        <v>1125</v>
      </c>
      <c r="C184" s="47" t="s">
        <v>449</v>
      </c>
      <c r="D184" s="50" t="s">
        <v>952</v>
      </c>
      <c r="E184" s="49">
        <v>3.1314285714285712</v>
      </c>
      <c r="F184" s="227" t="s">
        <v>841</v>
      </c>
    </row>
    <row r="185" spans="2:6" ht="12.75" hidden="1" customHeight="1" x14ac:dyDescent="0.2">
      <c r="B185" s="42">
        <v>1128</v>
      </c>
      <c r="C185" s="43" t="s">
        <v>734</v>
      </c>
      <c r="D185" s="44" t="s">
        <v>953</v>
      </c>
      <c r="E185" s="45">
        <v>0.67062857142857135</v>
      </c>
      <c r="F185" s="227"/>
    </row>
    <row r="186" spans="2:6" ht="12.75" hidden="1" customHeight="1" x14ac:dyDescent="0.2">
      <c r="B186" s="42">
        <v>1129</v>
      </c>
      <c r="C186" s="43" t="s">
        <v>733</v>
      </c>
      <c r="D186" s="44" t="s">
        <v>954</v>
      </c>
      <c r="E186" s="45">
        <v>0</v>
      </c>
      <c r="F186" s="227"/>
    </row>
    <row r="187" spans="2:6" ht="12.75" hidden="1" customHeight="1" x14ac:dyDescent="0.2">
      <c r="B187" s="42">
        <v>1130</v>
      </c>
      <c r="C187" s="43" t="s">
        <v>733</v>
      </c>
      <c r="D187" s="44" t="s">
        <v>955</v>
      </c>
      <c r="E187" s="45">
        <v>0.15491957142857141</v>
      </c>
      <c r="F187" s="227"/>
    </row>
    <row r="188" spans="2:6" ht="12.75" hidden="1" customHeight="1" x14ac:dyDescent="0.2">
      <c r="B188" s="42">
        <v>1131</v>
      </c>
      <c r="C188" s="43" t="s">
        <v>733</v>
      </c>
      <c r="D188" s="44" t="s">
        <v>956</v>
      </c>
      <c r="E188" s="45">
        <v>7.1999999999999995E-2</v>
      </c>
      <c r="F188" s="227"/>
    </row>
    <row r="189" spans="2:6" ht="12.75" hidden="1" customHeight="1" x14ac:dyDescent="0.2">
      <c r="B189" s="42">
        <v>1132</v>
      </c>
      <c r="C189" s="43" t="s">
        <v>733</v>
      </c>
      <c r="D189" s="44" t="s">
        <v>957</v>
      </c>
      <c r="E189" s="45">
        <v>10.924971428571428</v>
      </c>
      <c r="F189" s="227"/>
    </row>
    <row r="190" spans="2:6" ht="12.75" hidden="1" customHeight="1" x14ac:dyDescent="0.2">
      <c r="B190" s="56">
        <v>1135</v>
      </c>
      <c r="C190" s="43" t="s">
        <v>733</v>
      </c>
      <c r="D190" s="44" t="s">
        <v>958</v>
      </c>
      <c r="E190" s="45">
        <v>0.13762285714285716</v>
      </c>
      <c r="F190" s="227" t="s">
        <v>866</v>
      </c>
    </row>
    <row r="191" spans="2:6" ht="12.75" hidden="1" customHeight="1" x14ac:dyDescent="0.2">
      <c r="B191" s="56">
        <v>1140</v>
      </c>
      <c r="C191" s="43" t="s">
        <v>733</v>
      </c>
      <c r="D191" s="44" t="s">
        <v>958</v>
      </c>
      <c r="E191" s="45">
        <v>0</v>
      </c>
      <c r="F191" s="227" t="s">
        <v>866</v>
      </c>
    </row>
    <row r="192" spans="2:6" ht="12.75" hidden="1" customHeight="1" x14ac:dyDescent="0.2">
      <c r="B192" s="61">
        <v>1148</v>
      </c>
      <c r="C192" s="47" t="s">
        <v>735</v>
      </c>
      <c r="D192" s="62" t="s">
        <v>959</v>
      </c>
      <c r="E192" s="49">
        <v>0.46600454545454545</v>
      </c>
      <c r="F192" s="227" t="s">
        <v>841</v>
      </c>
    </row>
    <row r="193" spans="2:6" ht="12.75" hidden="1" customHeight="1" x14ac:dyDescent="0.2">
      <c r="B193" s="51">
        <v>1150</v>
      </c>
      <c r="C193" s="43" t="s">
        <v>735</v>
      </c>
      <c r="D193" s="52" t="s">
        <v>949</v>
      </c>
      <c r="E193" s="45">
        <v>2.0625386363636364</v>
      </c>
      <c r="F193" s="227"/>
    </row>
    <row r="194" spans="2:6" ht="12.75" hidden="1" customHeight="1" x14ac:dyDescent="0.2">
      <c r="B194" s="42">
        <v>1151</v>
      </c>
      <c r="C194" s="43" t="s">
        <v>728</v>
      </c>
      <c r="D194" s="44" t="s">
        <v>960</v>
      </c>
      <c r="E194" s="45">
        <v>0</v>
      </c>
      <c r="F194" s="227"/>
    </row>
    <row r="195" spans="2:6" ht="12.75" hidden="1" customHeight="1" x14ac:dyDescent="0.2">
      <c r="B195" s="51">
        <v>1152</v>
      </c>
      <c r="C195" s="43" t="s">
        <v>735</v>
      </c>
      <c r="D195" s="52" t="s">
        <v>952</v>
      </c>
      <c r="E195" s="45">
        <v>2.4289022727272731</v>
      </c>
      <c r="F195" s="227"/>
    </row>
    <row r="196" spans="2:6" ht="12.75" hidden="1" customHeight="1" x14ac:dyDescent="0.2">
      <c r="B196" s="51">
        <v>1155</v>
      </c>
      <c r="C196" s="43" t="s">
        <v>735</v>
      </c>
      <c r="D196" s="52" t="s">
        <v>961</v>
      </c>
      <c r="E196" s="45">
        <v>0.53253579545454544</v>
      </c>
      <c r="F196" s="227"/>
    </row>
    <row r="197" spans="2:6" ht="12.75" hidden="1" customHeight="1" x14ac:dyDescent="0.2">
      <c r="B197" s="57">
        <v>1159</v>
      </c>
      <c r="C197" s="58" t="s">
        <v>735</v>
      </c>
      <c r="D197" s="59" t="s">
        <v>962</v>
      </c>
      <c r="E197" s="55">
        <v>0</v>
      </c>
      <c r="F197" s="227"/>
    </row>
    <row r="198" spans="2:6" ht="12.75" hidden="1" customHeight="1" x14ac:dyDescent="0.2">
      <c r="B198" s="57">
        <v>1160</v>
      </c>
      <c r="C198" s="58" t="s">
        <v>735</v>
      </c>
      <c r="D198" s="59" t="s">
        <v>962</v>
      </c>
      <c r="E198" s="55">
        <v>0</v>
      </c>
      <c r="F198" s="227"/>
    </row>
    <row r="199" spans="2:6" ht="12.75" hidden="1" customHeight="1" x14ac:dyDescent="0.2">
      <c r="B199" s="57">
        <v>1167</v>
      </c>
      <c r="C199" s="58" t="s">
        <v>735</v>
      </c>
      <c r="D199" s="59" t="s">
        <v>962</v>
      </c>
      <c r="E199" s="55">
        <v>0</v>
      </c>
      <c r="F199" s="227"/>
    </row>
    <row r="200" spans="2:6" ht="12.75" hidden="1" customHeight="1" x14ac:dyDescent="0.2">
      <c r="B200" s="42">
        <v>1174</v>
      </c>
      <c r="C200" s="43" t="s">
        <v>736</v>
      </c>
      <c r="D200" s="44" t="s">
        <v>846</v>
      </c>
      <c r="E200" s="45">
        <v>0</v>
      </c>
      <c r="F200" s="227"/>
    </row>
    <row r="201" spans="2:6" ht="12.75" hidden="1" customHeight="1" x14ac:dyDescent="0.2">
      <c r="B201" s="42">
        <v>1175</v>
      </c>
      <c r="C201" s="43" t="s">
        <v>736</v>
      </c>
      <c r="D201" s="44" t="s">
        <v>842</v>
      </c>
      <c r="E201" s="45">
        <v>0</v>
      </c>
      <c r="F201" s="227"/>
    </row>
    <row r="202" spans="2:6" ht="12.75" hidden="1" customHeight="1" x14ac:dyDescent="0.2">
      <c r="B202" s="42">
        <v>1177</v>
      </c>
      <c r="C202" s="43" t="s">
        <v>734</v>
      </c>
      <c r="D202" s="44" t="s">
        <v>963</v>
      </c>
      <c r="E202" s="45">
        <v>14.204545454545455</v>
      </c>
      <c r="F202" s="227"/>
    </row>
    <row r="203" spans="2:6" ht="12.75" hidden="1" customHeight="1" x14ac:dyDescent="0.2">
      <c r="B203" s="46">
        <v>1178</v>
      </c>
      <c r="C203" s="47" t="s">
        <v>734</v>
      </c>
      <c r="D203" s="50" t="s">
        <v>964</v>
      </c>
      <c r="E203" s="49">
        <v>3.4090909090909092</v>
      </c>
      <c r="F203" s="227" t="s">
        <v>841</v>
      </c>
    </row>
    <row r="204" spans="2:6" ht="12.75" hidden="1" customHeight="1" x14ac:dyDescent="0.2">
      <c r="B204" s="57">
        <v>1182</v>
      </c>
      <c r="C204" s="58" t="s">
        <v>735</v>
      </c>
      <c r="D204" s="59" t="s">
        <v>962</v>
      </c>
      <c r="E204" s="55">
        <v>0</v>
      </c>
      <c r="F204" s="227"/>
    </row>
    <row r="205" spans="2:6" ht="12.75" hidden="1" customHeight="1" x14ac:dyDescent="0.2">
      <c r="B205" s="42">
        <v>1183</v>
      </c>
      <c r="C205" s="43" t="s">
        <v>734</v>
      </c>
      <c r="D205" s="44" t="s">
        <v>965</v>
      </c>
      <c r="E205" s="45">
        <v>5.6818181818181817</v>
      </c>
      <c r="F205" s="227"/>
    </row>
    <row r="206" spans="2:6" ht="12.75" hidden="1" customHeight="1" x14ac:dyDescent="0.2">
      <c r="B206" s="51">
        <v>1184</v>
      </c>
      <c r="C206" s="43" t="s">
        <v>735</v>
      </c>
      <c r="D206" s="52" t="s">
        <v>961</v>
      </c>
      <c r="E206" s="45">
        <v>0.52787954545454541</v>
      </c>
      <c r="F206" s="227"/>
    </row>
    <row r="207" spans="2:6" hidden="1" x14ac:dyDescent="0.2">
      <c r="B207" s="57">
        <v>1227</v>
      </c>
      <c r="C207" s="58" t="s">
        <v>735</v>
      </c>
      <c r="D207" s="59" t="s">
        <v>962</v>
      </c>
      <c r="E207" s="55">
        <v>0</v>
      </c>
      <c r="F207" s="227"/>
    </row>
    <row r="208" spans="2:6" ht="12.75" hidden="1" customHeight="1" x14ac:dyDescent="0.2">
      <c r="B208" s="57">
        <v>1238</v>
      </c>
      <c r="C208" s="58" t="s">
        <v>735</v>
      </c>
      <c r="D208" s="55" t="s">
        <v>966</v>
      </c>
      <c r="E208" s="55">
        <v>0</v>
      </c>
      <c r="F208" s="227"/>
    </row>
    <row r="209" spans="2:6" hidden="1" x14ac:dyDescent="0.2">
      <c r="B209" s="57">
        <v>1244</v>
      </c>
      <c r="C209" s="58" t="s">
        <v>735</v>
      </c>
      <c r="D209" s="59" t="s">
        <v>967</v>
      </c>
      <c r="E209" s="55">
        <v>0</v>
      </c>
      <c r="F209" s="227"/>
    </row>
    <row r="210" spans="2:6" ht="12.75" hidden="1" customHeight="1" x14ac:dyDescent="0.2">
      <c r="B210" s="57">
        <v>1249</v>
      </c>
      <c r="C210" s="58" t="s">
        <v>735</v>
      </c>
      <c r="D210" s="59" t="s">
        <v>962</v>
      </c>
      <c r="E210" s="55">
        <v>0</v>
      </c>
      <c r="F210" s="227"/>
    </row>
    <row r="211" spans="2:6" ht="12.75" hidden="1" customHeight="1" x14ac:dyDescent="0.2">
      <c r="B211" s="42">
        <v>1251</v>
      </c>
      <c r="C211" s="43" t="s">
        <v>449</v>
      </c>
      <c r="D211" s="44" t="s">
        <v>968</v>
      </c>
      <c r="E211" s="45">
        <v>0</v>
      </c>
      <c r="F211" s="227"/>
    </row>
    <row r="212" spans="2:6" hidden="1" x14ac:dyDescent="0.2">
      <c r="B212" s="42">
        <v>1261</v>
      </c>
      <c r="C212" s="43" t="s">
        <v>736</v>
      </c>
      <c r="D212" s="44" t="s">
        <v>969</v>
      </c>
      <c r="E212" s="45">
        <v>0</v>
      </c>
      <c r="F212" s="227"/>
    </row>
    <row r="213" spans="2:6" hidden="1" x14ac:dyDescent="0.2">
      <c r="B213" s="42">
        <v>1270</v>
      </c>
      <c r="C213" s="43" t="s">
        <v>736</v>
      </c>
      <c r="D213" s="44" t="s">
        <v>962</v>
      </c>
      <c r="E213" s="45">
        <v>0</v>
      </c>
      <c r="F213" s="227"/>
    </row>
    <row r="214" spans="2:6" ht="12.75" hidden="1" customHeight="1" x14ac:dyDescent="0.2">
      <c r="B214" s="42">
        <v>1271</v>
      </c>
      <c r="C214" s="43" t="s">
        <v>755</v>
      </c>
      <c r="D214" s="44" t="s">
        <v>970</v>
      </c>
      <c r="E214" s="45">
        <v>0</v>
      </c>
      <c r="F214" s="227"/>
    </row>
    <row r="215" spans="2:6" hidden="1" x14ac:dyDescent="0.2">
      <c r="B215" s="57">
        <v>1281</v>
      </c>
      <c r="C215" s="58" t="s">
        <v>735</v>
      </c>
      <c r="D215" s="59" t="s">
        <v>971</v>
      </c>
      <c r="E215" s="55">
        <v>0</v>
      </c>
      <c r="F215" s="227"/>
    </row>
    <row r="216" spans="2:6" ht="12.75" hidden="1" customHeight="1" x14ac:dyDescent="0.2">
      <c r="B216" s="57">
        <v>1282</v>
      </c>
      <c r="C216" s="58" t="s">
        <v>735</v>
      </c>
      <c r="D216" s="59" t="s">
        <v>972</v>
      </c>
      <c r="E216" s="55">
        <v>0</v>
      </c>
      <c r="F216" s="227"/>
    </row>
    <row r="217" spans="2:6" hidden="1" x14ac:dyDescent="0.2">
      <c r="B217" s="42">
        <v>1285</v>
      </c>
      <c r="C217" s="43" t="s">
        <v>736</v>
      </c>
      <c r="D217" s="44" t="s">
        <v>846</v>
      </c>
      <c r="E217" s="45">
        <v>0</v>
      </c>
      <c r="F217" s="227"/>
    </row>
    <row r="218" spans="2:6" ht="12.75" customHeight="1" x14ac:dyDescent="0.2">
      <c r="B218" s="42">
        <v>1286</v>
      </c>
      <c r="C218" s="43" t="s">
        <v>450</v>
      </c>
      <c r="D218" s="44" t="s">
        <v>925</v>
      </c>
      <c r="E218" s="45">
        <v>0</v>
      </c>
      <c r="F218" s="227"/>
    </row>
    <row r="219" spans="2:6" ht="12.75" hidden="1" customHeight="1" x14ac:dyDescent="0.2">
      <c r="B219" s="42">
        <v>1293</v>
      </c>
      <c r="C219" s="43" t="s">
        <v>736</v>
      </c>
      <c r="D219" s="44" t="s">
        <v>973</v>
      </c>
      <c r="E219" s="45">
        <v>0</v>
      </c>
      <c r="F219" s="227"/>
    </row>
    <row r="220" spans="2:6" ht="12.75" hidden="1" customHeight="1" x14ac:dyDescent="0.2">
      <c r="B220" s="42">
        <v>1294</v>
      </c>
      <c r="C220" s="43" t="s">
        <v>736</v>
      </c>
      <c r="D220" s="44" t="s">
        <v>970</v>
      </c>
      <c r="E220" s="45">
        <v>0</v>
      </c>
      <c r="F220" s="227"/>
    </row>
    <row r="221" spans="2:6" hidden="1" x14ac:dyDescent="0.2">
      <c r="B221" s="57">
        <v>1296</v>
      </c>
      <c r="C221" s="58" t="s">
        <v>735</v>
      </c>
      <c r="D221" s="63" t="s">
        <v>974</v>
      </c>
      <c r="E221" s="55">
        <v>0</v>
      </c>
      <c r="F221" s="227"/>
    </row>
    <row r="222" spans="2:6" ht="12.75" hidden="1" customHeight="1" x14ac:dyDescent="0.2">
      <c r="B222" s="57">
        <v>1296</v>
      </c>
      <c r="C222" s="58" t="s">
        <v>735</v>
      </c>
      <c r="D222" s="59" t="s">
        <v>975</v>
      </c>
      <c r="E222" s="55">
        <v>0</v>
      </c>
      <c r="F222" s="227"/>
    </row>
    <row r="223" spans="2:6" hidden="1" x14ac:dyDescent="0.2">
      <c r="B223" s="42">
        <v>1298</v>
      </c>
      <c r="C223" s="43" t="s">
        <v>449</v>
      </c>
      <c r="D223" s="44" t="s">
        <v>976</v>
      </c>
      <c r="E223" s="45">
        <v>0</v>
      </c>
      <c r="F223" s="227"/>
    </row>
    <row r="224" spans="2:6" ht="12.75" hidden="1" customHeight="1" x14ac:dyDescent="0.2">
      <c r="B224" s="57">
        <v>1318</v>
      </c>
      <c r="C224" s="58" t="s">
        <v>735</v>
      </c>
      <c r="D224" s="59" t="s">
        <v>846</v>
      </c>
      <c r="E224" s="55">
        <v>0</v>
      </c>
      <c r="F224" s="227"/>
    </row>
    <row r="225" spans="2:6" hidden="1" x14ac:dyDescent="0.2">
      <c r="B225" s="42">
        <v>1320</v>
      </c>
      <c r="C225" s="43" t="s">
        <v>449</v>
      </c>
      <c r="D225" s="44" t="s">
        <v>977</v>
      </c>
      <c r="E225" s="45">
        <v>0</v>
      </c>
      <c r="F225" s="227"/>
    </row>
    <row r="226" spans="2:6" ht="12.75" hidden="1" customHeight="1" x14ac:dyDescent="0.2">
      <c r="B226" s="42">
        <v>1321</v>
      </c>
      <c r="C226" s="43" t="s">
        <v>449</v>
      </c>
      <c r="D226" s="44" t="s">
        <v>846</v>
      </c>
      <c r="E226" s="45">
        <v>0</v>
      </c>
      <c r="F226" s="227"/>
    </row>
    <row r="227" spans="2:6" ht="12.75" hidden="1" customHeight="1" x14ac:dyDescent="0.2">
      <c r="B227" s="57">
        <v>1325</v>
      </c>
      <c r="C227" s="58" t="s">
        <v>735</v>
      </c>
      <c r="D227" s="59" t="s">
        <v>978</v>
      </c>
      <c r="E227" s="55">
        <v>0</v>
      </c>
      <c r="F227" s="227"/>
    </row>
    <row r="228" spans="2:6" ht="12.75" hidden="1" customHeight="1" x14ac:dyDescent="0.2">
      <c r="B228" s="51">
        <v>1341</v>
      </c>
      <c r="C228" s="54" t="s">
        <v>448</v>
      </c>
      <c r="D228" s="55" t="s">
        <v>979</v>
      </c>
      <c r="E228" s="727">
        <v>0</v>
      </c>
      <c r="F228" s="227"/>
    </row>
    <row r="229" spans="2:6" ht="12.75" hidden="1" customHeight="1" x14ac:dyDescent="0.2">
      <c r="B229" s="42">
        <v>1343</v>
      </c>
      <c r="C229" s="43" t="s">
        <v>736</v>
      </c>
      <c r="D229" s="44" t="s">
        <v>962</v>
      </c>
      <c r="E229" s="45">
        <v>0</v>
      </c>
      <c r="F229" s="227"/>
    </row>
    <row r="230" spans="2:6" ht="15" hidden="1" x14ac:dyDescent="0.2">
      <c r="B230" s="51">
        <v>1345</v>
      </c>
      <c r="C230" s="54" t="s">
        <v>448</v>
      </c>
      <c r="D230" s="55" t="s">
        <v>980</v>
      </c>
      <c r="E230" s="727">
        <v>0</v>
      </c>
      <c r="F230" s="227"/>
    </row>
    <row r="231" spans="2:6" ht="12.75" hidden="1" customHeight="1" x14ac:dyDescent="0.2">
      <c r="B231" s="51">
        <v>1346</v>
      </c>
      <c r="C231" s="54" t="s">
        <v>448</v>
      </c>
      <c r="D231" s="55" t="s">
        <v>980</v>
      </c>
      <c r="E231" s="727">
        <v>0</v>
      </c>
      <c r="F231" s="227"/>
    </row>
    <row r="232" spans="2:6" ht="12.75" hidden="1" customHeight="1" x14ac:dyDescent="0.2">
      <c r="B232" s="42">
        <v>1347</v>
      </c>
      <c r="C232" s="43" t="s">
        <v>732</v>
      </c>
      <c r="D232" s="44" t="s">
        <v>981</v>
      </c>
      <c r="E232" s="45">
        <v>1.1499999999999999</v>
      </c>
      <c r="F232" s="227"/>
    </row>
    <row r="233" spans="2:6" ht="12.75" hidden="1" customHeight="1" x14ac:dyDescent="0.2">
      <c r="B233" s="42">
        <v>1348</v>
      </c>
      <c r="C233" s="43" t="s">
        <v>449</v>
      </c>
      <c r="D233" s="44" t="s">
        <v>982</v>
      </c>
      <c r="E233" s="45">
        <v>0</v>
      </c>
      <c r="F233" s="227"/>
    </row>
    <row r="234" spans="2:6" ht="12.75" hidden="1" customHeight="1" x14ac:dyDescent="0.2">
      <c r="B234" s="42">
        <v>1352</v>
      </c>
      <c r="C234" s="43" t="s">
        <v>729</v>
      </c>
      <c r="D234" s="44" t="s">
        <v>983</v>
      </c>
      <c r="E234" s="45">
        <v>0</v>
      </c>
      <c r="F234" s="227"/>
    </row>
    <row r="235" spans="2:6" ht="12.75" hidden="1" customHeight="1" x14ac:dyDescent="0.2">
      <c r="B235" s="42">
        <v>1370</v>
      </c>
      <c r="C235" s="43" t="s">
        <v>732</v>
      </c>
      <c r="D235" s="44" t="s">
        <v>984</v>
      </c>
      <c r="E235" s="45">
        <v>1.87</v>
      </c>
      <c r="F235" s="227"/>
    </row>
    <row r="236" spans="2:6" ht="12.75" hidden="1" customHeight="1" x14ac:dyDescent="0.2">
      <c r="B236" s="42">
        <v>1419</v>
      </c>
      <c r="C236" s="43" t="s">
        <v>449</v>
      </c>
      <c r="D236" s="44" t="s">
        <v>985</v>
      </c>
      <c r="E236" s="45">
        <v>0</v>
      </c>
      <c r="F236" s="227"/>
    </row>
    <row r="237" spans="2:6" ht="12.75" hidden="1" customHeight="1" x14ac:dyDescent="0.2">
      <c r="B237" s="57">
        <v>1425</v>
      </c>
      <c r="C237" s="58" t="s">
        <v>735</v>
      </c>
      <c r="D237" s="63" t="s">
        <v>986</v>
      </c>
      <c r="E237" s="55">
        <v>0</v>
      </c>
      <c r="F237" s="227"/>
    </row>
    <row r="238" spans="2:6" ht="15" hidden="1" x14ac:dyDescent="0.2">
      <c r="B238" s="51">
        <v>1433</v>
      </c>
      <c r="C238" s="54" t="s">
        <v>448</v>
      </c>
      <c r="D238" s="55" t="s">
        <v>987</v>
      </c>
      <c r="E238" s="727">
        <v>0</v>
      </c>
      <c r="F238" s="227"/>
    </row>
    <row r="239" spans="2:6" hidden="1" x14ac:dyDescent="0.2">
      <c r="B239" s="42">
        <v>1435</v>
      </c>
      <c r="C239" s="43" t="s">
        <v>734</v>
      </c>
      <c r="D239" s="55" t="s">
        <v>884</v>
      </c>
      <c r="E239" s="45">
        <v>14.25</v>
      </c>
      <c r="F239" s="227"/>
    </row>
    <row r="240" spans="2:6" hidden="1" x14ac:dyDescent="0.2">
      <c r="B240" s="42">
        <v>1443</v>
      </c>
      <c r="C240" s="43" t="s">
        <v>736</v>
      </c>
      <c r="D240" s="44" t="s">
        <v>988</v>
      </c>
      <c r="E240" s="45">
        <v>0</v>
      </c>
      <c r="F240" s="227"/>
    </row>
    <row r="241" spans="2:6" ht="12.75" hidden="1" customHeight="1" x14ac:dyDescent="0.2">
      <c r="B241" s="42">
        <v>1455</v>
      </c>
      <c r="C241" s="43" t="s">
        <v>734</v>
      </c>
      <c r="D241" s="44" t="s">
        <v>989</v>
      </c>
      <c r="E241" s="45">
        <v>28.81</v>
      </c>
      <c r="F241" s="227"/>
    </row>
    <row r="242" spans="2:6" ht="12.75" hidden="1" customHeight="1" x14ac:dyDescent="0.2">
      <c r="B242" s="42">
        <v>1465</v>
      </c>
      <c r="C242" s="43" t="s">
        <v>734</v>
      </c>
      <c r="D242" s="44" t="s">
        <v>990</v>
      </c>
      <c r="E242" s="45">
        <v>0</v>
      </c>
      <c r="F242" s="227"/>
    </row>
    <row r="243" spans="2:6" ht="12.75" hidden="1" customHeight="1" x14ac:dyDescent="0.2">
      <c r="B243" s="42">
        <v>1473</v>
      </c>
      <c r="C243" s="43" t="s">
        <v>728</v>
      </c>
      <c r="D243" s="44" t="s">
        <v>991</v>
      </c>
      <c r="E243" s="45">
        <v>0</v>
      </c>
      <c r="F243" s="227"/>
    </row>
    <row r="244" spans="2:6" ht="12.75" hidden="1" customHeight="1" x14ac:dyDescent="0.2">
      <c r="B244" s="42">
        <v>1474</v>
      </c>
      <c r="C244" s="43" t="s">
        <v>449</v>
      </c>
      <c r="D244" s="44" t="s">
        <v>977</v>
      </c>
      <c r="E244" s="45">
        <v>0</v>
      </c>
      <c r="F244" s="227"/>
    </row>
    <row r="245" spans="2:6" ht="15" hidden="1" x14ac:dyDescent="0.2">
      <c r="B245" s="51">
        <v>20000</v>
      </c>
      <c r="C245" s="54" t="s">
        <v>448</v>
      </c>
      <c r="D245" s="55" t="s">
        <v>980</v>
      </c>
      <c r="E245" s="728">
        <v>11.235795454545455</v>
      </c>
      <c r="F245" s="227"/>
    </row>
    <row r="246" spans="2:6" ht="12.75" hidden="1" customHeight="1" x14ac:dyDescent="0.2">
      <c r="B246" s="51">
        <v>20001</v>
      </c>
      <c r="C246" s="54" t="s">
        <v>448</v>
      </c>
      <c r="D246" s="55" t="s">
        <v>992</v>
      </c>
      <c r="E246" s="728">
        <v>13.633623295454544</v>
      </c>
      <c r="F246" s="227"/>
    </row>
    <row r="247" spans="2:6" ht="12.75" hidden="1" customHeight="1" x14ac:dyDescent="0.2">
      <c r="B247" s="51">
        <v>20002</v>
      </c>
      <c r="C247" s="54" t="s">
        <v>448</v>
      </c>
      <c r="D247" s="55" t="s">
        <v>992</v>
      </c>
      <c r="E247" s="728">
        <v>13.633623295454544</v>
      </c>
      <c r="F247" s="227"/>
    </row>
    <row r="248" spans="2:6" ht="12.75" hidden="1" customHeight="1" x14ac:dyDescent="0.2">
      <c r="B248" s="51">
        <v>20003</v>
      </c>
      <c r="C248" s="54" t="s">
        <v>448</v>
      </c>
      <c r="D248" s="55" t="s">
        <v>992</v>
      </c>
      <c r="E248" s="728">
        <v>13.733726136363636</v>
      </c>
      <c r="F248" s="227"/>
    </row>
    <row r="249" spans="2:6" ht="12.75" hidden="1" customHeight="1" x14ac:dyDescent="0.2">
      <c r="B249" s="51">
        <v>20004</v>
      </c>
      <c r="C249" s="54" t="s">
        <v>448</v>
      </c>
      <c r="D249" s="55" t="s">
        <v>992</v>
      </c>
      <c r="E249" s="728">
        <v>13.564715909090911</v>
      </c>
      <c r="F249" s="227"/>
    </row>
    <row r="250" spans="2:6" ht="12.75" hidden="1" customHeight="1" x14ac:dyDescent="0.2">
      <c r="B250" s="51">
        <v>20005</v>
      </c>
      <c r="C250" s="54" t="s">
        <v>448</v>
      </c>
      <c r="D250" s="55" t="s">
        <v>992</v>
      </c>
      <c r="E250" s="728">
        <v>13.564715909090911</v>
      </c>
      <c r="F250" s="227"/>
    </row>
    <row r="251" spans="2:6" ht="12.75" hidden="1" customHeight="1" x14ac:dyDescent="0.2">
      <c r="B251" s="51">
        <v>20006</v>
      </c>
      <c r="C251" s="54" t="s">
        <v>448</v>
      </c>
      <c r="D251" s="55" t="s">
        <v>992</v>
      </c>
      <c r="E251" s="727">
        <v>13.63</v>
      </c>
      <c r="F251" s="227"/>
    </row>
    <row r="252" spans="2:6" ht="12.75" hidden="1" customHeight="1" x14ac:dyDescent="0.2">
      <c r="B252" s="51">
        <v>20007</v>
      </c>
      <c r="C252" s="54" t="s">
        <v>448</v>
      </c>
      <c r="D252" s="55" t="s">
        <v>980</v>
      </c>
      <c r="E252" s="727">
        <v>11.24</v>
      </c>
      <c r="F252" s="227"/>
    </row>
    <row r="253" spans="2:6" ht="12.75" hidden="1" customHeight="1" x14ac:dyDescent="0.2">
      <c r="B253" s="57">
        <v>20013</v>
      </c>
      <c r="C253" s="58" t="s">
        <v>735</v>
      </c>
      <c r="D253" s="59" t="s">
        <v>993</v>
      </c>
      <c r="E253" s="55">
        <v>0</v>
      </c>
      <c r="F253" s="227"/>
    </row>
    <row r="254" spans="2:6" ht="12.75" hidden="1" customHeight="1" x14ac:dyDescent="0.2">
      <c r="B254" s="51">
        <v>20036</v>
      </c>
      <c r="C254" s="43" t="s">
        <v>735</v>
      </c>
      <c r="D254" s="52" t="s">
        <v>994</v>
      </c>
      <c r="E254" s="45">
        <v>0.46600454545454545</v>
      </c>
      <c r="F254" s="227"/>
    </row>
    <row r="255" spans="2:6" ht="12.75" hidden="1" customHeight="1" x14ac:dyDescent="0.2">
      <c r="B255" s="51">
        <v>20037</v>
      </c>
      <c r="C255" s="43" t="s">
        <v>735</v>
      </c>
      <c r="D255" s="52" t="s">
        <v>994</v>
      </c>
      <c r="E255" s="45">
        <v>0.46600454545454545</v>
      </c>
      <c r="F255" s="227"/>
    </row>
    <row r="256" spans="2:6" ht="12.75" hidden="1" customHeight="1" x14ac:dyDescent="0.2">
      <c r="B256" s="51">
        <v>20052</v>
      </c>
      <c r="C256" s="54" t="s">
        <v>448</v>
      </c>
      <c r="D256" s="55" t="s">
        <v>980</v>
      </c>
      <c r="E256" s="727">
        <v>0</v>
      </c>
      <c r="F256" s="227"/>
    </row>
    <row r="257" spans="2:6" ht="12.75" hidden="1" customHeight="1" x14ac:dyDescent="0.2">
      <c r="B257" s="57">
        <v>30000</v>
      </c>
      <c r="C257" s="58" t="s">
        <v>735</v>
      </c>
      <c r="D257" s="59" t="s">
        <v>994</v>
      </c>
      <c r="E257" s="55">
        <v>0</v>
      </c>
      <c r="F257" s="227"/>
    </row>
    <row r="258" spans="2:6" ht="12.75" hidden="1" customHeight="1" x14ac:dyDescent="0.2">
      <c r="B258" s="57">
        <v>30001</v>
      </c>
      <c r="C258" s="58" t="s">
        <v>735</v>
      </c>
      <c r="D258" s="59" t="s">
        <v>962</v>
      </c>
      <c r="E258" s="55">
        <v>0</v>
      </c>
      <c r="F258" s="227"/>
    </row>
    <row r="259" spans="2:6" ht="12.75" hidden="1" customHeight="1" x14ac:dyDescent="0.2">
      <c r="B259" s="57">
        <v>30002</v>
      </c>
      <c r="C259" s="64" t="s">
        <v>735</v>
      </c>
      <c r="D259" s="65" t="s">
        <v>876</v>
      </c>
      <c r="E259" s="66">
        <v>0</v>
      </c>
      <c r="F259" s="227"/>
    </row>
    <row r="260" spans="2:6" ht="12.75" hidden="1" customHeight="1" x14ac:dyDescent="0.2">
      <c r="B260" s="42" t="s">
        <v>995</v>
      </c>
      <c r="C260" s="43" t="s">
        <v>728</v>
      </c>
      <c r="D260" s="44" t="s">
        <v>936</v>
      </c>
      <c r="E260" s="45">
        <v>0</v>
      </c>
      <c r="F260" s="227"/>
    </row>
    <row r="261" spans="2:6" ht="12.75" hidden="1" customHeight="1" x14ac:dyDescent="0.2">
      <c r="B261" s="57" t="s">
        <v>996</v>
      </c>
      <c r="C261" s="64" t="s">
        <v>735</v>
      </c>
      <c r="D261" s="65" t="s">
        <v>997</v>
      </c>
      <c r="E261" s="66">
        <v>0</v>
      </c>
      <c r="F261" s="227"/>
    </row>
    <row r="262" spans="2:6" ht="12.75" hidden="1" customHeight="1" x14ac:dyDescent="0.2">
      <c r="B262" s="51" t="s">
        <v>998</v>
      </c>
      <c r="C262" s="54" t="s">
        <v>448</v>
      </c>
      <c r="D262" s="55" t="s">
        <v>992</v>
      </c>
      <c r="E262" s="727">
        <v>0</v>
      </c>
      <c r="F262" s="227"/>
    </row>
    <row r="263" spans="2:6" ht="12.75" hidden="1" customHeight="1" x14ac:dyDescent="0.2">
      <c r="B263" s="42" t="s">
        <v>999</v>
      </c>
      <c r="C263" s="67" t="s">
        <v>728</v>
      </c>
      <c r="D263" s="55" t="s">
        <v>854</v>
      </c>
      <c r="E263" s="68">
        <v>0.14592171428571429</v>
      </c>
      <c r="F263" s="227"/>
    </row>
    <row r="264" spans="2:6" ht="12.75" hidden="1" customHeight="1" x14ac:dyDescent="0.2">
      <c r="B264" s="51" t="s">
        <v>1000</v>
      </c>
      <c r="C264" s="67" t="s">
        <v>735</v>
      </c>
      <c r="D264" s="52" t="s">
        <v>1001</v>
      </c>
      <c r="E264" s="68">
        <v>0</v>
      </c>
      <c r="F264" s="227"/>
    </row>
    <row r="265" spans="2:6" ht="12.75" hidden="1" customHeight="1" x14ac:dyDescent="0.2">
      <c r="B265" s="51" t="s">
        <v>1002</v>
      </c>
      <c r="C265" s="67" t="s">
        <v>735</v>
      </c>
      <c r="D265" s="52" t="s">
        <v>1001</v>
      </c>
      <c r="E265" s="68">
        <v>0</v>
      </c>
      <c r="F265" s="227"/>
    </row>
    <row r="266" spans="2:6" ht="12.75" hidden="1" customHeight="1" x14ac:dyDescent="0.2">
      <c r="B266" s="51" t="s">
        <v>1003</v>
      </c>
      <c r="C266" s="67" t="s">
        <v>735</v>
      </c>
      <c r="D266" s="52" t="s">
        <v>1001</v>
      </c>
      <c r="E266" s="68">
        <v>0</v>
      </c>
      <c r="F266" s="227"/>
    </row>
    <row r="267" spans="2:6" ht="12.75" hidden="1" customHeight="1" x14ac:dyDescent="0.2">
      <c r="B267" s="51" t="s">
        <v>1004</v>
      </c>
      <c r="C267" s="67" t="s">
        <v>735</v>
      </c>
      <c r="D267" s="52" t="s">
        <v>1005</v>
      </c>
      <c r="E267" s="68">
        <v>0</v>
      </c>
      <c r="F267" s="227"/>
    </row>
    <row r="268" spans="2:6" ht="12.75" hidden="1" customHeight="1" x14ac:dyDescent="0.2">
      <c r="B268" s="51" t="s">
        <v>1006</v>
      </c>
      <c r="C268" s="67" t="s">
        <v>735</v>
      </c>
      <c r="D268" s="52" t="s">
        <v>1005</v>
      </c>
      <c r="E268" s="68">
        <v>0</v>
      </c>
      <c r="F268" s="227"/>
    </row>
    <row r="269" spans="2:6" ht="12.75" hidden="1" customHeight="1" x14ac:dyDescent="0.2">
      <c r="B269" s="51" t="s">
        <v>1007</v>
      </c>
      <c r="C269" s="67" t="s">
        <v>735</v>
      </c>
      <c r="D269" s="52" t="s">
        <v>1005</v>
      </c>
      <c r="E269" s="68">
        <v>0</v>
      </c>
      <c r="F269" s="227"/>
    </row>
    <row r="270" spans="2:6" ht="12.75" hidden="1" customHeight="1" x14ac:dyDescent="0.2">
      <c r="B270" s="51" t="s">
        <v>1008</v>
      </c>
      <c r="C270" s="67" t="s">
        <v>735</v>
      </c>
      <c r="D270" s="52" t="s">
        <v>1005</v>
      </c>
      <c r="E270" s="68">
        <v>0</v>
      </c>
      <c r="F270" s="227"/>
    </row>
    <row r="271" spans="2:6" ht="12.75" hidden="1" customHeight="1" x14ac:dyDescent="0.2">
      <c r="B271" s="51" t="s">
        <v>1009</v>
      </c>
      <c r="C271" s="67" t="s">
        <v>735</v>
      </c>
      <c r="D271" s="52" t="s">
        <v>1005</v>
      </c>
      <c r="E271" s="68">
        <v>0</v>
      </c>
      <c r="F271" s="227"/>
    </row>
    <row r="272" spans="2:6" ht="12.75" hidden="1" customHeight="1" x14ac:dyDescent="0.2">
      <c r="B272" s="51" t="s">
        <v>1010</v>
      </c>
      <c r="C272" s="67" t="s">
        <v>735</v>
      </c>
      <c r="D272" s="52" t="s">
        <v>1005</v>
      </c>
      <c r="E272" s="68">
        <v>0</v>
      </c>
      <c r="F272" s="227"/>
    </row>
    <row r="273" spans="2:6" ht="12.75" hidden="1" customHeight="1" x14ac:dyDescent="0.2">
      <c r="B273" s="51" t="s">
        <v>1011</v>
      </c>
      <c r="C273" s="67" t="s">
        <v>735</v>
      </c>
      <c r="D273" s="52" t="s">
        <v>1005</v>
      </c>
      <c r="E273" s="68">
        <v>0</v>
      </c>
      <c r="F273" s="227"/>
    </row>
    <row r="274" spans="2:6" ht="12.75" hidden="1" customHeight="1" x14ac:dyDescent="0.2">
      <c r="B274" s="51" t="s">
        <v>1012</v>
      </c>
      <c r="C274" s="67" t="s">
        <v>735</v>
      </c>
      <c r="D274" s="52" t="s">
        <v>1005</v>
      </c>
      <c r="E274" s="68">
        <v>0</v>
      </c>
      <c r="F274" s="227"/>
    </row>
    <row r="275" spans="2:6" ht="12.75" hidden="1" customHeight="1" x14ac:dyDescent="0.2">
      <c r="B275" s="51" t="s">
        <v>1013</v>
      </c>
      <c r="C275" s="67" t="s">
        <v>735</v>
      </c>
      <c r="D275" s="52" t="s">
        <v>1005</v>
      </c>
      <c r="E275" s="68">
        <v>0</v>
      </c>
      <c r="F275" s="227"/>
    </row>
    <row r="276" spans="2:6" ht="12.75" hidden="1" customHeight="1" x14ac:dyDescent="0.2">
      <c r="B276" s="51" t="s">
        <v>1014</v>
      </c>
      <c r="C276" s="67" t="s">
        <v>735</v>
      </c>
      <c r="D276" s="52" t="s">
        <v>1005</v>
      </c>
      <c r="E276" s="68">
        <v>0</v>
      </c>
      <c r="F276" s="227"/>
    </row>
    <row r="277" spans="2:6" ht="12.75" hidden="1" customHeight="1" x14ac:dyDescent="0.2">
      <c r="B277" s="51" t="s">
        <v>1015</v>
      </c>
      <c r="C277" s="67" t="s">
        <v>735</v>
      </c>
      <c r="D277" s="52" t="s">
        <v>1005</v>
      </c>
      <c r="E277" s="68">
        <v>0</v>
      </c>
      <c r="F277" s="227"/>
    </row>
    <row r="278" spans="2:6" ht="12.75" hidden="1" customHeight="1" x14ac:dyDescent="0.2">
      <c r="B278" s="42" t="s">
        <v>1016</v>
      </c>
      <c r="C278" s="67" t="s">
        <v>736</v>
      </c>
      <c r="D278" s="44" t="s">
        <v>1017</v>
      </c>
      <c r="E278" s="68">
        <v>0</v>
      </c>
      <c r="F278" s="227"/>
    </row>
    <row r="279" spans="2:6" ht="12.75" customHeight="1" x14ac:dyDescent="0.2">
      <c r="B279" s="42" t="s">
        <v>451</v>
      </c>
      <c r="C279" s="67" t="s">
        <v>450</v>
      </c>
      <c r="D279" s="44" t="s">
        <v>1018</v>
      </c>
      <c r="E279" s="68">
        <v>0</v>
      </c>
      <c r="F279" s="227"/>
    </row>
    <row r="280" spans="2:6" ht="12.75" customHeight="1" x14ac:dyDescent="0.2">
      <c r="B280" s="42" t="s">
        <v>1019</v>
      </c>
      <c r="C280" s="67" t="s">
        <v>450</v>
      </c>
      <c r="D280" s="44" t="s">
        <v>1018</v>
      </c>
      <c r="E280" s="68">
        <v>0</v>
      </c>
      <c r="F280" s="227"/>
    </row>
    <row r="281" spans="2:6" ht="12.75" customHeight="1" x14ac:dyDescent="0.2">
      <c r="B281" s="42" t="s">
        <v>1020</v>
      </c>
      <c r="C281" s="67" t="s">
        <v>450</v>
      </c>
      <c r="D281" s="44" t="s">
        <v>1018</v>
      </c>
      <c r="E281" s="68">
        <v>0</v>
      </c>
      <c r="F281" s="227"/>
    </row>
    <row r="282" spans="2:6" ht="12.75" customHeight="1" x14ac:dyDescent="0.2">
      <c r="B282" s="42" t="s">
        <v>1021</v>
      </c>
      <c r="C282" s="43" t="s">
        <v>450</v>
      </c>
      <c r="D282" s="44" t="s">
        <v>1018</v>
      </c>
      <c r="E282" s="45">
        <v>0</v>
      </c>
      <c r="F282" s="227"/>
    </row>
    <row r="283" spans="2:6" x14ac:dyDescent="0.2">
      <c r="B283" s="42" t="s">
        <v>1022</v>
      </c>
      <c r="C283" s="43" t="s">
        <v>450</v>
      </c>
      <c r="D283" s="44" t="s">
        <v>1018</v>
      </c>
      <c r="E283" s="45">
        <v>0</v>
      </c>
      <c r="F283" s="227"/>
    </row>
    <row r="284" spans="2:6" ht="12.75" customHeight="1" x14ac:dyDescent="0.2">
      <c r="B284" s="42" t="s">
        <v>1023</v>
      </c>
      <c r="C284" s="43" t="s">
        <v>450</v>
      </c>
      <c r="D284" s="44" t="s">
        <v>1018</v>
      </c>
      <c r="E284" s="45">
        <v>0</v>
      </c>
      <c r="F284" s="227"/>
    </row>
    <row r="285" spans="2:6" ht="12.75" customHeight="1" x14ac:dyDescent="0.2">
      <c r="B285" s="42" t="s">
        <v>1024</v>
      </c>
      <c r="C285" s="43" t="s">
        <v>450</v>
      </c>
      <c r="D285" s="44" t="s">
        <v>1018</v>
      </c>
      <c r="E285" s="45">
        <v>0</v>
      </c>
      <c r="F285" s="227"/>
    </row>
    <row r="286" spans="2:6" ht="12.75" customHeight="1" x14ac:dyDescent="0.2">
      <c r="B286" s="42" t="s">
        <v>1025</v>
      </c>
      <c r="C286" s="43" t="s">
        <v>450</v>
      </c>
      <c r="D286" s="44" t="s">
        <v>1018</v>
      </c>
      <c r="E286" s="45">
        <v>0</v>
      </c>
      <c r="F286" s="227"/>
    </row>
    <row r="287" spans="2:6" ht="12.75" customHeight="1" x14ac:dyDescent="0.2">
      <c r="B287" s="42" t="s">
        <v>1026</v>
      </c>
      <c r="C287" s="43" t="s">
        <v>450</v>
      </c>
      <c r="D287" s="44" t="s">
        <v>1018</v>
      </c>
      <c r="E287" s="45">
        <v>0</v>
      </c>
      <c r="F287" s="227"/>
    </row>
    <row r="288" spans="2:6" x14ac:dyDescent="0.2">
      <c r="B288" s="42" t="s">
        <v>1027</v>
      </c>
      <c r="C288" s="43" t="s">
        <v>450</v>
      </c>
      <c r="D288" s="44" t="s">
        <v>1018</v>
      </c>
      <c r="E288" s="45">
        <v>0</v>
      </c>
      <c r="F288" s="227"/>
    </row>
    <row r="289" spans="2:6" ht="12.75" customHeight="1" x14ac:dyDescent="0.2">
      <c r="B289" s="42" t="s">
        <v>1028</v>
      </c>
      <c r="C289" s="43" t="s">
        <v>450</v>
      </c>
      <c r="D289" s="44" t="s">
        <v>1018</v>
      </c>
      <c r="E289" s="45">
        <v>0</v>
      </c>
      <c r="F289" s="227"/>
    </row>
    <row r="290" spans="2:6" ht="12.75" customHeight="1" x14ac:dyDescent="0.2">
      <c r="B290" s="42" t="s">
        <v>1029</v>
      </c>
      <c r="C290" s="43" t="s">
        <v>450</v>
      </c>
      <c r="D290" s="44" t="s">
        <v>1018</v>
      </c>
      <c r="E290" s="45">
        <v>0</v>
      </c>
      <c r="F290" s="227"/>
    </row>
    <row r="291" spans="2:6" ht="12.75" customHeight="1" x14ac:dyDescent="0.2">
      <c r="B291" s="42" t="s">
        <v>1030</v>
      </c>
      <c r="C291" s="43" t="s">
        <v>450</v>
      </c>
      <c r="D291" s="44" t="s">
        <v>1018</v>
      </c>
      <c r="E291" s="45">
        <v>0</v>
      </c>
      <c r="F291" s="227"/>
    </row>
    <row r="292" spans="2:6" ht="12.75" customHeight="1" x14ac:dyDescent="0.2">
      <c r="B292" s="42" t="s">
        <v>1031</v>
      </c>
      <c r="C292" s="43" t="s">
        <v>450</v>
      </c>
      <c r="D292" s="44" t="s">
        <v>1018</v>
      </c>
      <c r="E292" s="45">
        <v>0</v>
      </c>
      <c r="F292" s="227"/>
    </row>
    <row r="293" spans="2:6" x14ac:dyDescent="0.2">
      <c r="B293" s="42" t="s">
        <v>1032</v>
      </c>
      <c r="C293" s="43" t="s">
        <v>450</v>
      </c>
      <c r="D293" s="44" t="s">
        <v>1018</v>
      </c>
      <c r="E293" s="45">
        <v>0</v>
      </c>
      <c r="F293" s="227"/>
    </row>
    <row r="294" spans="2:6" ht="12.75" customHeight="1" x14ac:dyDescent="0.2">
      <c r="B294" s="42" t="s">
        <v>1033</v>
      </c>
      <c r="C294" s="43" t="s">
        <v>450</v>
      </c>
      <c r="D294" s="44" t="s">
        <v>1018</v>
      </c>
      <c r="E294" s="45">
        <v>0</v>
      </c>
      <c r="F294" s="227"/>
    </row>
    <row r="295" spans="2:6" ht="12.75" customHeight="1" x14ac:dyDescent="0.2">
      <c r="B295" s="42" t="s">
        <v>1034</v>
      </c>
      <c r="C295" s="43" t="s">
        <v>450</v>
      </c>
      <c r="D295" s="44" t="s">
        <v>1018</v>
      </c>
      <c r="E295" s="45">
        <v>0</v>
      </c>
      <c r="F295" s="227"/>
    </row>
    <row r="296" spans="2:6" ht="12.75" customHeight="1" x14ac:dyDescent="0.2">
      <c r="B296" s="42" t="s">
        <v>1034</v>
      </c>
      <c r="C296" s="43" t="s">
        <v>450</v>
      </c>
      <c r="D296" s="44" t="s">
        <v>1018</v>
      </c>
      <c r="E296" s="45">
        <v>0</v>
      </c>
      <c r="F296" s="227"/>
    </row>
    <row r="297" spans="2:6" ht="12.75" hidden="1" customHeight="1" x14ac:dyDescent="0.2">
      <c r="B297" s="42" t="s">
        <v>1035</v>
      </c>
      <c r="C297" s="43" t="s">
        <v>728</v>
      </c>
      <c r="D297" s="44" t="s">
        <v>962</v>
      </c>
      <c r="E297" s="45">
        <v>0</v>
      </c>
      <c r="F297" s="227"/>
    </row>
    <row r="298" spans="2:6" hidden="1" x14ac:dyDescent="0.2">
      <c r="B298" s="42" t="s">
        <v>1036</v>
      </c>
      <c r="C298" s="43" t="s">
        <v>755</v>
      </c>
      <c r="D298" s="44" t="s">
        <v>962</v>
      </c>
      <c r="E298" s="45">
        <v>0</v>
      </c>
      <c r="F298" s="227"/>
    </row>
    <row r="299" spans="2:6" ht="12.75" hidden="1" customHeight="1" x14ac:dyDescent="0.2">
      <c r="B299" s="42" t="s">
        <v>1037</v>
      </c>
      <c r="C299" s="43" t="s">
        <v>734</v>
      </c>
      <c r="D299" s="44" t="s">
        <v>962</v>
      </c>
      <c r="E299" s="45">
        <v>0</v>
      </c>
      <c r="F299" s="227"/>
    </row>
    <row r="300" spans="2:6" ht="12.75" hidden="1" customHeight="1" x14ac:dyDescent="0.2">
      <c r="B300" s="42" t="s">
        <v>1038</v>
      </c>
      <c r="C300" s="43" t="s">
        <v>755</v>
      </c>
      <c r="D300" s="44" t="s">
        <v>962</v>
      </c>
      <c r="E300" s="45">
        <v>0</v>
      </c>
      <c r="F300" s="227"/>
    </row>
    <row r="301" spans="2:6" ht="12.75" hidden="1" customHeight="1" x14ac:dyDescent="0.2">
      <c r="B301" s="42" t="s">
        <v>1039</v>
      </c>
      <c r="C301" s="43" t="s">
        <v>728</v>
      </c>
      <c r="D301" s="44" t="s">
        <v>962</v>
      </c>
      <c r="E301" s="45">
        <v>0</v>
      </c>
      <c r="F301" s="227"/>
    </row>
    <row r="302" spans="2:6" ht="12.75" hidden="1" customHeight="1" x14ac:dyDescent="0.2">
      <c r="B302" s="42" t="s">
        <v>1040</v>
      </c>
      <c r="C302" s="43" t="s">
        <v>755</v>
      </c>
      <c r="D302" s="44" t="s">
        <v>1041</v>
      </c>
      <c r="E302" s="45">
        <v>0</v>
      </c>
      <c r="F302" s="227"/>
    </row>
    <row r="303" spans="2:6" hidden="1" x14ac:dyDescent="0.2">
      <c r="B303" s="42" t="s">
        <v>1042</v>
      </c>
      <c r="C303" s="43" t="s">
        <v>755</v>
      </c>
      <c r="D303" s="44" t="s">
        <v>1041</v>
      </c>
      <c r="E303" s="45">
        <v>0</v>
      </c>
      <c r="F303" s="227"/>
    </row>
    <row r="304" spans="2:6" ht="12.75" hidden="1" customHeight="1" x14ac:dyDescent="0.2">
      <c r="B304" s="42" t="s">
        <v>1043</v>
      </c>
      <c r="C304" s="43" t="s">
        <v>755</v>
      </c>
      <c r="D304" s="44" t="s">
        <v>962</v>
      </c>
      <c r="E304" s="45">
        <v>0</v>
      </c>
      <c r="F304" s="227"/>
    </row>
    <row r="305" spans="2:6" ht="12.75" hidden="1" customHeight="1" x14ac:dyDescent="0.2">
      <c r="B305" s="42" t="s">
        <v>1044</v>
      </c>
      <c r="C305" s="43" t="s">
        <v>733</v>
      </c>
      <c r="D305" s="44"/>
      <c r="E305" s="45">
        <v>0</v>
      </c>
      <c r="F305" s="227"/>
    </row>
    <row r="306" spans="2:6" ht="12.75" hidden="1" customHeight="1" x14ac:dyDescent="0.2">
      <c r="B306" s="42" t="s">
        <v>1045</v>
      </c>
      <c r="C306" s="43" t="s">
        <v>734</v>
      </c>
      <c r="D306" s="44" t="s">
        <v>962</v>
      </c>
      <c r="E306" s="45">
        <v>0</v>
      </c>
      <c r="F306" s="227"/>
    </row>
    <row r="307" spans="2:6" ht="12.75" hidden="1" customHeight="1" x14ac:dyDescent="0.2">
      <c r="B307" s="42" t="s">
        <v>1046</v>
      </c>
      <c r="C307" s="43" t="s">
        <v>728</v>
      </c>
      <c r="D307" s="44" t="s">
        <v>962</v>
      </c>
      <c r="E307" s="45">
        <v>0</v>
      </c>
      <c r="F307" s="227"/>
    </row>
    <row r="308" spans="2:6" hidden="1" x14ac:dyDescent="0.2">
      <c r="B308" s="42" t="s">
        <v>1047</v>
      </c>
      <c r="C308" s="43" t="s">
        <v>734</v>
      </c>
      <c r="D308" s="44" t="s">
        <v>962</v>
      </c>
      <c r="E308" s="45">
        <v>0</v>
      </c>
      <c r="F308" s="227"/>
    </row>
    <row r="309" spans="2:6" ht="12.75" hidden="1" customHeight="1" x14ac:dyDescent="0.2">
      <c r="B309" s="42" t="s">
        <v>1048</v>
      </c>
      <c r="C309" s="43" t="s">
        <v>733</v>
      </c>
      <c r="D309" s="44"/>
      <c r="E309" s="45">
        <v>0</v>
      </c>
      <c r="F309" s="227"/>
    </row>
    <row r="310" spans="2:6" ht="12.75" hidden="1" customHeight="1" x14ac:dyDescent="0.2">
      <c r="B310" s="42" t="s">
        <v>1049</v>
      </c>
      <c r="C310" s="43" t="s">
        <v>728</v>
      </c>
      <c r="D310" s="44" t="s">
        <v>962</v>
      </c>
      <c r="E310" s="45">
        <v>0</v>
      </c>
      <c r="F310" s="227"/>
    </row>
    <row r="311" spans="2:6" ht="12.75" hidden="1" customHeight="1" x14ac:dyDescent="0.2">
      <c r="B311" s="42" t="s">
        <v>1050</v>
      </c>
      <c r="C311" s="43" t="s">
        <v>734</v>
      </c>
      <c r="D311" s="44" t="s">
        <v>962</v>
      </c>
      <c r="E311" s="45">
        <v>0</v>
      </c>
      <c r="F311" s="227"/>
    </row>
    <row r="312" spans="2:6" ht="12.75" hidden="1" customHeight="1" x14ac:dyDescent="0.2">
      <c r="B312" s="42" t="s">
        <v>1051</v>
      </c>
      <c r="C312" s="43" t="s">
        <v>734</v>
      </c>
      <c r="D312" s="44" t="s">
        <v>962</v>
      </c>
      <c r="E312" s="45">
        <v>0</v>
      </c>
      <c r="F312" s="227"/>
    </row>
    <row r="313" spans="2:6" hidden="1" x14ac:dyDescent="0.2">
      <c r="B313" s="42" t="s">
        <v>1052</v>
      </c>
      <c r="C313" s="43" t="s">
        <v>729</v>
      </c>
      <c r="D313" s="44" t="s">
        <v>962</v>
      </c>
      <c r="E313" s="45">
        <v>0</v>
      </c>
      <c r="F313" s="227"/>
    </row>
    <row r="314" spans="2:6" ht="12.75" hidden="1" customHeight="1" x14ac:dyDescent="0.2">
      <c r="B314" s="42" t="s">
        <v>1053</v>
      </c>
      <c r="C314" s="43" t="s">
        <v>729</v>
      </c>
      <c r="D314" s="44" t="s">
        <v>962</v>
      </c>
      <c r="E314" s="45">
        <v>0</v>
      </c>
      <c r="F314" s="227"/>
    </row>
    <row r="315" spans="2:6" ht="12.75" hidden="1" customHeight="1" x14ac:dyDescent="0.2">
      <c r="B315" s="42" t="s">
        <v>1054</v>
      </c>
      <c r="C315" s="43" t="s">
        <v>729</v>
      </c>
      <c r="D315" s="44" t="s">
        <v>962</v>
      </c>
      <c r="E315" s="45">
        <v>0</v>
      </c>
      <c r="F315" s="227"/>
    </row>
    <row r="316" spans="2:6" ht="12.75" hidden="1" customHeight="1" x14ac:dyDescent="0.2">
      <c r="B316" s="42" t="s">
        <v>1055</v>
      </c>
      <c r="C316" s="43" t="s">
        <v>729</v>
      </c>
      <c r="D316" s="44" t="s">
        <v>962</v>
      </c>
      <c r="E316" s="45">
        <v>0</v>
      </c>
      <c r="F316" s="227"/>
    </row>
    <row r="317" spans="2:6" ht="12.75" hidden="1" customHeight="1" x14ac:dyDescent="0.2">
      <c r="B317" s="42" t="s">
        <v>1056</v>
      </c>
      <c r="C317" s="43" t="s">
        <v>449</v>
      </c>
      <c r="D317" s="44" t="s">
        <v>1057</v>
      </c>
      <c r="E317" s="45">
        <v>0</v>
      </c>
      <c r="F317" s="227"/>
    </row>
    <row r="318" spans="2:6" hidden="1" x14ac:dyDescent="0.2">
      <c r="B318" s="42" t="s">
        <v>1058</v>
      </c>
      <c r="C318" s="43" t="s">
        <v>449</v>
      </c>
      <c r="D318" s="44" t="s">
        <v>1057</v>
      </c>
      <c r="E318" s="45">
        <v>0</v>
      </c>
      <c r="F318" s="227"/>
    </row>
    <row r="319" spans="2:6" ht="12.75" hidden="1" customHeight="1" x14ac:dyDescent="0.2">
      <c r="B319" s="42" t="s">
        <v>1059</v>
      </c>
      <c r="C319" s="43" t="s">
        <v>449</v>
      </c>
      <c r="D319" s="44" t="s">
        <v>1057</v>
      </c>
      <c r="E319" s="45">
        <v>0</v>
      </c>
      <c r="F319" s="227"/>
    </row>
    <row r="320" spans="2:6" ht="12.75" hidden="1" customHeight="1" x14ac:dyDescent="0.2">
      <c r="B320" s="53" t="s">
        <v>1060</v>
      </c>
      <c r="C320" s="54" t="s">
        <v>448</v>
      </c>
      <c r="D320" s="55" t="s">
        <v>962</v>
      </c>
      <c r="E320" s="727">
        <v>0</v>
      </c>
      <c r="F320" s="227"/>
    </row>
    <row r="321" spans="2:6" ht="12.75" hidden="1" customHeight="1" x14ac:dyDescent="0.2">
      <c r="B321" s="53" t="s">
        <v>1061</v>
      </c>
      <c r="C321" s="54" t="s">
        <v>448</v>
      </c>
      <c r="D321" s="55" t="s">
        <v>962</v>
      </c>
      <c r="E321" s="727">
        <v>0</v>
      </c>
      <c r="F321" s="227"/>
    </row>
    <row r="322" spans="2:6" ht="12.75" hidden="1" customHeight="1" x14ac:dyDescent="0.2">
      <c r="B322" s="42" t="s">
        <v>1062</v>
      </c>
      <c r="C322" s="43" t="s">
        <v>736</v>
      </c>
      <c r="D322" s="44" t="s">
        <v>1063</v>
      </c>
      <c r="E322" s="45">
        <v>0</v>
      </c>
      <c r="F322" s="227"/>
    </row>
    <row r="323" spans="2:6" ht="12.75" hidden="1" customHeight="1" x14ac:dyDescent="0.2">
      <c r="B323" s="61" t="s">
        <v>1064</v>
      </c>
      <c r="C323" s="47" t="s">
        <v>735</v>
      </c>
      <c r="D323" s="62" t="s">
        <v>1065</v>
      </c>
      <c r="E323" s="49">
        <v>0</v>
      </c>
      <c r="F323" s="227" t="s">
        <v>841</v>
      </c>
    </row>
    <row r="324" spans="2:6" hidden="1" x14ac:dyDescent="0.2">
      <c r="B324" s="61" t="s">
        <v>1066</v>
      </c>
      <c r="C324" s="47" t="s">
        <v>735</v>
      </c>
      <c r="D324" s="62" t="s">
        <v>1065</v>
      </c>
      <c r="E324" s="49">
        <v>0</v>
      </c>
      <c r="F324" s="227" t="s">
        <v>841</v>
      </c>
    </row>
    <row r="325" spans="2:6" ht="12.75" hidden="1" customHeight="1" x14ac:dyDescent="0.2">
      <c r="B325" s="61" t="s">
        <v>1067</v>
      </c>
      <c r="C325" s="47" t="s">
        <v>735</v>
      </c>
      <c r="D325" s="62" t="s">
        <v>1065</v>
      </c>
      <c r="E325" s="49">
        <v>0</v>
      </c>
      <c r="F325" s="227" t="s">
        <v>841</v>
      </c>
    </row>
    <row r="326" spans="2:6" ht="12.75" hidden="1" customHeight="1" x14ac:dyDescent="0.2">
      <c r="B326" s="51" t="s">
        <v>1068</v>
      </c>
      <c r="C326" s="43" t="s">
        <v>735</v>
      </c>
      <c r="D326" s="52" t="s">
        <v>1065</v>
      </c>
      <c r="E326" s="45">
        <v>0</v>
      </c>
      <c r="F326" s="227"/>
    </row>
    <row r="327" spans="2:6" ht="12.75" hidden="1" customHeight="1" x14ac:dyDescent="0.2">
      <c r="B327" s="42" t="s">
        <v>1069</v>
      </c>
      <c r="C327" s="43" t="s">
        <v>736</v>
      </c>
      <c r="D327" s="44" t="s">
        <v>1070</v>
      </c>
      <c r="E327" s="45">
        <v>0</v>
      </c>
      <c r="F327" s="227"/>
    </row>
    <row r="328" spans="2:6" ht="12.75" hidden="1" customHeight="1" x14ac:dyDescent="0.2">
      <c r="B328" s="42" t="s">
        <v>1071</v>
      </c>
      <c r="C328" s="43" t="s">
        <v>736</v>
      </c>
      <c r="D328" s="44" t="s">
        <v>1070</v>
      </c>
      <c r="E328" s="45">
        <v>0</v>
      </c>
      <c r="F328" s="227"/>
    </row>
    <row r="329" spans="2:6" ht="12.75" hidden="1" customHeight="1" x14ac:dyDescent="0.2">
      <c r="B329" s="42" t="s">
        <v>1072</v>
      </c>
      <c r="C329" s="43" t="s">
        <v>736</v>
      </c>
      <c r="D329" s="44" t="s">
        <v>1073</v>
      </c>
      <c r="E329" s="45">
        <v>0</v>
      </c>
      <c r="F329" s="227"/>
    </row>
    <row r="330" spans="2:6" ht="12.75" hidden="1" customHeight="1" x14ac:dyDescent="0.2">
      <c r="B330" s="42" t="s">
        <v>1074</v>
      </c>
      <c r="C330" s="43" t="s">
        <v>736</v>
      </c>
      <c r="D330" s="44" t="s">
        <v>1073</v>
      </c>
      <c r="E330" s="45">
        <v>0</v>
      </c>
      <c r="F330" s="227"/>
    </row>
    <row r="331" spans="2:6" ht="12.75" hidden="1" customHeight="1" x14ac:dyDescent="0.2">
      <c r="B331" s="61" t="s">
        <v>1075</v>
      </c>
      <c r="C331" s="47" t="s">
        <v>735</v>
      </c>
      <c r="D331" s="62" t="s">
        <v>1076</v>
      </c>
      <c r="E331" s="49">
        <v>0</v>
      </c>
      <c r="F331" s="227" t="s">
        <v>841</v>
      </c>
    </row>
    <row r="332" spans="2:6" ht="12.75" hidden="1" customHeight="1" x14ac:dyDescent="0.2">
      <c r="B332" s="61" t="s">
        <v>1077</v>
      </c>
      <c r="C332" s="47" t="s">
        <v>735</v>
      </c>
      <c r="D332" s="62" t="s">
        <v>1076</v>
      </c>
      <c r="E332" s="49">
        <v>0</v>
      </c>
      <c r="F332" s="227" t="s">
        <v>841</v>
      </c>
    </row>
    <row r="333" spans="2:6" ht="12.75" hidden="1" customHeight="1" x14ac:dyDescent="0.2">
      <c r="B333" s="51" t="s">
        <v>1078</v>
      </c>
      <c r="C333" s="43" t="s">
        <v>735</v>
      </c>
      <c r="D333" s="52" t="s">
        <v>1076</v>
      </c>
      <c r="E333" s="45">
        <v>0</v>
      </c>
      <c r="F333" s="227"/>
    </row>
    <row r="334" spans="2:6" ht="12.75" hidden="1" customHeight="1" x14ac:dyDescent="0.2">
      <c r="B334" s="51" t="s">
        <v>1079</v>
      </c>
      <c r="C334" s="43" t="s">
        <v>735</v>
      </c>
      <c r="D334" s="52" t="s">
        <v>1076</v>
      </c>
      <c r="E334" s="45">
        <v>0</v>
      </c>
      <c r="F334" s="227"/>
    </row>
    <row r="335" spans="2:6" ht="12.75" customHeight="1" x14ac:dyDescent="0.2">
      <c r="B335" s="42" t="s">
        <v>1080</v>
      </c>
      <c r="C335" s="43" t="s">
        <v>450</v>
      </c>
      <c r="D335" s="44" t="s">
        <v>925</v>
      </c>
      <c r="E335" s="45">
        <v>0</v>
      </c>
      <c r="F335" s="227"/>
    </row>
    <row r="336" spans="2:6" ht="12.75" hidden="1" customHeight="1" x14ac:dyDescent="0.2">
      <c r="B336" s="42" t="s">
        <v>1081</v>
      </c>
      <c r="C336" s="43" t="s">
        <v>736</v>
      </c>
      <c r="D336" s="44" t="s">
        <v>1082</v>
      </c>
      <c r="E336" s="45">
        <v>0</v>
      </c>
      <c r="F336" s="227"/>
    </row>
    <row r="337" spans="2:6" ht="12.75" hidden="1" customHeight="1" x14ac:dyDescent="0.2">
      <c r="B337" s="42" t="s">
        <v>1083</v>
      </c>
      <c r="C337" s="43" t="s">
        <v>736</v>
      </c>
      <c r="D337" s="44" t="s">
        <v>1082</v>
      </c>
      <c r="E337" s="45">
        <v>0</v>
      </c>
      <c r="F337" s="227"/>
    </row>
    <row r="338" spans="2:6" ht="12.75" customHeight="1" x14ac:dyDescent="0.2">
      <c r="B338" s="42" t="s">
        <v>1084</v>
      </c>
      <c r="C338" s="43" t="s">
        <v>450</v>
      </c>
      <c r="D338" s="44" t="s">
        <v>1085</v>
      </c>
      <c r="E338" s="45">
        <v>0</v>
      </c>
      <c r="F338" s="227"/>
    </row>
    <row r="339" spans="2:6" x14ac:dyDescent="0.2">
      <c r="B339" s="42" t="s">
        <v>1086</v>
      </c>
      <c r="C339" s="43" t="s">
        <v>450</v>
      </c>
      <c r="D339" s="44" t="s">
        <v>1085</v>
      </c>
      <c r="E339" s="45">
        <v>0</v>
      </c>
      <c r="F339" s="227"/>
    </row>
    <row r="340" spans="2:6" ht="12.75" customHeight="1" x14ac:dyDescent="0.2">
      <c r="B340" s="229"/>
      <c r="C340" s="229"/>
      <c r="D340" s="230"/>
      <c r="E340" s="228"/>
      <c r="F340" s="228"/>
    </row>
    <row r="341" spans="2:6" ht="12.75" customHeight="1" x14ac:dyDescent="0.2">
      <c r="B341" s="229"/>
      <c r="C341" s="229"/>
      <c r="D341" s="230"/>
      <c r="E341" s="231"/>
      <c r="F341" s="228"/>
    </row>
    <row r="342" spans="2:6" ht="12.75" customHeight="1" x14ac:dyDescent="0.2">
      <c r="B342" s="229"/>
      <c r="C342" s="229"/>
      <c r="D342" s="230"/>
      <c r="E342" s="231"/>
      <c r="F342" s="228"/>
    </row>
    <row r="343" spans="2:6" ht="12.75" customHeight="1" x14ac:dyDescent="0.2">
      <c r="B343" s="229"/>
      <c r="C343" s="229"/>
      <c r="D343" s="230"/>
      <c r="E343" s="231"/>
      <c r="F343" s="228"/>
    </row>
    <row r="344" spans="2:6" x14ac:dyDescent="0.2">
      <c r="B344" s="229"/>
      <c r="C344" s="229"/>
      <c r="D344" s="230"/>
      <c r="E344" s="231"/>
      <c r="F344" s="228"/>
    </row>
    <row r="345" spans="2:6" ht="12.75" customHeight="1" x14ac:dyDescent="0.2">
      <c r="B345" s="40"/>
      <c r="C345" s="229"/>
      <c r="D345" s="230"/>
      <c r="E345" s="231"/>
      <c r="F345" s="228"/>
    </row>
    <row r="346" spans="2:6" ht="12.75" customHeight="1" x14ac:dyDescent="0.2">
      <c r="B346" s="229"/>
      <c r="C346" s="229"/>
      <c r="D346" s="230"/>
      <c r="E346" s="228"/>
      <c r="F346" s="228"/>
    </row>
    <row r="347" spans="2:6" ht="12.75" customHeight="1" x14ac:dyDescent="0.2">
      <c r="B347" s="229"/>
      <c r="C347" s="229"/>
      <c r="D347" s="230"/>
      <c r="E347" s="231"/>
      <c r="F347" s="228"/>
    </row>
    <row r="348" spans="2:6" ht="12.75" customHeight="1" x14ac:dyDescent="0.2">
      <c r="B348" s="229"/>
      <c r="C348" s="229"/>
      <c r="D348" s="230"/>
      <c r="E348" s="231"/>
      <c r="F348" s="228"/>
    </row>
    <row r="349" spans="2:6" ht="12.75" customHeight="1" x14ac:dyDescent="0.2">
      <c r="B349" s="229"/>
      <c r="C349" s="229"/>
      <c r="D349" s="230"/>
      <c r="E349" s="231"/>
      <c r="F349" s="228"/>
    </row>
    <row r="350" spans="2:6" x14ac:dyDescent="0.2">
      <c r="B350" s="229"/>
      <c r="C350" s="229"/>
      <c r="D350" s="230"/>
      <c r="E350" s="231"/>
      <c r="F350" s="228"/>
    </row>
    <row r="351" spans="2:6" ht="12.75" customHeight="1" x14ac:dyDescent="0.2">
      <c r="B351" s="229"/>
      <c r="C351" s="229"/>
      <c r="D351" s="230"/>
      <c r="E351" s="231"/>
      <c r="F351" s="228"/>
    </row>
    <row r="352" spans="2:6" ht="12.75" customHeight="1" x14ac:dyDescent="0.2">
      <c r="B352" s="229"/>
      <c r="C352" s="229"/>
      <c r="D352" s="230"/>
      <c r="E352" s="231"/>
      <c r="F352" s="228"/>
    </row>
    <row r="353" spans="2:6" ht="12.75" customHeight="1" x14ac:dyDescent="0.2">
      <c r="B353" s="232"/>
      <c r="C353" s="233"/>
      <c r="D353" s="230"/>
      <c r="E353" s="231"/>
      <c r="F353" s="228"/>
    </row>
    <row r="354" spans="2:6" ht="12.75" customHeight="1" x14ac:dyDescent="0.2">
      <c r="B354" s="229"/>
      <c r="C354" s="229"/>
      <c r="D354" s="230"/>
      <c r="E354" s="231"/>
      <c r="F354" s="228"/>
    </row>
    <row r="355" spans="2:6" ht="12.75" customHeight="1" x14ac:dyDescent="0.2">
      <c r="B355" s="229"/>
      <c r="C355" s="229"/>
      <c r="D355" s="230"/>
      <c r="E355" s="231"/>
      <c r="F355" s="228"/>
    </row>
    <row r="356" spans="2:6" ht="12.75" customHeight="1" x14ac:dyDescent="0.2">
      <c r="B356" s="229"/>
      <c r="C356" s="229"/>
      <c r="D356" s="230"/>
      <c r="E356" s="231"/>
      <c r="F356" s="228"/>
    </row>
    <row r="357" spans="2:6" ht="12.75" customHeight="1" x14ac:dyDescent="0.2">
      <c r="B357" s="40"/>
      <c r="C357" s="229"/>
      <c r="D357" s="230"/>
      <c r="E357" s="231"/>
      <c r="F357" s="228"/>
    </row>
    <row r="358" spans="2:6" ht="12.75" customHeight="1" x14ac:dyDescent="0.2">
      <c r="B358" s="229"/>
      <c r="C358" s="229"/>
      <c r="D358" s="230"/>
      <c r="E358" s="228"/>
      <c r="F358" s="228"/>
    </row>
    <row r="359" spans="2:6" ht="12.75" customHeight="1" x14ac:dyDescent="0.2">
      <c r="B359" s="229"/>
      <c r="C359" s="229"/>
      <c r="D359" s="230"/>
      <c r="E359" s="231"/>
      <c r="F359" s="228"/>
    </row>
    <row r="360" spans="2:6" ht="12.75" customHeight="1" x14ac:dyDescent="0.2">
      <c r="B360" s="40"/>
      <c r="C360" s="229"/>
      <c r="D360" s="230"/>
      <c r="E360" s="231"/>
      <c r="F360" s="228"/>
    </row>
    <row r="361" spans="2:6" ht="12.75" customHeight="1" x14ac:dyDescent="0.2">
      <c r="B361" s="229"/>
      <c r="C361" s="229"/>
      <c r="D361" s="230"/>
      <c r="E361" s="228"/>
      <c r="F361" s="228"/>
    </row>
    <row r="362" spans="2:6" ht="12.75" customHeight="1" x14ac:dyDescent="0.2">
      <c r="B362" s="40"/>
      <c r="C362" s="229"/>
      <c r="D362" s="230"/>
      <c r="E362" s="231"/>
      <c r="F362" s="228"/>
    </row>
    <row r="363" spans="2:6" ht="12.75" customHeight="1" x14ac:dyDescent="0.2">
      <c r="B363" s="229"/>
      <c r="C363" s="229"/>
      <c r="D363" s="230"/>
      <c r="E363" s="228"/>
      <c r="F363" s="228"/>
    </row>
    <row r="364" spans="2:6" ht="12.75" customHeight="1" x14ac:dyDescent="0.2">
      <c r="B364" s="229"/>
      <c r="C364" s="229"/>
      <c r="D364" s="230"/>
      <c r="E364" s="231"/>
      <c r="F364" s="228"/>
    </row>
    <row r="365" spans="2:6" ht="12.75" customHeight="1" x14ac:dyDescent="0.2">
      <c r="B365" s="40"/>
      <c r="C365" s="229"/>
      <c r="D365" s="230"/>
      <c r="E365" s="231"/>
      <c r="F365" s="228"/>
    </row>
    <row r="366" spans="2:6" ht="12.75" customHeight="1" x14ac:dyDescent="0.2">
      <c r="B366" s="229"/>
      <c r="C366" s="229"/>
      <c r="D366" s="230"/>
      <c r="E366" s="228"/>
      <c r="F366" s="228"/>
    </row>
    <row r="367" spans="2:6" ht="12.75" customHeight="1" x14ac:dyDescent="0.2">
      <c r="B367" s="229"/>
      <c r="C367" s="229"/>
      <c r="D367" s="230"/>
      <c r="E367" s="231"/>
      <c r="F367" s="228"/>
    </row>
    <row r="368" spans="2:6" x14ac:dyDescent="0.2">
      <c r="B368" s="229"/>
      <c r="C368" s="229"/>
      <c r="D368" s="230"/>
      <c r="E368" s="231"/>
      <c r="F368" s="228"/>
    </row>
    <row r="369" spans="2:6" ht="12.75" customHeight="1" x14ac:dyDescent="0.2">
      <c r="B369" s="229"/>
      <c r="C369" s="229"/>
      <c r="D369" s="230"/>
      <c r="E369" s="231"/>
      <c r="F369" s="228"/>
    </row>
    <row r="370" spans="2:6" x14ac:dyDescent="0.2">
      <c r="B370" s="229"/>
      <c r="C370" s="229"/>
      <c r="D370" s="230"/>
      <c r="E370" s="231"/>
      <c r="F370" s="228"/>
    </row>
    <row r="371" spans="2:6" ht="12.75" customHeight="1" x14ac:dyDescent="0.2">
      <c r="B371" s="229"/>
      <c r="C371" s="229"/>
      <c r="D371" s="230"/>
      <c r="E371" s="231"/>
      <c r="F371" s="228"/>
    </row>
    <row r="372" spans="2:6" ht="12.75" customHeight="1" x14ac:dyDescent="0.2">
      <c r="B372" s="229"/>
      <c r="C372" s="229"/>
      <c r="D372" s="230"/>
      <c r="E372" s="231"/>
      <c r="F372" s="228"/>
    </row>
    <row r="373" spans="2:6" ht="12.75" customHeight="1" x14ac:dyDescent="0.2">
      <c r="B373" s="229"/>
      <c r="C373" s="229"/>
      <c r="D373" s="230"/>
      <c r="E373" s="231"/>
      <c r="F373" s="228"/>
    </row>
    <row r="374" spans="2:6" ht="12.75" customHeight="1" x14ac:dyDescent="0.2">
      <c r="B374" s="229"/>
      <c r="C374" s="229"/>
      <c r="D374" s="230"/>
      <c r="E374" s="231"/>
      <c r="F374" s="228"/>
    </row>
    <row r="375" spans="2:6" ht="12.75" customHeight="1" x14ac:dyDescent="0.2">
      <c r="B375" s="229"/>
      <c r="C375" s="229"/>
      <c r="D375" s="230"/>
      <c r="E375" s="231"/>
      <c r="F375" s="228"/>
    </row>
    <row r="376" spans="2:6" ht="12.75" customHeight="1" x14ac:dyDescent="0.2">
      <c r="B376" s="40"/>
      <c r="C376" s="229"/>
      <c r="D376" s="230"/>
      <c r="E376" s="231"/>
      <c r="F376" s="228"/>
    </row>
    <row r="377" spans="2:6" ht="12.75" customHeight="1" x14ac:dyDescent="0.2">
      <c r="B377" s="229"/>
      <c r="C377" s="229"/>
      <c r="D377" s="230"/>
      <c r="E377" s="228"/>
      <c r="F377" s="228"/>
    </row>
    <row r="378" spans="2:6" ht="12.75" customHeight="1" x14ac:dyDescent="0.2">
      <c r="B378" s="229"/>
      <c r="C378" s="229"/>
      <c r="D378" s="230"/>
      <c r="E378" s="231"/>
      <c r="F378" s="228"/>
    </row>
    <row r="379" spans="2:6" x14ac:dyDescent="0.2">
      <c r="B379" s="229"/>
      <c r="C379" s="229"/>
      <c r="D379" s="230"/>
      <c r="E379" s="231"/>
      <c r="F379" s="228"/>
    </row>
    <row r="380" spans="2:6" x14ac:dyDescent="0.2">
      <c r="B380" s="229"/>
      <c r="C380" s="229"/>
      <c r="D380" s="230"/>
      <c r="E380" s="231"/>
      <c r="F380" s="228"/>
    </row>
    <row r="381" spans="2:6" ht="12.75" customHeight="1" x14ac:dyDescent="0.2">
      <c r="B381" s="229"/>
      <c r="C381" s="229"/>
      <c r="D381" s="230"/>
      <c r="E381" s="231"/>
      <c r="F381" s="228"/>
    </row>
    <row r="382" spans="2:6" x14ac:dyDescent="0.2">
      <c r="B382" s="229"/>
      <c r="C382" s="229"/>
      <c r="D382" s="230"/>
      <c r="E382" s="231"/>
      <c r="F382" s="228"/>
    </row>
    <row r="383" spans="2:6" ht="12.75" customHeight="1" x14ac:dyDescent="0.2">
      <c r="B383" s="229"/>
      <c r="C383" s="229"/>
      <c r="D383" s="230"/>
      <c r="E383" s="231"/>
      <c r="F383" s="228"/>
    </row>
    <row r="384" spans="2:6" ht="12.75" customHeight="1" x14ac:dyDescent="0.2">
      <c r="B384" s="229"/>
      <c r="C384" s="229"/>
      <c r="D384" s="230"/>
      <c r="E384" s="231"/>
      <c r="F384" s="228"/>
    </row>
    <row r="385" spans="2:6" ht="12.75" customHeight="1" x14ac:dyDescent="0.2">
      <c r="B385" s="229"/>
      <c r="C385" s="229"/>
      <c r="D385" s="230"/>
      <c r="E385" s="231"/>
      <c r="F385" s="228"/>
    </row>
    <row r="386" spans="2:6" ht="12.75" customHeight="1" x14ac:dyDescent="0.2">
      <c r="B386" s="229"/>
      <c r="C386" s="229"/>
      <c r="D386" s="230"/>
      <c r="E386" s="231"/>
      <c r="F386" s="228"/>
    </row>
    <row r="387" spans="2:6" ht="12.75" customHeight="1" x14ac:dyDescent="0.2">
      <c r="B387" s="229"/>
      <c r="C387" s="229"/>
      <c r="D387" s="230"/>
      <c r="E387" s="231"/>
      <c r="F387" s="228"/>
    </row>
    <row r="388" spans="2:6" ht="12.75" customHeight="1" x14ac:dyDescent="0.2">
      <c r="B388" s="229"/>
      <c r="C388" s="229"/>
      <c r="D388" s="230"/>
      <c r="E388" s="231"/>
      <c r="F388" s="228"/>
    </row>
    <row r="389" spans="2:6" ht="12.75" customHeight="1" x14ac:dyDescent="0.2">
      <c r="B389" s="229"/>
      <c r="C389" s="229"/>
      <c r="D389" s="230"/>
      <c r="E389" s="231"/>
      <c r="F389" s="228"/>
    </row>
    <row r="390" spans="2:6" ht="12.75" customHeight="1" x14ac:dyDescent="0.2">
      <c r="B390" s="229"/>
      <c r="C390" s="229"/>
      <c r="D390" s="230"/>
      <c r="E390" s="231"/>
      <c r="F390" s="228"/>
    </row>
    <row r="391" spans="2:6" ht="12.75" customHeight="1" x14ac:dyDescent="0.2">
      <c r="B391" s="229"/>
      <c r="C391" s="229"/>
      <c r="D391" s="230"/>
      <c r="E391" s="231"/>
      <c r="F391" s="228"/>
    </row>
    <row r="392" spans="2:6" ht="12.75" customHeight="1" x14ac:dyDescent="0.2">
      <c r="B392" s="229"/>
      <c r="C392" s="229"/>
      <c r="D392" s="230"/>
      <c r="E392" s="231"/>
      <c r="F392" s="228"/>
    </row>
    <row r="393" spans="2:6" ht="12.75" customHeight="1" x14ac:dyDescent="0.2">
      <c r="B393" s="229"/>
      <c r="C393" s="229"/>
      <c r="D393" s="230"/>
      <c r="E393" s="231"/>
      <c r="F393" s="228"/>
    </row>
    <row r="394" spans="2:6" ht="12.75" customHeight="1" x14ac:dyDescent="0.2">
      <c r="B394" s="229"/>
      <c r="C394" s="229"/>
      <c r="D394" s="230"/>
      <c r="E394" s="231"/>
      <c r="F394" s="228"/>
    </row>
    <row r="395" spans="2:6" ht="12.75" customHeight="1" x14ac:dyDescent="0.2">
      <c r="B395" s="229"/>
      <c r="C395" s="229"/>
      <c r="D395" s="230"/>
      <c r="E395" s="231"/>
      <c r="F395" s="228"/>
    </row>
    <row r="396" spans="2:6" ht="12.75" customHeight="1" x14ac:dyDescent="0.2">
      <c r="B396" s="229"/>
      <c r="C396" s="229"/>
      <c r="D396" s="230"/>
      <c r="E396" s="231"/>
      <c r="F396" s="228"/>
    </row>
    <row r="397" spans="2:6" ht="12.75" customHeight="1" x14ac:dyDescent="0.2">
      <c r="B397" s="229"/>
      <c r="C397" s="229"/>
      <c r="D397" s="230"/>
      <c r="E397" s="231"/>
      <c r="F397" s="228"/>
    </row>
    <row r="398" spans="2:6" ht="12.75" customHeight="1" x14ac:dyDescent="0.2">
      <c r="B398" s="229"/>
      <c r="C398" s="229"/>
      <c r="D398" s="230"/>
      <c r="E398" s="231"/>
      <c r="F398" s="228"/>
    </row>
    <row r="399" spans="2:6" ht="12.75" customHeight="1" x14ac:dyDescent="0.2">
      <c r="B399" s="229"/>
      <c r="C399" s="229"/>
      <c r="D399" s="230"/>
      <c r="E399" s="231"/>
      <c r="F399" s="228"/>
    </row>
    <row r="400" spans="2:6" ht="12.75" customHeight="1" x14ac:dyDescent="0.2">
      <c r="B400" s="229"/>
      <c r="C400" s="229"/>
      <c r="D400" s="230"/>
      <c r="E400" s="231"/>
      <c r="F400" s="228"/>
    </row>
    <row r="401" spans="2:6" x14ac:dyDescent="0.2">
      <c r="B401" s="229"/>
      <c r="C401" s="229"/>
      <c r="D401" s="230"/>
      <c r="E401" s="231"/>
      <c r="F401" s="228"/>
    </row>
    <row r="402" spans="2:6" ht="12.75" customHeight="1" x14ac:dyDescent="0.2">
      <c r="B402" s="229"/>
      <c r="C402" s="229"/>
      <c r="D402" s="230"/>
      <c r="E402" s="231"/>
      <c r="F402" s="228"/>
    </row>
    <row r="403" spans="2:6" ht="12.75" customHeight="1" x14ac:dyDescent="0.2">
      <c r="B403" s="229"/>
      <c r="C403" s="229"/>
      <c r="D403" s="230"/>
      <c r="E403" s="231"/>
      <c r="F403" s="228"/>
    </row>
    <row r="404" spans="2:6" ht="12.75" customHeight="1" x14ac:dyDescent="0.2">
      <c r="B404" s="229"/>
      <c r="C404" s="229"/>
      <c r="D404" s="230"/>
      <c r="E404" s="231"/>
      <c r="F404" s="228"/>
    </row>
    <row r="405" spans="2:6" ht="12.75" customHeight="1" x14ac:dyDescent="0.2">
      <c r="B405" s="229"/>
      <c r="C405" s="229"/>
      <c r="D405" s="230"/>
      <c r="E405" s="231"/>
      <c r="F405" s="228"/>
    </row>
    <row r="406" spans="2:6" ht="12.75" customHeight="1" x14ac:dyDescent="0.2">
      <c r="B406" s="229"/>
      <c r="C406" s="229"/>
      <c r="D406" s="230"/>
      <c r="E406" s="231"/>
      <c r="F406" s="228"/>
    </row>
    <row r="407" spans="2:6" ht="12.75" customHeight="1" x14ac:dyDescent="0.2">
      <c r="B407" s="229"/>
      <c r="C407" s="229"/>
      <c r="D407" s="230"/>
      <c r="E407" s="231"/>
      <c r="F407" s="228"/>
    </row>
    <row r="408" spans="2:6" ht="12.75" customHeight="1" x14ac:dyDescent="0.2">
      <c r="B408" s="229"/>
      <c r="C408" s="229"/>
      <c r="D408" s="230"/>
      <c r="E408" s="231"/>
      <c r="F408" s="228"/>
    </row>
    <row r="409" spans="2:6" ht="12.75" customHeight="1" x14ac:dyDescent="0.2">
      <c r="B409" s="229"/>
      <c r="C409" s="229"/>
      <c r="D409" s="230"/>
      <c r="E409" s="231"/>
      <c r="F409" s="228"/>
    </row>
    <row r="410" spans="2:6" x14ac:dyDescent="0.2">
      <c r="B410" s="229"/>
      <c r="C410" s="229"/>
      <c r="D410" s="230"/>
      <c r="E410" s="231"/>
      <c r="F410" s="228"/>
    </row>
    <row r="411" spans="2:6" ht="12.75" customHeight="1" x14ac:dyDescent="0.2">
      <c r="B411" s="229"/>
      <c r="C411" s="229"/>
      <c r="D411" s="230"/>
      <c r="E411" s="231"/>
      <c r="F411" s="228"/>
    </row>
    <row r="412" spans="2:6" ht="12.75" customHeight="1" x14ac:dyDescent="0.2">
      <c r="B412" s="229"/>
      <c r="C412" s="229"/>
      <c r="D412" s="230"/>
      <c r="E412" s="231"/>
      <c r="F412" s="228"/>
    </row>
    <row r="413" spans="2:6" ht="12.75" customHeight="1" x14ac:dyDescent="0.2">
      <c r="B413" s="229"/>
      <c r="C413" s="229"/>
      <c r="D413" s="230"/>
      <c r="E413" s="231"/>
      <c r="F413" s="228"/>
    </row>
    <row r="414" spans="2:6" ht="12.75" customHeight="1" x14ac:dyDescent="0.2">
      <c r="B414" s="229"/>
      <c r="C414" s="229"/>
      <c r="D414" s="230"/>
      <c r="E414" s="231"/>
      <c r="F414" s="228"/>
    </row>
    <row r="415" spans="2:6" ht="12.75" customHeight="1" x14ac:dyDescent="0.2">
      <c r="B415" s="229"/>
      <c r="C415" s="229"/>
      <c r="D415" s="230"/>
      <c r="E415" s="231"/>
      <c r="F415" s="228"/>
    </row>
    <row r="416" spans="2:6" ht="12.75" customHeight="1" x14ac:dyDescent="0.2">
      <c r="B416" s="229"/>
      <c r="C416" s="229"/>
      <c r="D416" s="230"/>
      <c r="E416" s="231"/>
      <c r="F416" s="228"/>
    </row>
    <row r="417" spans="2:6" ht="12.75" customHeight="1" x14ac:dyDescent="0.2">
      <c r="B417" s="229"/>
      <c r="C417" s="229"/>
      <c r="D417" s="230"/>
      <c r="E417" s="231"/>
      <c r="F417" s="228"/>
    </row>
    <row r="418" spans="2:6" ht="12.75" customHeight="1" x14ac:dyDescent="0.2">
      <c r="B418" s="229"/>
      <c r="C418" s="229"/>
      <c r="D418" s="230"/>
      <c r="E418" s="231"/>
      <c r="F418" s="228"/>
    </row>
    <row r="419" spans="2:6" x14ac:dyDescent="0.2">
      <c r="B419" s="229"/>
      <c r="C419" s="229"/>
      <c r="D419" s="230"/>
      <c r="E419" s="231"/>
      <c r="F419" s="228"/>
    </row>
    <row r="420" spans="2:6" ht="12.75" customHeight="1" x14ac:dyDescent="0.2">
      <c r="B420" s="229"/>
      <c r="C420" s="229"/>
      <c r="D420" s="230"/>
      <c r="E420" s="231"/>
      <c r="F420" s="228"/>
    </row>
    <row r="421" spans="2:6" x14ac:dyDescent="0.2">
      <c r="B421" s="229"/>
      <c r="C421" s="229"/>
      <c r="D421" s="230"/>
      <c r="E421" s="231"/>
      <c r="F421" s="228"/>
    </row>
    <row r="422" spans="2:6" ht="12.75" customHeight="1" x14ac:dyDescent="0.2">
      <c r="B422" s="229"/>
      <c r="C422" s="229"/>
      <c r="D422" s="230"/>
      <c r="E422" s="231"/>
      <c r="F422" s="228"/>
    </row>
    <row r="423" spans="2:6" ht="12.75" customHeight="1" x14ac:dyDescent="0.2">
      <c r="B423" s="229"/>
      <c r="C423" s="229"/>
      <c r="D423" s="230"/>
      <c r="E423" s="231"/>
      <c r="F423" s="228"/>
    </row>
    <row r="424" spans="2:6" ht="12.75" customHeight="1" x14ac:dyDescent="0.2">
      <c r="B424" s="229"/>
      <c r="C424" s="229"/>
      <c r="D424" s="230"/>
      <c r="E424" s="231"/>
      <c r="F424" s="228"/>
    </row>
    <row r="425" spans="2:6" ht="12.75" customHeight="1" x14ac:dyDescent="0.2">
      <c r="B425" s="229"/>
      <c r="C425" s="229"/>
      <c r="D425" s="230"/>
      <c r="E425" s="231"/>
      <c r="F425" s="228"/>
    </row>
    <row r="426" spans="2:6" ht="12.75" customHeight="1" x14ac:dyDescent="0.2">
      <c r="B426" s="229"/>
      <c r="C426" s="229"/>
      <c r="D426" s="230"/>
      <c r="E426" s="231"/>
      <c r="F426" s="228"/>
    </row>
    <row r="427" spans="2:6" ht="12.75" customHeight="1" x14ac:dyDescent="0.2">
      <c r="B427" s="229"/>
      <c r="C427" s="229"/>
      <c r="D427" s="230"/>
      <c r="E427" s="231"/>
      <c r="F427" s="228"/>
    </row>
    <row r="428" spans="2:6" ht="12.75" customHeight="1" x14ac:dyDescent="0.2">
      <c r="B428" s="229"/>
      <c r="C428" s="229"/>
      <c r="D428" s="230"/>
      <c r="E428" s="231"/>
      <c r="F428" s="228"/>
    </row>
    <row r="429" spans="2:6" ht="12.75" customHeight="1" x14ac:dyDescent="0.2">
      <c r="B429" s="229"/>
      <c r="C429" s="229"/>
      <c r="D429" s="230"/>
      <c r="E429" s="231"/>
      <c r="F429" s="228"/>
    </row>
    <row r="430" spans="2:6" ht="12.75" customHeight="1" x14ac:dyDescent="0.2">
      <c r="B430" s="229"/>
      <c r="C430" s="229"/>
      <c r="D430" s="230"/>
      <c r="E430" s="231"/>
      <c r="F430" s="228"/>
    </row>
    <row r="431" spans="2:6" ht="12.75" customHeight="1" x14ac:dyDescent="0.2">
      <c r="B431" s="229"/>
      <c r="C431" s="229"/>
      <c r="D431" s="230"/>
      <c r="E431" s="231"/>
      <c r="F431" s="228"/>
    </row>
    <row r="432" spans="2:6" ht="12.75" customHeight="1" x14ac:dyDescent="0.2">
      <c r="B432" s="229"/>
      <c r="C432" s="229"/>
      <c r="D432" s="230"/>
      <c r="E432" s="231"/>
      <c r="F432" s="228"/>
    </row>
    <row r="433" spans="2:6" ht="12.75" customHeight="1" x14ac:dyDescent="0.2">
      <c r="B433" s="40"/>
      <c r="C433" s="229"/>
      <c r="D433" s="230"/>
      <c r="E433" s="231"/>
      <c r="F433" s="228"/>
    </row>
    <row r="434" spans="2:6" x14ac:dyDescent="0.2">
      <c r="B434" s="40"/>
      <c r="C434" s="229"/>
      <c r="D434" s="230"/>
      <c r="E434" s="228"/>
      <c r="F434" s="228"/>
    </row>
    <row r="435" spans="2:6" ht="12.75" customHeight="1" x14ac:dyDescent="0.2">
      <c r="B435" s="229"/>
      <c r="C435" s="229"/>
      <c r="D435" s="230"/>
      <c r="E435" s="228"/>
      <c r="F435" s="228"/>
    </row>
    <row r="436" spans="2:6" ht="12.75" customHeight="1" x14ac:dyDescent="0.2">
      <c r="B436" s="229"/>
      <c r="C436" s="229"/>
      <c r="D436" s="230"/>
      <c r="E436" s="231"/>
      <c r="F436" s="228"/>
    </row>
    <row r="437" spans="2:6" ht="12.75" customHeight="1" x14ac:dyDescent="0.2">
      <c r="B437" s="40"/>
      <c r="C437" s="229"/>
      <c r="D437" s="230"/>
      <c r="E437" s="231"/>
      <c r="F437" s="228"/>
    </row>
    <row r="438" spans="2:6" ht="12.75" customHeight="1" x14ac:dyDescent="0.2">
      <c r="B438" s="229"/>
      <c r="C438" s="229"/>
      <c r="D438" s="230"/>
      <c r="E438" s="228"/>
      <c r="F438" s="228"/>
    </row>
    <row r="439" spans="2:6" ht="12.75" customHeight="1" x14ac:dyDescent="0.2">
      <c r="B439" s="229"/>
      <c r="C439" s="229"/>
      <c r="D439" s="230"/>
      <c r="E439" s="231"/>
      <c r="F439" s="228"/>
    </row>
    <row r="440" spans="2:6" ht="12.75" customHeight="1" x14ac:dyDescent="0.2">
      <c r="B440" s="229"/>
      <c r="C440" s="229"/>
      <c r="D440" s="230"/>
      <c r="E440" s="231"/>
      <c r="F440" s="228"/>
    </row>
    <row r="441" spans="2:6" ht="12.75" customHeight="1" x14ac:dyDescent="0.2">
      <c r="B441" s="229"/>
      <c r="C441" s="229"/>
      <c r="D441" s="230"/>
      <c r="E441" s="231"/>
      <c r="F441" s="228"/>
    </row>
    <row r="442" spans="2:6" ht="12.75" customHeight="1" x14ac:dyDescent="0.2">
      <c r="B442" s="229"/>
      <c r="C442" s="229"/>
      <c r="D442" s="230"/>
      <c r="E442" s="231"/>
      <c r="F442" s="228"/>
    </row>
    <row r="443" spans="2:6" ht="12.75" customHeight="1" x14ac:dyDescent="0.2">
      <c r="B443" s="229"/>
      <c r="C443" s="229"/>
      <c r="D443" s="230"/>
      <c r="E443" s="231"/>
      <c r="F443" s="228"/>
    </row>
    <row r="444" spans="2:6" ht="12.75" customHeight="1" x14ac:dyDescent="0.2">
      <c r="B444" s="229"/>
      <c r="C444" s="229"/>
      <c r="D444" s="230"/>
      <c r="E444" s="231"/>
      <c r="F444" s="228"/>
    </row>
    <row r="445" spans="2:6" ht="12.75" customHeight="1" x14ac:dyDescent="0.2">
      <c r="B445" s="229"/>
      <c r="C445" s="229"/>
      <c r="D445" s="230"/>
      <c r="E445" s="231"/>
      <c r="F445" s="228"/>
    </row>
    <row r="446" spans="2:6" ht="12.75" customHeight="1" x14ac:dyDescent="0.2">
      <c r="B446" s="229"/>
      <c r="C446" s="229"/>
      <c r="D446" s="230"/>
      <c r="E446" s="231"/>
      <c r="F446" s="228"/>
    </row>
    <row r="447" spans="2:6" ht="12.75" customHeight="1" x14ac:dyDescent="0.2">
      <c r="B447" s="229"/>
      <c r="C447" s="229"/>
      <c r="D447" s="230"/>
      <c r="E447" s="231"/>
      <c r="F447" s="228"/>
    </row>
    <row r="448" spans="2:6" ht="12.75" customHeight="1" x14ac:dyDescent="0.2">
      <c r="B448" s="40"/>
      <c r="C448" s="229"/>
      <c r="D448" s="230"/>
      <c r="E448" s="231"/>
      <c r="F448" s="228"/>
    </row>
    <row r="449" spans="2:6" ht="12.75" customHeight="1" x14ac:dyDescent="0.2">
      <c r="B449" s="40"/>
      <c r="C449" s="229"/>
      <c r="D449" s="230"/>
      <c r="E449" s="228"/>
      <c r="F449" s="228"/>
    </row>
    <row r="450" spans="2:6" ht="12.75" customHeight="1" x14ac:dyDescent="0.2">
      <c r="B450" s="40"/>
      <c r="C450" s="229"/>
      <c r="D450" s="230"/>
      <c r="E450" s="228"/>
      <c r="F450" s="228"/>
    </row>
    <row r="451" spans="2:6" ht="12.75" customHeight="1" x14ac:dyDescent="0.2">
      <c r="B451" s="229"/>
      <c r="C451" s="229"/>
      <c r="D451" s="230"/>
      <c r="E451" s="228"/>
      <c r="F451" s="228"/>
    </row>
    <row r="452" spans="2:6" ht="12.75" customHeight="1" x14ac:dyDescent="0.2">
      <c r="B452" s="229"/>
      <c r="C452" s="229"/>
      <c r="D452" s="230"/>
      <c r="E452" s="231"/>
      <c r="F452" s="228"/>
    </row>
    <row r="453" spans="2:6" ht="12.75" customHeight="1" x14ac:dyDescent="0.2">
      <c r="B453" s="229"/>
      <c r="C453" s="229"/>
      <c r="D453" s="230"/>
      <c r="E453" s="231"/>
      <c r="F453" s="228"/>
    </row>
    <row r="454" spans="2:6" ht="12.75" customHeight="1" x14ac:dyDescent="0.2">
      <c r="B454" s="229"/>
      <c r="C454" s="229"/>
      <c r="D454" s="230"/>
      <c r="E454" s="231"/>
      <c r="F454" s="228"/>
    </row>
    <row r="455" spans="2:6" ht="12.75" customHeight="1" x14ac:dyDescent="0.2">
      <c r="B455" s="229"/>
      <c r="C455" s="229"/>
      <c r="D455" s="230"/>
      <c r="E455" s="231"/>
      <c r="F455" s="228"/>
    </row>
    <row r="456" spans="2:6" ht="12.75" customHeight="1" x14ac:dyDescent="0.2">
      <c r="B456" s="229"/>
      <c r="C456" s="229"/>
      <c r="D456" s="230"/>
      <c r="E456" s="231"/>
      <c r="F456" s="228"/>
    </row>
    <row r="457" spans="2:6" ht="12.75" customHeight="1" x14ac:dyDescent="0.2">
      <c r="B457" s="229"/>
      <c r="C457" s="229"/>
      <c r="D457" s="230"/>
      <c r="E457" s="231"/>
      <c r="F457" s="228"/>
    </row>
    <row r="458" spans="2:6" ht="12.75" customHeight="1" x14ac:dyDescent="0.2">
      <c r="B458" s="229"/>
      <c r="C458" s="229"/>
      <c r="D458" s="230"/>
      <c r="E458" s="231"/>
      <c r="F458" s="228"/>
    </row>
    <row r="459" spans="2:6" ht="12.75" customHeight="1" x14ac:dyDescent="0.2">
      <c r="B459" s="229"/>
      <c r="C459" s="229"/>
      <c r="D459" s="230"/>
      <c r="E459" s="231"/>
      <c r="F459" s="228"/>
    </row>
    <row r="460" spans="2:6" ht="12.75" customHeight="1" x14ac:dyDescent="0.2">
      <c r="B460" s="229"/>
      <c r="C460" s="229"/>
      <c r="D460" s="230"/>
      <c r="E460" s="231"/>
      <c r="F460" s="228"/>
    </row>
    <row r="461" spans="2:6" ht="12.75" customHeight="1" x14ac:dyDescent="0.2">
      <c r="B461" s="229"/>
      <c r="C461" s="229"/>
      <c r="D461" s="230"/>
      <c r="E461" s="231"/>
      <c r="F461" s="228"/>
    </row>
    <row r="462" spans="2:6" ht="12.75" customHeight="1" x14ac:dyDescent="0.2">
      <c r="B462" s="229"/>
      <c r="C462" s="229"/>
      <c r="D462" s="230"/>
      <c r="E462" s="231"/>
      <c r="F462" s="228"/>
    </row>
    <row r="463" spans="2:6" x14ac:dyDescent="0.2">
      <c r="B463" s="229"/>
      <c r="C463" s="229"/>
      <c r="D463" s="230"/>
      <c r="E463" s="231"/>
      <c r="F463" s="228"/>
    </row>
    <row r="464" spans="2:6" x14ac:dyDescent="0.2">
      <c r="B464" s="229"/>
      <c r="C464" s="229"/>
      <c r="D464" s="230"/>
      <c r="E464" s="231"/>
      <c r="F464" s="228"/>
    </row>
    <row r="465" spans="2:6" ht="12.75" customHeight="1" x14ac:dyDescent="0.2">
      <c r="B465" s="40"/>
      <c r="C465" s="229"/>
      <c r="D465" s="230"/>
      <c r="E465" s="231"/>
      <c r="F465" s="228"/>
    </row>
    <row r="466" spans="2:6" ht="12.75" customHeight="1" x14ac:dyDescent="0.2">
      <c r="B466" s="229"/>
      <c r="C466" s="229"/>
      <c r="D466" s="230"/>
      <c r="E466" s="228"/>
      <c r="F466" s="228"/>
    </row>
    <row r="467" spans="2:6" ht="12.75" customHeight="1" x14ac:dyDescent="0.2">
      <c r="B467" s="229"/>
      <c r="C467" s="229"/>
      <c r="D467" s="230"/>
      <c r="E467" s="231"/>
      <c r="F467" s="228"/>
    </row>
    <row r="468" spans="2:6" ht="12.75" customHeight="1" x14ac:dyDescent="0.2">
      <c r="B468" s="229"/>
      <c r="C468" s="229"/>
      <c r="D468" s="230"/>
      <c r="E468" s="231"/>
      <c r="F468" s="228"/>
    </row>
    <row r="469" spans="2:6" ht="12.75" customHeight="1" x14ac:dyDescent="0.2">
      <c r="B469" s="229"/>
      <c r="C469" s="229"/>
      <c r="D469" s="230"/>
      <c r="E469" s="231"/>
      <c r="F469" s="228"/>
    </row>
    <row r="470" spans="2:6" ht="12.75" customHeight="1" x14ac:dyDescent="0.2">
      <c r="B470" s="229"/>
      <c r="C470" s="229"/>
      <c r="D470" s="230"/>
      <c r="E470" s="231"/>
      <c r="F470" s="228"/>
    </row>
    <row r="471" spans="2:6" ht="12.75" customHeight="1" x14ac:dyDescent="0.2">
      <c r="B471" s="229"/>
      <c r="C471" s="229"/>
      <c r="D471" s="230"/>
      <c r="E471" s="231"/>
      <c r="F471" s="228"/>
    </row>
    <row r="472" spans="2:6" ht="12.75" customHeight="1" x14ac:dyDescent="0.2">
      <c r="B472" s="229"/>
      <c r="C472" s="229"/>
      <c r="D472" s="230"/>
      <c r="E472" s="231"/>
      <c r="F472" s="228"/>
    </row>
    <row r="473" spans="2:6" ht="12.75" customHeight="1" x14ac:dyDescent="0.2">
      <c r="B473" s="229"/>
      <c r="C473" s="229"/>
      <c r="D473" s="230"/>
      <c r="E473" s="231"/>
      <c r="F473" s="228"/>
    </row>
    <row r="474" spans="2:6" ht="12.75" customHeight="1" x14ac:dyDescent="0.2">
      <c r="B474" s="229"/>
      <c r="C474" s="229"/>
      <c r="D474" s="230"/>
      <c r="E474" s="231"/>
      <c r="F474" s="228"/>
    </row>
    <row r="475" spans="2:6" ht="12.75" customHeight="1" x14ac:dyDescent="0.2">
      <c r="B475" s="229"/>
      <c r="C475" s="229"/>
      <c r="D475" s="230"/>
      <c r="E475" s="231"/>
      <c r="F475" s="228"/>
    </row>
    <row r="476" spans="2:6" ht="12.75" customHeight="1" x14ac:dyDescent="0.2">
      <c r="B476" s="229"/>
      <c r="C476" s="229"/>
      <c r="D476" s="230"/>
      <c r="E476" s="231"/>
      <c r="F476" s="228"/>
    </row>
    <row r="477" spans="2:6" x14ac:dyDescent="0.2">
      <c r="B477" s="40"/>
      <c r="C477" s="229"/>
      <c r="D477" s="230"/>
      <c r="E477" s="231"/>
      <c r="F477" s="228"/>
    </row>
    <row r="478" spans="2:6" ht="12.75" customHeight="1" x14ac:dyDescent="0.2">
      <c r="B478" s="40"/>
      <c r="C478" s="229"/>
      <c r="D478" s="230"/>
      <c r="E478" s="228"/>
      <c r="F478" s="228"/>
    </row>
    <row r="479" spans="2:6" ht="12.75" customHeight="1" x14ac:dyDescent="0.2">
      <c r="B479" s="40"/>
      <c r="C479" s="229"/>
      <c r="D479" s="230"/>
      <c r="E479" s="228"/>
      <c r="F479" s="228"/>
    </row>
    <row r="480" spans="2:6" ht="12.75" customHeight="1" x14ac:dyDescent="0.2">
      <c r="B480" s="229"/>
      <c r="C480" s="229"/>
      <c r="D480" s="230"/>
      <c r="E480" s="228"/>
      <c r="F480" s="228"/>
    </row>
    <row r="481" spans="2:6" ht="12.75" customHeight="1" x14ac:dyDescent="0.2">
      <c r="B481" s="40"/>
      <c r="C481" s="229"/>
      <c r="D481" s="230"/>
      <c r="E481" s="231"/>
      <c r="F481" s="228"/>
    </row>
    <row r="482" spans="2:6" ht="12.75" customHeight="1" x14ac:dyDescent="0.2">
      <c r="B482" s="40"/>
      <c r="C482" s="229"/>
      <c r="D482" s="230"/>
      <c r="E482" s="228"/>
      <c r="F482" s="228"/>
    </row>
    <row r="483" spans="2:6" ht="12.75" customHeight="1" x14ac:dyDescent="0.2">
      <c r="B483" s="229"/>
      <c r="C483" s="229"/>
      <c r="D483" s="230"/>
      <c r="E483" s="228"/>
      <c r="F483" s="228"/>
    </row>
    <row r="484" spans="2:6" ht="12.75" customHeight="1" x14ac:dyDescent="0.2">
      <c r="B484" s="229"/>
      <c r="C484" s="229"/>
      <c r="D484" s="230"/>
      <c r="E484" s="231"/>
      <c r="F484" s="228"/>
    </row>
    <row r="485" spans="2:6" ht="12.75" customHeight="1" x14ac:dyDescent="0.2">
      <c r="B485" s="229"/>
      <c r="C485" s="229"/>
      <c r="D485" s="230"/>
      <c r="E485" s="231"/>
      <c r="F485" s="228"/>
    </row>
    <row r="486" spans="2:6" ht="12.75" customHeight="1" x14ac:dyDescent="0.2">
      <c r="B486" s="229"/>
      <c r="C486" s="229"/>
      <c r="D486" s="230"/>
      <c r="E486" s="231"/>
      <c r="F486" s="228"/>
    </row>
    <row r="487" spans="2:6" x14ac:dyDescent="0.2">
      <c r="B487" s="229"/>
      <c r="C487" s="229"/>
      <c r="D487" s="230"/>
      <c r="E487" s="231"/>
      <c r="F487" s="228"/>
    </row>
    <row r="488" spans="2:6" ht="12.75" customHeight="1" x14ac:dyDescent="0.2">
      <c r="B488" s="229"/>
      <c r="C488" s="229"/>
      <c r="D488" s="230"/>
      <c r="E488" s="231"/>
      <c r="F488" s="228"/>
    </row>
    <row r="489" spans="2:6" ht="12.75" customHeight="1" x14ac:dyDescent="0.2">
      <c r="B489" s="40"/>
      <c r="C489" s="229"/>
      <c r="D489" s="230"/>
      <c r="E489" s="231"/>
      <c r="F489" s="228"/>
    </row>
    <row r="490" spans="2:6" ht="12.75" customHeight="1" x14ac:dyDescent="0.2">
      <c r="B490" s="229"/>
      <c r="C490" s="229"/>
      <c r="D490" s="230"/>
      <c r="E490" s="228"/>
      <c r="F490" s="228"/>
    </row>
    <row r="491" spans="2:6" ht="12.75" customHeight="1" x14ac:dyDescent="0.2">
      <c r="B491" s="229"/>
      <c r="C491" s="229"/>
      <c r="D491" s="230"/>
      <c r="E491" s="231"/>
      <c r="F491" s="228"/>
    </row>
    <row r="492" spans="2:6" ht="12.75" customHeight="1" x14ac:dyDescent="0.2">
      <c r="B492" s="229"/>
      <c r="C492" s="233"/>
      <c r="D492" s="230"/>
      <c r="E492" s="231"/>
      <c r="F492" s="228"/>
    </row>
    <row r="493" spans="2:6" ht="12.75" customHeight="1" x14ac:dyDescent="0.2">
      <c r="B493" s="229"/>
      <c r="C493" s="229"/>
      <c r="D493" s="230"/>
      <c r="E493" s="231"/>
      <c r="F493" s="228"/>
    </row>
    <row r="494" spans="2:6" ht="12.75" customHeight="1" x14ac:dyDescent="0.2">
      <c r="B494" s="229"/>
      <c r="C494" s="229"/>
      <c r="D494" s="230"/>
      <c r="E494" s="231"/>
      <c r="F494" s="228"/>
    </row>
    <row r="495" spans="2:6" ht="12.75" customHeight="1" x14ac:dyDescent="0.2">
      <c r="B495" s="229"/>
      <c r="C495" s="233"/>
      <c r="D495" s="230"/>
      <c r="E495" s="231"/>
      <c r="F495" s="228"/>
    </row>
    <row r="496" spans="2:6" ht="12.75" customHeight="1" x14ac:dyDescent="0.2">
      <c r="B496" s="229"/>
      <c r="C496" s="229"/>
      <c r="D496" s="230"/>
      <c r="E496" s="231"/>
      <c r="F496" s="228"/>
    </row>
    <row r="497" spans="2:6" ht="12.75" customHeight="1" x14ac:dyDescent="0.2">
      <c r="B497" s="229"/>
      <c r="C497" s="233"/>
      <c r="D497" s="230"/>
      <c r="E497" s="231"/>
      <c r="F497" s="228"/>
    </row>
    <row r="498" spans="2:6" ht="12.75" customHeight="1" x14ac:dyDescent="0.2">
      <c r="B498" s="229"/>
      <c r="C498" s="233"/>
      <c r="D498" s="230"/>
      <c r="E498" s="231"/>
      <c r="F498" s="228"/>
    </row>
    <row r="499" spans="2:6" ht="12.75" customHeight="1" x14ac:dyDescent="0.2">
      <c r="B499" s="229"/>
      <c r="C499" s="229"/>
      <c r="D499" s="230"/>
      <c r="E499" s="231"/>
      <c r="F499" s="228"/>
    </row>
    <row r="500" spans="2:6" ht="12.75" customHeight="1" x14ac:dyDescent="0.2">
      <c r="B500" s="229"/>
      <c r="C500" s="229"/>
      <c r="D500" s="230"/>
      <c r="E500" s="231"/>
      <c r="F500" s="228"/>
    </row>
    <row r="501" spans="2:6" ht="12.75" customHeight="1" x14ac:dyDescent="0.2">
      <c r="B501" s="229"/>
      <c r="C501" s="229"/>
      <c r="D501" s="230"/>
      <c r="E501" s="228"/>
      <c r="F501" s="228"/>
    </row>
    <row r="502" spans="2:6" x14ac:dyDescent="0.2">
      <c r="B502" s="229"/>
      <c r="C502" s="229"/>
      <c r="D502" s="230"/>
      <c r="E502" s="228"/>
      <c r="F502" s="228"/>
    </row>
    <row r="503" spans="2:6" ht="12.75" customHeight="1" x14ac:dyDescent="0.2">
      <c r="B503" s="229"/>
      <c r="C503" s="229"/>
      <c r="D503" s="230"/>
      <c r="E503" s="231"/>
      <c r="F503" s="228"/>
    </row>
    <row r="504" spans="2:6" ht="12.75" customHeight="1" x14ac:dyDescent="0.2">
      <c r="B504" s="229"/>
      <c r="C504" s="229"/>
      <c r="D504" s="230"/>
      <c r="E504" s="231"/>
      <c r="F504" s="228"/>
    </row>
    <row r="505" spans="2:6" ht="12.75" customHeight="1" x14ac:dyDescent="0.2">
      <c r="B505" s="229"/>
      <c r="C505" s="233"/>
      <c r="D505" s="230"/>
      <c r="E505" s="228"/>
      <c r="F505" s="228"/>
    </row>
    <row r="506" spans="2:6" ht="12.75" customHeight="1" x14ac:dyDescent="0.2">
      <c r="B506" s="229"/>
      <c r="C506" s="233"/>
      <c r="D506" s="230"/>
      <c r="E506" s="231"/>
      <c r="F506" s="228"/>
    </row>
    <row r="507" spans="2:6" ht="12.75" customHeight="1" x14ac:dyDescent="0.2">
      <c r="B507" s="229"/>
      <c r="C507" s="229"/>
      <c r="D507" s="230"/>
      <c r="E507" s="231"/>
      <c r="F507" s="228"/>
    </row>
    <row r="508" spans="2:6" ht="12.75" customHeight="1" x14ac:dyDescent="0.2">
      <c r="B508" s="229"/>
      <c r="C508" s="229"/>
      <c r="D508" s="230"/>
      <c r="E508" s="231"/>
      <c r="F508" s="228"/>
    </row>
    <row r="509" spans="2:6" ht="12.75" customHeight="1" x14ac:dyDescent="0.2">
      <c r="B509" s="229"/>
      <c r="C509" s="229"/>
      <c r="D509" s="230"/>
      <c r="E509" s="231"/>
      <c r="F509" s="228"/>
    </row>
    <row r="510" spans="2:6" ht="12.75" customHeight="1" x14ac:dyDescent="0.2">
      <c r="B510" s="229"/>
      <c r="C510" s="229"/>
      <c r="D510" s="230"/>
      <c r="E510" s="231"/>
      <c r="F510" s="228"/>
    </row>
    <row r="511" spans="2:6" ht="12.75" customHeight="1" x14ac:dyDescent="0.2">
      <c r="B511" s="229"/>
      <c r="C511" s="229"/>
      <c r="D511" s="230"/>
      <c r="E511" s="231"/>
      <c r="F511" s="228"/>
    </row>
    <row r="512" spans="2:6" ht="12.75" customHeight="1" x14ac:dyDescent="0.2">
      <c r="B512" s="229"/>
      <c r="C512" s="229"/>
      <c r="D512" s="230"/>
      <c r="E512" s="231"/>
      <c r="F512" s="228"/>
    </row>
    <row r="513" spans="2:6" ht="12.75" customHeight="1" x14ac:dyDescent="0.2">
      <c r="B513" s="229"/>
      <c r="C513" s="229"/>
      <c r="D513" s="230"/>
      <c r="E513" s="231"/>
      <c r="F513" s="228"/>
    </row>
    <row r="514" spans="2:6" ht="12.75" customHeight="1" x14ac:dyDescent="0.2">
      <c r="B514" s="229"/>
      <c r="C514" s="229"/>
      <c r="D514" s="230"/>
      <c r="E514" s="228"/>
      <c r="F514" s="228"/>
    </row>
    <row r="515" spans="2:6" ht="12.75" customHeight="1" x14ac:dyDescent="0.2">
      <c r="B515" s="229"/>
      <c r="C515" s="229"/>
      <c r="D515" s="230"/>
      <c r="E515" s="231"/>
      <c r="F515" s="228"/>
    </row>
    <row r="516" spans="2:6" x14ac:dyDescent="0.2">
      <c r="B516" s="229"/>
      <c r="C516" s="229"/>
      <c r="D516" s="230"/>
      <c r="E516" s="231"/>
      <c r="F516" s="228"/>
    </row>
    <row r="517" spans="2:6" ht="12.75" customHeight="1" x14ac:dyDescent="0.2">
      <c r="B517" s="229"/>
      <c r="C517" s="229"/>
      <c r="D517" s="230"/>
      <c r="E517" s="231"/>
      <c r="F517" s="228"/>
    </row>
    <row r="518" spans="2:6" ht="12.75" customHeight="1" x14ac:dyDescent="0.2">
      <c r="B518" s="229"/>
      <c r="C518" s="229"/>
      <c r="D518" s="230"/>
      <c r="E518" s="231"/>
      <c r="F518" s="228"/>
    </row>
    <row r="519" spans="2:6" ht="12.75" customHeight="1" x14ac:dyDescent="0.2">
      <c r="B519" s="229"/>
      <c r="C519" s="229"/>
      <c r="D519" s="230"/>
      <c r="E519" s="231"/>
      <c r="F519" s="228"/>
    </row>
    <row r="520" spans="2:6" ht="12.75" customHeight="1" x14ac:dyDescent="0.2">
      <c r="B520" s="229"/>
      <c r="C520" s="229"/>
      <c r="D520" s="230"/>
      <c r="E520" s="231"/>
      <c r="F520" s="228"/>
    </row>
    <row r="521" spans="2:6" ht="12.75" customHeight="1" x14ac:dyDescent="0.2">
      <c r="B521" s="229"/>
      <c r="C521" s="229"/>
      <c r="D521" s="230"/>
      <c r="E521" s="231"/>
      <c r="F521" s="228"/>
    </row>
    <row r="522" spans="2:6" ht="12.75" customHeight="1" x14ac:dyDescent="0.2">
      <c r="B522" s="229"/>
      <c r="C522" s="229"/>
      <c r="D522" s="230"/>
      <c r="E522" s="231"/>
      <c r="F522" s="228"/>
    </row>
    <row r="523" spans="2:6" ht="12.75" customHeight="1" x14ac:dyDescent="0.2">
      <c r="B523" s="229"/>
      <c r="C523" s="229"/>
      <c r="D523" s="230"/>
      <c r="E523" s="231"/>
      <c r="F523" s="228"/>
    </row>
    <row r="524" spans="2:6" ht="12.75" customHeight="1" x14ac:dyDescent="0.2">
      <c r="B524" s="40"/>
      <c r="C524" s="229"/>
      <c r="D524" s="230"/>
      <c r="E524" s="231"/>
      <c r="F524" s="228"/>
    </row>
    <row r="525" spans="2:6" ht="12.75" customHeight="1" x14ac:dyDescent="0.2">
      <c r="B525" s="229"/>
      <c r="C525" s="229"/>
      <c r="D525" s="230"/>
      <c r="E525" s="231"/>
      <c r="F525" s="228"/>
    </row>
    <row r="526" spans="2:6" ht="12.75" customHeight="1" x14ac:dyDescent="0.2">
      <c r="B526" s="229"/>
      <c r="C526" s="229"/>
      <c r="D526" s="230"/>
      <c r="E526" s="231"/>
      <c r="F526" s="228"/>
    </row>
    <row r="527" spans="2:6" ht="12.75" customHeight="1" x14ac:dyDescent="0.2">
      <c r="B527" s="229"/>
      <c r="C527" s="229"/>
      <c r="D527" s="230"/>
      <c r="E527" s="231"/>
      <c r="F527" s="228"/>
    </row>
    <row r="528" spans="2:6" x14ac:dyDescent="0.2">
      <c r="B528" s="229"/>
      <c r="C528" s="229"/>
      <c r="D528" s="230"/>
      <c r="E528" s="231"/>
      <c r="F528" s="228"/>
    </row>
    <row r="529" spans="2:6" ht="12.75" customHeight="1" x14ac:dyDescent="0.2">
      <c r="B529" s="229"/>
      <c r="C529" s="229"/>
      <c r="D529" s="230"/>
      <c r="E529" s="231"/>
      <c r="F529" s="228"/>
    </row>
    <row r="530" spans="2:6" x14ac:dyDescent="0.2">
      <c r="B530" s="229"/>
      <c r="C530" s="229"/>
      <c r="D530" s="230"/>
      <c r="E530" s="231"/>
      <c r="F530" s="228"/>
    </row>
    <row r="531" spans="2:6" ht="12.75" customHeight="1" x14ac:dyDescent="0.2">
      <c r="B531" s="229"/>
      <c r="C531" s="229"/>
      <c r="D531" s="230"/>
      <c r="E531" s="231"/>
      <c r="F531" s="228"/>
    </row>
    <row r="532" spans="2:6" ht="12.75" customHeight="1" x14ac:dyDescent="0.2">
      <c r="B532" s="229"/>
      <c r="C532" s="229"/>
      <c r="D532" s="230"/>
      <c r="E532" s="231"/>
      <c r="F532" s="228"/>
    </row>
    <row r="533" spans="2:6" ht="12.75" customHeight="1" x14ac:dyDescent="0.2">
      <c r="B533" s="229"/>
      <c r="C533" s="229"/>
      <c r="D533" s="230"/>
      <c r="E533" s="231"/>
      <c r="F533" s="228"/>
    </row>
    <row r="534" spans="2:6" ht="12.75" customHeight="1" x14ac:dyDescent="0.2">
      <c r="B534" s="229"/>
      <c r="C534" s="229"/>
      <c r="D534" s="230"/>
      <c r="E534" s="231"/>
      <c r="F534" s="228"/>
    </row>
    <row r="535" spans="2:6" ht="12.75" customHeight="1" x14ac:dyDescent="0.2">
      <c r="B535" s="229"/>
      <c r="C535" s="229"/>
      <c r="D535" s="230"/>
      <c r="E535" s="231"/>
      <c r="F535" s="228"/>
    </row>
    <row r="536" spans="2:6" ht="12.75" customHeight="1" x14ac:dyDescent="0.2">
      <c r="B536" s="229"/>
      <c r="C536" s="229"/>
      <c r="D536" s="230"/>
      <c r="E536" s="231"/>
      <c r="F536" s="228"/>
    </row>
    <row r="537" spans="2:6" x14ac:dyDescent="0.2">
      <c r="B537" s="229"/>
      <c r="C537" s="229"/>
      <c r="D537" s="230"/>
      <c r="E537" s="231"/>
      <c r="F537" s="228"/>
    </row>
    <row r="538" spans="2:6" ht="12.75" customHeight="1" x14ac:dyDescent="0.2">
      <c r="B538" s="229"/>
      <c r="C538" s="229"/>
      <c r="D538" s="230"/>
      <c r="E538" s="231"/>
      <c r="F538" s="228"/>
    </row>
    <row r="539" spans="2:6" ht="12.75" customHeight="1" x14ac:dyDescent="0.2">
      <c r="B539" s="229"/>
      <c r="C539" s="229"/>
      <c r="D539" s="230"/>
      <c r="E539" s="231"/>
      <c r="F539" s="228"/>
    </row>
    <row r="540" spans="2:6" ht="12.75" customHeight="1" x14ac:dyDescent="0.2">
      <c r="B540" s="40"/>
      <c r="C540" s="229"/>
      <c r="D540" s="230"/>
      <c r="E540" s="231"/>
      <c r="F540" s="228"/>
    </row>
    <row r="541" spans="2:6" ht="12.75" customHeight="1" x14ac:dyDescent="0.2">
      <c r="B541" s="229"/>
      <c r="C541" s="229"/>
      <c r="D541" s="230"/>
      <c r="E541" s="228"/>
      <c r="F541" s="228"/>
    </row>
    <row r="542" spans="2:6" x14ac:dyDescent="0.2">
      <c r="B542" s="229"/>
      <c r="C542" s="229"/>
      <c r="D542" s="230"/>
      <c r="E542" s="231"/>
      <c r="F542" s="228"/>
    </row>
    <row r="543" spans="2:6" ht="12.75" customHeight="1" x14ac:dyDescent="0.2">
      <c r="B543" s="229"/>
      <c r="C543" s="229"/>
      <c r="D543" s="230"/>
      <c r="E543" s="231"/>
      <c r="F543" s="228"/>
    </row>
    <row r="544" spans="2:6" ht="12.75" customHeight="1" x14ac:dyDescent="0.2">
      <c r="B544" s="229"/>
      <c r="C544" s="229"/>
      <c r="D544" s="230"/>
      <c r="E544" s="231"/>
      <c r="F544" s="228"/>
    </row>
    <row r="545" spans="2:6" ht="12.75" customHeight="1" x14ac:dyDescent="0.2">
      <c r="B545" s="229"/>
      <c r="C545" s="229"/>
      <c r="D545" s="230"/>
      <c r="E545" s="231"/>
      <c r="F545" s="228"/>
    </row>
    <row r="546" spans="2:6" ht="12.75" customHeight="1" x14ac:dyDescent="0.2">
      <c r="B546" s="229"/>
      <c r="C546" s="229"/>
      <c r="D546" s="230"/>
      <c r="E546" s="231"/>
      <c r="F546" s="228"/>
    </row>
    <row r="547" spans="2:6" ht="12.75" customHeight="1" x14ac:dyDescent="0.2">
      <c r="B547" s="229"/>
      <c r="C547" s="229"/>
      <c r="D547" s="230"/>
      <c r="E547" s="231"/>
      <c r="F547" s="228"/>
    </row>
    <row r="548" spans="2:6" ht="12.75" customHeight="1" x14ac:dyDescent="0.2">
      <c r="B548" s="229"/>
      <c r="C548" s="229"/>
      <c r="D548" s="230"/>
      <c r="E548" s="231"/>
      <c r="F548" s="228"/>
    </row>
    <row r="549" spans="2:6" ht="12.75" customHeight="1" x14ac:dyDescent="0.2">
      <c r="B549" s="229"/>
      <c r="C549" s="229"/>
      <c r="D549" s="230"/>
      <c r="E549" s="231"/>
      <c r="F549" s="228"/>
    </row>
    <row r="550" spans="2:6" ht="12.75" customHeight="1" x14ac:dyDescent="0.2">
      <c r="B550" s="229"/>
      <c r="C550" s="229"/>
      <c r="D550" s="230"/>
      <c r="E550" s="231"/>
      <c r="F550" s="228"/>
    </row>
    <row r="551" spans="2:6" ht="12.75" customHeight="1" x14ac:dyDescent="0.2">
      <c r="B551" s="229"/>
      <c r="C551" s="229"/>
      <c r="D551" s="230"/>
      <c r="E551" s="231"/>
      <c r="F551" s="228"/>
    </row>
    <row r="552" spans="2:6" ht="12.75" customHeight="1" x14ac:dyDescent="0.2">
      <c r="B552" s="40"/>
      <c r="C552" s="233"/>
      <c r="D552" s="230"/>
      <c r="E552" s="231"/>
      <c r="F552" s="228"/>
    </row>
    <row r="553" spans="2:6" ht="12.75" customHeight="1" x14ac:dyDescent="0.2">
      <c r="B553" s="229"/>
      <c r="C553" s="229"/>
      <c r="D553" s="230"/>
      <c r="E553" s="231"/>
      <c r="F553" s="228"/>
    </row>
    <row r="554" spans="2:6" ht="12.75" customHeight="1" x14ac:dyDescent="0.2">
      <c r="B554" s="229"/>
      <c r="C554" s="229"/>
      <c r="D554" s="230"/>
      <c r="E554" s="231"/>
      <c r="F554" s="228"/>
    </row>
    <row r="555" spans="2:6" ht="12.75" customHeight="1" x14ac:dyDescent="0.2">
      <c r="B555" s="229"/>
      <c r="C555" s="229"/>
      <c r="D555" s="230"/>
      <c r="E555" s="231"/>
      <c r="F555" s="228"/>
    </row>
    <row r="556" spans="2:6" ht="12.75" customHeight="1" x14ac:dyDescent="0.2">
      <c r="B556" s="229"/>
      <c r="C556" s="229"/>
      <c r="D556" s="230"/>
      <c r="E556" s="231"/>
      <c r="F556" s="228"/>
    </row>
    <row r="557" spans="2:6" x14ac:dyDescent="0.2">
      <c r="B557" s="229"/>
      <c r="C557" s="229"/>
      <c r="D557" s="230"/>
      <c r="E557" s="231"/>
      <c r="F557" s="228"/>
    </row>
    <row r="558" spans="2:6" x14ac:dyDescent="0.2">
      <c r="B558" s="229"/>
      <c r="C558" s="229"/>
      <c r="D558" s="230"/>
      <c r="E558" s="231"/>
      <c r="F558" s="228"/>
    </row>
    <row r="559" spans="2:6" ht="12.75" customHeight="1" x14ac:dyDescent="0.2">
      <c r="B559" s="229"/>
      <c r="C559" s="229"/>
      <c r="D559" s="230"/>
      <c r="E559" s="231"/>
      <c r="F559" s="228"/>
    </row>
    <row r="560" spans="2:6" x14ac:dyDescent="0.2">
      <c r="B560" s="229"/>
      <c r="C560" s="229"/>
      <c r="D560" s="230"/>
      <c r="E560" s="231"/>
      <c r="F560" s="228"/>
    </row>
    <row r="561" spans="2:6" ht="12.75" customHeight="1" x14ac:dyDescent="0.2">
      <c r="B561" s="229"/>
      <c r="C561" s="229"/>
      <c r="D561" s="230"/>
      <c r="E561" s="231"/>
      <c r="F561" s="228"/>
    </row>
    <row r="562" spans="2:6" ht="12.75" customHeight="1" x14ac:dyDescent="0.2">
      <c r="B562" s="40"/>
      <c r="C562" s="229"/>
      <c r="D562" s="230"/>
      <c r="E562" s="231"/>
      <c r="F562" s="228"/>
    </row>
    <row r="563" spans="2:6" ht="12.75" customHeight="1" x14ac:dyDescent="0.2">
      <c r="B563" s="229"/>
      <c r="C563" s="229"/>
      <c r="D563" s="230"/>
      <c r="E563" s="228"/>
      <c r="F563" s="228"/>
    </row>
    <row r="564" spans="2:6" ht="12.75" customHeight="1" x14ac:dyDescent="0.2">
      <c r="B564" s="229"/>
      <c r="C564" s="229"/>
      <c r="D564" s="230"/>
      <c r="E564" s="231"/>
      <c r="F564" s="228"/>
    </row>
    <row r="565" spans="2:6" ht="12.75" customHeight="1" x14ac:dyDescent="0.2">
      <c r="B565" s="229"/>
      <c r="C565" s="229"/>
      <c r="D565" s="230"/>
      <c r="E565" s="231"/>
      <c r="F565" s="228"/>
    </row>
    <row r="566" spans="2:6" x14ac:dyDescent="0.2">
      <c r="B566" s="229"/>
      <c r="C566" s="229"/>
      <c r="D566" s="230"/>
      <c r="E566" s="231"/>
      <c r="F566" s="228"/>
    </row>
    <row r="567" spans="2:6" ht="12.75" customHeight="1" x14ac:dyDescent="0.2">
      <c r="B567" s="229"/>
      <c r="C567" s="229"/>
      <c r="D567" s="230"/>
      <c r="E567" s="231"/>
      <c r="F567" s="228"/>
    </row>
    <row r="568" spans="2:6" ht="12.75" customHeight="1" x14ac:dyDescent="0.2">
      <c r="B568" s="229"/>
      <c r="C568" s="229"/>
      <c r="D568" s="230"/>
      <c r="E568" s="231"/>
      <c r="F568" s="228"/>
    </row>
    <row r="569" spans="2:6" ht="12.75" customHeight="1" x14ac:dyDescent="0.2">
      <c r="B569" s="229"/>
      <c r="C569" s="229"/>
      <c r="D569" s="230"/>
      <c r="E569" s="231"/>
      <c r="F569" s="228"/>
    </row>
    <row r="570" spans="2:6" ht="12.75" customHeight="1" x14ac:dyDescent="0.2">
      <c r="B570" s="229"/>
      <c r="C570" s="229"/>
      <c r="D570" s="230"/>
      <c r="E570" s="231"/>
      <c r="F570" s="228"/>
    </row>
    <row r="571" spans="2:6" x14ac:dyDescent="0.2">
      <c r="B571" s="229"/>
      <c r="C571" s="229"/>
      <c r="D571" s="230"/>
      <c r="E571" s="231"/>
      <c r="F571" s="228"/>
    </row>
    <row r="572" spans="2:6" ht="12.75" customHeight="1" x14ac:dyDescent="0.2">
      <c r="B572" s="229"/>
      <c r="C572" s="229"/>
      <c r="D572" s="230"/>
      <c r="E572" s="231"/>
      <c r="F572" s="228"/>
    </row>
    <row r="573" spans="2:6" ht="12.75" customHeight="1" x14ac:dyDescent="0.2">
      <c r="B573" s="229"/>
      <c r="C573" s="229"/>
      <c r="D573" s="230"/>
      <c r="E573" s="231"/>
      <c r="F573" s="228"/>
    </row>
    <row r="574" spans="2:6" ht="12.75" customHeight="1" x14ac:dyDescent="0.2">
      <c r="B574" s="229"/>
      <c r="C574" s="229"/>
      <c r="D574" s="230"/>
      <c r="E574" s="231"/>
      <c r="F574" s="228"/>
    </row>
    <row r="575" spans="2:6" ht="12.75" customHeight="1" x14ac:dyDescent="0.2">
      <c r="B575" s="229"/>
      <c r="C575" s="229"/>
      <c r="D575" s="230"/>
      <c r="E575" s="231"/>
      <c r="F575" s="228"/>
    </row>
    <row r="576" spans="2:6" x14ac:dyDescent="0.2">
      <c r="B576" s="229"/>
      <c r="C576" s="229"/>
      <c r="D576" s="230"/>
      <c r="E576" s="231"/>
      <c r="F576" s="228"/>
    </row>
    <row r="577" spans="2:6" ht="12.75" customHeight="1" x14ac:dyDescent="0.2">
      <c r="B577" s="229"/>
      <c r="C577" s="229"/>
      <c r="D577" s="230"/>
      <c r="E577" s="231"/>
      <c r="F577" s="228"/>
    </row>
    <row r="578" spans="2:6" x14ac:dyDescent="0.2">
      <c r="B578" s="229"/>
      <c r="C578" s="229"/>
      <c r="D578" s="230"/>
      <c r="E578" s="231"/>
      <c r="F578" s="228"/>
    </row>
    <row r="579" spans="2:6" ht="12.75" customHeight="1" x14ac:dyDescent="0.2">
      <c r="B579" s="229"/>
      <c r="C579" s="229"/>
      <c r="D579" s="230"/>
      <c r="E579" s="231"/>
      <c r="F579" s="228"/>
    </row>
    <row r="580" spans="2:6" x14ac:dyDescent="0.2">
      <c r="B580" s="229"/>
      <c r="C580" s="229"/>
      <c r="D580" s="230"/>
      <c r="E580" s="231"/>
      <c r="F580" s="228"/>
    </row>
    <row r="581" spans="2:6" ht="12.75" customHeight="1" x14ac:dyDescent="0.2">
      <c r="B581" s="229"/>
      <c r="C581" s="229"/>
      <c r="D581" s="230"/>
      <c r="E581" s="231"/>
      <c r="F581" s="228"/>
    </row>
    <row r="582" spans="2:6" x14ac:dyDescent="0.2">
      <c r="B582" s="229"/>
      <c r="C582" s="229"/>
      <c r="D582" s="230"/>
      <c r="E582" s="231"/>
      <c r="F582" s="228"/>
    </row>
    <row r="583" spans="2:6" ht="12.75" customHeight="1" x14ac:dyDescent="0.2">
      <c r="B583" s="229"/>
      <c r="C583" s="229"/>
      <c r="D583" s="230"/>
      <c r="E583" s="231"/>
      <c r="F583" s="228"/>
    </row>
    <row r="584" spans="2:6" x14ac:dyDescent="0.2">
      <c r="B584" s="229"/>
      <c r="C584" s="229"/>
      <c r="D584" s="230"/>
      <c r="E584" s="231"/>
      <c r="F584" s="228"/>
    </row>
    <row r="585" spans="2:6" ht="12.75" customHeight="1" x14ac:dyDescent="0.2">
      <c r="B585" s="229"/>
      <c r="C585" s="229"/>
      <c r="D585" s="230"/>
      <c r="E585" s="231"/>
      <c r="F585" s="228"/>
    </row>
    <row r="586" spans="2:6" x14ac:dyDescent="0.2">
      <c r="B586" s="229"/>
      <c r="C586" s="229"/>
      <c r="D586" s="230"/>
      <c r="E586" s="231"/>
      <c r="F586" s="228"/>
    </row>
    <row r="587" spans="2:6" ht="12.75" customHeight="1" x14ac:dyDescent="0.2">
      <c r="B587" s="229"/>
      <c r="C587" s="229"/>
      <c r="D587" s="230"/>
      <c r="E587" s="231"/>
      <c r="F587" s="228"/>
    </row>
    <row r="588" spans="2:6" x14ac:dyDescent="0.2">
      <c r="B588" s="229"/>
      <c r="C588" s="229"/>
      <c r="D588" s="230"/>
      <c r="E588" s="231"/>
      <c r="F588" s="228"/>
    </row>
    <row r="589" spans="2:6" ht="12.75" customHeight="1" x14ac:dyDescent="0.2">
      <c r="B589" s="229"/>
      <c r="C589" s="229"/>
      <c r="D589" s="230"/>
      <c r="E589" s="231"/>
      <c r="F589" s="228"/>
    </row>
    <row r="590" spans="2:6" x14ac:dyDescent="0.2">
      <c r="B590" s="229"/>
      <c r="C590" s="229"/>
      <c r="D590" s="230"/>
      <c r="E590" s="231"/>
      <c r="F590" s="228"/>
    </row>
    <row r="591" spans="2:6" x14ac:dyDescent="0.2">
      <c r="B591" s="229"/>
      <c r="C591" s="229"/>
      <c r="D591" s="230"/>
      <c r="E591" s="231"/>
      <c r="F591" s="228"/>
    </row>
    <row r="592" spans="2:6" ht="12.75" customHeight="1" x14ac:dyDescent="0.2">
      <c r="B592" s="229"/>
      <c r="C592" s="229"/>
      <c r="D592" s="230"/>
      <c r="E592" s="231"/>
      <c r="F592" s="228"/>
    </row>
    <row r="593" spans="2:6" x14ac:dyDescent="0.2">
      <c r="B593" s="229"/>
      <c r="C593" s="229"/>
      <c r="D593" s="230"/>
      <c r="E593" s="231"/>
      <c r="F593" s="228"/>
    </row>
    <row r="594" spans="2:6" ht="12.75" customHeight="1" x14ac:dyDescent="0.2">
      <c r="B594" s="229"/>
      <c r="C594" s="229"/>
      <c r="D594" s="230"/>
      <c r="E594" s="231"/>
      <c r="F594" s="228"/>
    </row>
    <row r="595" spans="2:6" ht="12.75" customHeight="1" x14ac:dyDescent="0.2">
      <c r="B595" s="229"/>
      <c r="C595" s="229"/>
      <c r="D595" s="230"/>
      <c r="E595" s="231"/>
      <c r="F595" s="228"/>
    </row>
    <row r="596" spans="2:6" x14ac:dyDescent="0.2">
      <c r="B596" s="229"/>
      <c r="C596" s="229"/>
      <c r="D596" s="230"/>
      <c r="E596" s="231"/>
      <c r="F596" s="228"/>
    </row>
    <row r="597" spans="2:6" ht="12.75" customHeight="1" x14ac:dyDescent="0.2">
      <c r="B597" s="229"/>
      <c r="C597" s="229"/>
      <c r="D597" s="230"/>
      <c r="E597" s="231"/>
      <c r="F597" s="228"/>
    </row>
    <row r="598" spans="2:6" x14ac:dyDescent="0.2">
      <c r="B598" s="229"/>
      <c r="C598" s="229"/>
      <c r="D598" s="230"/>
      <c r="E598" s="231"/>
      <c r="F598" s="228"/>
    </row>
    <row r="599" spans="2:6" ht="12.75" customHeight="1" x14ac:dyDescent="0.2">
      <c r="B599" s="229"/>
      <c r="C599" s="229"/>
      <c r="D599" s="230"/>
      <c r="E599" s="231"/>
      <c r="F599" s="228"/>
    </row>
    <row r="600" spans="2:6" ht="12.75" customHeight="1" x14ac:dyDescent="0.2">
      <c r="B600" s="229"/>
      <c r="C600" s="229"/>
      <c r="D600" s="230"/>
      <c r="E600" s="231"/>
      <c r="F600" s="228"/>
    </row>
    <row r="601" spans="2:6" ht="12.75" customHeight="1" x14ac:dyDescent="0.2">
      <c r="B601" s="229"/>
      <c r="C601" s="229"/>
      <c r="D601" s="230"/>
      <c r="E601" s="231"/>
      <c r="F601" s="228"/>
    </row>
    <row r="602" spans="2:6" ht="12.75" customHeight="1" x14ac:dyDescent="0.2">
      <c r="B602" s="229"/>
      <c r="C602" s="229"/>
      <c r="D602" s="230"/>
      <c r="E602" s="231"/>
      <c r="F602" s="228"/>
    </row>
    <row r="603" spans="2:6" x14ac:dyDescent="0.2">
      <c r="B603" s="229"/>
      <c r="C603" s="229"/>
      <c r="D603" s="230"/>
      <c r="E603" s="231"/>
      <c r="F603" s="228"/>
    </row>
    <row r="604" spans="2:6" x14ac:dyDescent="0.2">
      <c r="B604" s="229"/>
      <c r="C604" s="229"/>
      <c r="D604" s="230"/>
      <c r="E604" s="231"/>
      <c r="F604" s="228"/>
    </row>
    <row r="605" spans="2:6" ht="12.75" customHeight="1" x14ac:dyDescent="0.2">
      <c r="B605" s="229"/>
      <c r="C605" s="229"/>
      <c r="D605" s="230"/>
      <c r="E605" s="231"/>
      <c r="F605" s="228"/>
    </row>
    <row r="606" spans="2:6" x14ac:dyDescent="0.2">
      <c r="B606" s="229"/>
      <c r="C606" s="229"/>
      <c r="D606" s="230"/>
      <c r="E606" s="231"/>
      <c r="F606" s="228"/>
    </row>
    <row r="607" spans="2:6" x14ac:dyDescent="0.2">
      <c r="B607" s="229"/>
      <c r="C607" s="229"/>
      <c r="D607" s="230"/>
      <c r="E607" s="231"/>
      <c r="F607" s="228"/>
    </row>
    <row r="608" spans="2:6" ht="12.75" customHeight="1" x14ac:dyDescent="0.2">
      <c r="B608" s="229"/>
      <c r="C608" s="229"/>
      <c r="D608" s="230"/>
      <c r="E608" s="231"/>
      <c r="F608" s="228"/>
    </row>
    <row r="609" spans="2:6" x14ac:dyDescent="0.2">
      <c r="B609" s="229"/>
      <c r="C609" s="229"/>
      <c r="D609" s="230"/>
      <c r="E609" s="231"/>
      <c r="F609" s="228"/>
    </row>
    <row r="610" spans="2:6" x14ac:dyDescent="0.2">
      <c r="B610" s="229"/>
      <c r="C610" s="229"/>
      <c r="D610" s="230"/>
      <c r="E610" s="231"/>
      <c r="F610" s="228"/>
    </row>
    <row r="611" spans="2:6" ht="12.75" customHeight="1" x14ac:dyDescent="0.2">
      <c r="B611" s="229"/>
      <c r="C611" s="229"/>
      <c r="D611" s="230"/>
      <c r="E611" s="231"/>
      <c r="F611" s="228"/>
    </row>
    <row r="612" spans="2:6" x14ac:dyDescent="0.2">
      <c r="B612" s="229"/>
      <c r="C612" s="229"/>
      <c r="D612" s="230"/>
      <c r="E612" s="231"/>
      <c r="F612" s="228"/>
    </row>
    <row r="613" spans="2:6" ht="12.75" customHeight="1" x14ac:dyDescent="0.2">
      <c r="B613" s="229"/>
      <c r="C613" s="229"/>
      <c r="D613" s="230"/>
      <c r="E613" s="231"/>
      <c r="F613" s="228"/>
    </row>
    <row r="614" spans="2:6" x14ac:dyDescent="0.2">
      <c r="B614" s="229"/>
      <c r="C614" s="229"/>
      <c r="D614" s="230"/>
      <c r="E614" s="231"/>
      <c r="F614" s="228"/>
    </row>
    <row r="615" spans="2:6" ht="12.75" customHeight="1" x14ac:dyDescent="0.2">
      <c r="B615" s="229"/>
      <c r="C615" s="229"/>
      <c r="D615" s="230"/>
      <c r="E615" s="231"/>
      <c r="F615" s="228"/>
    </row>
    <row r="616" spans="2:6" x14ac:dyDescent="0.2">
      <c r="B616" s="229"/>
      <c r="C616" s="229"/>
      <c r="D616" s="230"/>
      <c r="E616" s="231"/>
      <c r="F616" s="228"/>
    </row>
    <row r="617" spans="2:6" ht="12.75" customHeight="1" x14ac:dyDescent="0.2">
      <c r="B617" s="229"/>
      <c r="C617" s="229"/>
      <c r="D617" s="230"/>
      <c r="E617" s="231"/>
      <c r="F617" s="228"/>
    </row>
    <row r="618" spans="2:6" x14ac:dyDescent="0.2">
      <c r="B618" s="229"/>
      <c r="C618" s="229"/>
      <c r="D618" s="230"/>
      <c r="E618" s="231"/>
      <c r="F618" s="228"/>
    </row>
    <row r="619" spans="2:6" ht="12.75" customHeight="1" x14ac:dyDescent="0.2">
      <c r="B619" s="229"/>
      <c r="C619" s="229"/>
      <c r="D619" s="230"/>
      <c r="E619" s="231"/>
      <c r="F619" s="228"/>
    </row>
    <row r="620" spans="2:6" x14ac:dyDescent="0.2">
      <c r="B620" s="229"/>
      <c r="C620" s="229"/>
      <c r="D620" s="230"/>
      <c r="E620" s="231"/>
      <c r="F620" s="228"/>
    </row>
    <row r="621" spans="2:6" ht="12.75" customHeight="1" x14ac:dyDescent="0.2">
      <c r="B621" s="229"/>
      <c r="C621" s="229"/>
      <c r="D621" s="230"/>
      <c r="E621" s="231"/>
      <c r="F621" s="228"/>
    </row>
    <row r="622" spans="2:6" ht="12.75" customHeight="1" x14ac:dyDescent="0.2">
      <c r="B622" s="229"/>
      <c r="C622" s="229"/>
      <c r="D622" s="230"/>
      <c r="E622" s="231"/>
      <c r="F622" s="228"/>
    </row>
    <row r="623" spans="2:6" ht="12.75" customHeight="1" x14ac:dyDescent="0.2">
      <c r="B623" s="229"/>
      <c r="C623" s="229"/>
      <c r="D623" s="230"/>
      <c r="E623" s="231"/>
      <c r="F623" s="228"/>
    </row>
    <row r="624" spans="2:6" ht="12.75" customHeight="1" x14ac:dyDescent="0.2">
      <c r="B624" s="229"/>
      <c r="C624" s="229"/>
      <c r="D624" s="230"/>
      <c r="E624" s="231"/>
      <c r="F624" s="228"/>
    </row>
    <row r="625" spans="2:6" x14ac:dyDescent="0.2">
      <c r="B625" s="229"/>
      <c r="C625" s="229"/>
      <c r="D625" s="230"/>
      <c r="E625" s="231"/>
      <c r="F625" s="228"/>
    </row>
    <row r="626" spans="2:6" ht="12.75" customHeight="1" x14ac:dyDescent="0.2">
      <c r="B626" s="229"/>
      <c r="C626" s="229"/>
      <c r="D626" s="230"/>
      <c r="E626" s="231"/>
      <c r="F626" s="228"/>
    </row>
    <row r="627" spans="2:6" ht="12.75" customHeight="1" x14ac:dyDescent="0.2">
      <c r="B627" s="229"/>
      <c r="C627" s="229"/>
      <c r="D627" s="230"/>
      <c r="E627" s="231"/>
      <c r="F627" s="228"/>
    </row>
    <row r="628" spans="2:6" ht="12.75" customHeight="1" x14ac:dyDescent="0.2">
      <c r="B628" s="229"/>
      <c r="C628" s="229"/>
      <c r="D628" s="230"/>
      <c r="E628" s="231"/>
      <c r="F628" s="228"/>
    </row>
    <row r="629" spans="2:6" ht="12.75" customHeight="1" x14ac:dyDescent="0.2">
      <c r="B629" s="229"/>
      <c r="C629" s="229"/>
      <c r="D629" s="230"/>
      <c r="E629" s="231"/>
      <c r="F629" s="228"/>
    </row>
    <row r="630" spans="2:6" ht="12.75" customHeight="1" x14ac:dyDescent="0.2">
      <c r="B630" s="229"/>
      <c r="C630" s="229"/>
      <c r="D630" s="230"/>
      <c r="E630" s="231"/>
      <c r="F630" s="228"/>
    </row>
    <row r="631" spans="2:6" x14ac:dyDescent="0.2">
      <c r="B631" s="229"/>
      <c r="C631" s="229"/>
      <c r="D631" s="230"/>
      <c r="E631" s="231"/>
      <c r="F631" s="228"/>
    </row>
    <row r="632" spans="2:6" ht="12.75" customHeight="1" x14ac:dyDescent="0.2">
      <c r="B632" s="40"/>
      <c r="C632" s="229"/>
      <c r="D632" s="230"/>
      <c r="E632" s="231"/>
      <c r="F632" s="228"/>
    </row>
    <row r="633" spans="2:6" ht="12.75" customHeight="1" x14ac:dyDescent="0.2">
      <c r="B633" s="229"/>
      <c r="C633" s="229"/>
      <c r="D633" s="230"/>
      <c r="E633" s="231"/>
      <c r="F633" s="228"/>
    </row>
    <row r="634" spans="2:6" ht="12.75" customHeight="1" x14ac:dyDescent="0.2">
      <c r="B634" s="229"/>
      <c r="C634" s="229"/>
      <c r="D634" s="230"/>
      <c r="E634" s="231"/>
      <c r="F634" s="228"/>
    </row>
    <row r="635" spans="2:6" ht="12.75" customHeight="1" x14ac:dyDescent="0.2">
      <c r="B635" s="229"/>
      <c r="C635" s="229"/>
      <c r="D635" s="230"/>
      <c r="E635" s="231"/>
      <c r="F635" s="228"/>
    </row>
    <row r="636" spans="2:6" ht="12.75" customHeight="1" x14ac:dyDescent="0.2">
      <c r="B636" s="229"/>
      <c r="C636" s="229"/>
      <c r="D636" s="230"/>
      <c r="E636" s="231"/>
      <c r="F636" s="228"/>
    </row>
    <row r="637" spans="2:6" x14ac:dyDescent="0.2">
      <c r="B637" s="229"/>
      <c r="C637" s="229"/>
      <c r="D637" s="230"/>
      <c r="E637" s="231"/>
      <c r="F637" s="228"/>
    </row>
    <row r="638" spans="2:6" x14ac:dyDescent="0.2">
      <c r="B638" s="229"/>
      <c r="C638" s="229"/>
      <c r="D638" s="230"/>
      <c r="E638" s="231"/>
      <c r="F638" s="228"/>
    </row>
    <row r="639" spans="2:6" ht="12.75" customHeight="1" x14ac:dyDescent="0.2">
      <c r="B639" s="229"/>
      <c r="C639" s="229"/>
      <c r="D639" s="230"/>
      <c r="E639" s="231"/>
      <c r="F639" s="228"/>
    </row>
    <row r="640" spans="2:6" ht="12.75" customHeight="1" x14ac:dyDescent="0.2">
      <c r="B640" s="229"/>
      <c r="C640" s="229"/>
      <c r="D640" s="230"/>
      <c r="E640" s="231"/>
      <c r="F640" s="228"/>
    </row>
    <row r="641" spans="2:6" ht="12.75" customHeight="1" x14ac:dyDescent="0.2">
      <c r="B641" s="229"/>
      <c r="C641" s="229"/>
      <c r="D641" s="230"/>
      <c r="E641" s="231"/>
      <c r="F641" s="228"/>
    </row>
    <row r="642" spans="2:6" ht="12.75" customHeight="1" x14ac:dyDescent="0.2">
      <c r="B642" s="229"/>
      <c r="C642" s="229"/>
      <c r="D642" s="230"/>
      <c r="E642" s="231"/>
      <c r="F642" s="228"/>
    </row>
    <row r="643" spans="2:6" ht="12.75" customHeight="1" x14ac:dyDescent="0.2">
      <c r="B643" s="229"/>
      <c r="C643" s="229"/>
      <c r="D643" s="230"/>
      <c r="E643" s="231"/>
      <c r="F643" s="228"/>
    </row>
    <row r="644" spans="2:6" ht="12.75" customHeight="1" x14ac:dyDescent="0.2">
      <c r="B644" s="234"/>
      <c r="C644" s="229"/>
      <c r="D644" s="230"/>
      <c r="E644" s="231"/>
      <c r="F644" s="228"/>
    </row>
    <row r="645" spans="2:6" ht="12.75" customHeight="1" x14ac:dyDescent="0.2">
      <c r="B645" s="229"/>
      <c r="C645" s="229"/>
      <c r="D645" s="230"/>
      <c r="E645" s="231"/>
      <c r="F645" s="228"/>
    </row>
    <row r="646" spans="2:6" ht="12.75" customHeight="1" x14ac:dyDescent="0.2">
      <c r="B646" s="229"/>
      <c r="C646" s="229"/>
      <c r="D646" s="230"/>
      <c r="E646" s="231"/>
      <c r="F646" s="228"/>
    </row>
    <row r="647" spans="2:6" ht="12.75" customHeight="1" x14ac:dyDescent="0.2">
      <c r="B647" s="229"/>
      <c r="C647" s="229"/>
      <c r="D647" s="230"/>
      <c r="E647" s="231"/>
      <c r="F647" s="228"/>
    </row>
    <row r="648" spans="2:6" ht="12.75" customHeight="1" x14ac:dyDescent="0.2">
      <c r="B648" s="229"/>
      <c r="C648" s="229"/>
      <c r="D648" s="230"/>
      <c r="E648" s="231"/>
      <c r="F648" s="228"/>
    </row>
    <row r="649" spans="2:6" ht="12.75" customHeight="1" x14ac:dyDescent="0.2">
      <c r="B649" s="229"/>
      <c r="C649" s="229"/>
      <c r="D649" s="230"/>
      <c r="E649" s="231"/>
      <c r="F649" s="228"/>
    </row>
    <row r="650" spans="2:6" ht="12.75" customHeight="1" x14ac:dyDescent="0.2">
      <c r="B650" s="229"/>
      <c r="C650" s="229"/>
      <c r="D650" s="230"/>
      <c r="E650" s="231"/>
      <c r="F650" s="228"/>
    </row>
    <row r="651" spans="2:6" ht="12.75" customHeight="1" x14ac:dyDescent="0.2">
      <c r="B651" s="229"/>
      <c r="C651" s="229"/>
      <c r="D651" s="230"/>
      <c r="E651" s="231"/>
      <c r="F651" s="228"/>
    </row>
    <row r="652" spans="2:6" ht="12.75" customHeight="1" x14ac:dyDescent="0.2">
      <c r="B652" s="229"/>
      <c r="C652" s="229"/>
      <c r="D652" s="230"/>
      <c r="E652" s="231"/>
      <c r="F652" s="228"/>
    </row>
    <row r="653" spans="2:6" ht="12.75" customHeight="1" x14ac:dyDescent="0.2">
      <c r="B653" s="229"/>
      <c r="C653" s="229"/>
      <c r="D653" s="230"/>
      <c r="E653" s="231"/>
      <c r="F653" s="228"/>
    </row>
    <row r="654" spans="2:6" ht="12.75" customHeight="1" x14ac:dyDescent="0.2">
      <c r="B654" s="229"/>
      <c r="C654" s="229"/>
      <c r="D654" s="230"/>
      <c r="E654" s="231"/>
      <c r="F654" s="228"/>
    </row>
    <row r="655" spans="2:6" ht="12.75" customHeight="1" x14ac:dyDescent="0.2">
      <c r="B655" s="229"/>
      <c r="C655" s="229"/>
      <c r="D655" s="230"/>
      <c r="E655" s="231"/>
      <c r="F655" s="228"/>
    </row>
    <row r="656" spans="2:6" x14ac:dyDescent="0.2">
      <c r="B656" s="40"/>
      <c r="C656" s="229"/>
      <c r="D656" s="230"/>
      <c r="E656" s="231"/>
      <c r="F656" s="228"/>
    </row>
    <row r="657" spans="2:6" ht="12.75" customHeight="1" x14ac:dyDescent="0.2">
      <c r="B657" s="40"/>
      <c r="C657" s="229"/>
      <c r="D657" s="230"/>
      <c r="E657" s="231"/>
      <c r="F657" s="228"/>
    </row>
    <row r="658" spans="2:6" ht="12.75" customHeight="1" x14ac:dyDescent="0.2">
      <c r="B658" s="40"/>
      <c r="C658" s="229"/>
      <c r="D658" s="230"/>
      <c r="E658" s="231"/>
      <c r="F658" s="228"/>
    </row>
    <row r="659" spans="2:6" ht="12.75" customHeight="1" x14ac:dyDescent="0.2">
      <c r="B659" s="40"/>
      <c r="C659" s="229"/>
      <c r="D659" s="230"/>
      <c r="E659" s="231"/>
      <c r="F659" s="228"/>
    </row>
    <row r="660" spans="2:6" ht="12.75" customHeight="1" x14ac:dyDescent="0.2">
      <c r="B660" s="40"/>
      <c r="C660" s="229"/>
      <c r="D660" s="230"/>
      <c r="E660" s="231"/>
      <c r="F660" s="228"/>
    </row>
    <row r="661" spans="2:6" ht="12.75" customHeight="1" x14ac:dyDescent="0.2">
      <c r="B661" s="40"/>
      <c r="C661" s="229"/>
      <c r="D661" s="230"/>
      <c r="E661" s="231"/>
      <c r="F661" s="228"/>
    </row>
    <row r="662" spans="2:6" ht="12.75" customHeight="1" x14ac:dyDescent="0.2">
      <c r="B662" s="40"/>
      <c r="C662" s="229"/>
      <c r="D662" s="230"/>
      <c r="E662" s="231"/>
      <c r="F662" s="228"/>
    </row>
    <row r="663" spans="2:6" ht="12.75" customHeight="1" x14ac:dyDescent="0.2">
      <c r="B663" s="40"/>
      <c r="C663" s="229"/>
      <c r="D663" s="230"/>
      <c r="E663" s="231"/>
      <c r="F663" s="228"/>
    </row>
    <row r="664" spans="2:6" ht="12.75" customHeight="1" x14ac:dyDescent="0.2">
      <c r="B664" s="40"/>
      <c r="C664" s="229"/>
      <c r="D664" s="230"/>
      <c r="E664" s="231"/>
      <c r="F664" s="228"/>
    </row>
    <row r="665" spans="2:6" ht="12.75" customHeight="1" x14ac:dyDescent="0.2">
      <c r="B665" s="40"/>
      <c r="C665" s="229"/>
      <c r="D665" s="230"/>
      <c r="E665" s="231"/>
      <c r="F665" s="228"/>
    </row>
    <row r="666" spans="2:6" ht="12.75" customHeight="1" x14ac:dyDescent="0.2">
      <c r="B666" s="40"/>
      <c r="C666" s="229"/>
      <c r="D666" s="230"/>
      <c r="E666" s="231"/>
      <c r="F666" s="228"/>
    </row>
    <row r="667" spans="2:6" ht="12.75" customHeight="1" x14ac:dyDescent="0.2">
      <c r="B667" s="40"/>
      <c r="C667" s="229"/>
      <c r="D667" s="230"/>
      <c r="E667" s="231"/>
      <c r="F667" s="228"/>
    </row>
    <row r="668" spans="2:6" x14ac:dyDescent="0.2">
      <c r="B668" s="40"/>
      <c r="C668" s="229"/>
      <c r="D668" s="230"/>
      <c r="E668" s="228"/>
      <c r="F668" s="228"/>
    </row>
    <row r="669" spans="2:6" ht="12.75" customHeight="1" x14ac:dyDescent="0.2">
      <c r="B669" s="40"/>
      <c r="C669" s="229"/>
      <c r="D669" s="230"/>
      <c r="E669" s="231"/>
      <c r="F669" s="228"/>
    </row>
    <row r="670" spans="2:6" ht="12.75" customHeight="1" x14ac:dyDescent="0.2">
      <c r="B670" s="40"/>
      <c r="C670" s="229"/>
      <c r="D670" s="230"/>
      <c r="E670" s="231"/>
      <c r="F670" s="228"/>
    </row>
    <row r="671" spans="2:6" ht="12.75" customHeight="1" x14ac:dyDescent="0.2">
      <c r="B671" s="40"/>
      <c r="C671" s="229"/>
      <c r="D671" s="230"/>
      <c r="E671" s="231"/>
      <c r="F671" s="228"/>
    </row>
    <row r="672" spans="2:6" ht="12.75" customHeight="1" x14ac:dyDescent="0.2">
      <c r="B672" s="40"/>
      <c r="C672" s="229"/>
      <c r="D672" s="230"/>
      <c r="E672" s="231"/>
      <c r="F672" s="228"/>
    </row>
    <row r="673" spans="2:6" ht="12.75" customHeight="1" x14ac:dyDescent="0.2">
      <c r="B673" s="40"/>
      <c r="C673" s="229"/>
      <c r="D673" s="230"/>
      <c r="E673" s="231"/>
      <c r="F673" s="228"/>
    </row>
    <row r="674" spans="2:6" x14ac:dyDescent="0.2">
      <c r="B674" s="40"/>
      <c r="C674" s="229"/>
      <c r="D674" s="230"/>
      <c r="E674" s="231"/>
      <c r="F674" s="228"/>
    </row>
    <row r="675" spans="2:6" ht="12.75" customHeight="1" x14ac:dyDescent="0.2">
      <c r="B675" s="40"/>
      <c r="C675" s="229"/>
      <c r="D675" s="230"/>
      <c r="E675" s="231"/>
      <c r="F675" s="228"/>
    </row>
    <row r="676" spans="2:6" ht="12.75" customHeight="1" x14ac:dyDescent="0.2">
      <c r="B676" s="40"/>
      <c r="C676" s="229"/>
      <c r="D676" s="230"/>
      <c r="E676" s="228"/>
      <c r="F676" s="228"/>
    </row>
    <row r="677" spans="2:6" ht="12.75" customHeight="1" x14ac:dyDescent="0.2">
      <c r="B677" s="40"/>
      <c r="C677" s="229"/>
      <c r="D677" s="230"/>
      <c r="E677" s="231"/>
      <c r="F677" s="228"/>
    </row>
    <row r="678" spans="2:6" ht="12.75" customHeight="1" x14ac:dyDescent="0.2">
      <c r="B678" s="40"/>
      <c r="C678" s="229"/>
      <c r="D678" s="230"/>
      <c r="E678" s="231"/>
      <c r="F678" s="228"/>
    </row>
    <row r="679" spans="2:6" ht="12.75" customHeight="1" x14ac:dyDescent="0.2">
      <c r="B679" s="40"/>
      <c r="C679" s="229"/>
      <c r="D679" s="230"/>
      <c r="E679" s="231"/>
      <c r="F679" s="228"/>
    </row>
    <row r="680" spans="2:6" x14ac:dyDescent="0.2">
      <c r="B680" s="40"/>
      <c r="C680" s="229"/>
      <c r="D680" s="230"/>
      <c r="E680" s="231"/>
      <c r="F680" s="228"/>
    </row>
    <row r="681" spans="2:6" ht="12.75" customHeight="1" x14ac:dyDescent="0.2">
      <c r="B681" s="40"/>
      <c r="C681" s="229"/>
      <c r="D681" s="230"/>
      <c r="E681" s="231"/>
      <c r="F681" s="228"/>
    </row>
    <row r="682" spans="2:6" ht="12.75" customHeight="1" x14ac:dyDescent="0.2">
      <c r="B682" s="40"/>
      <c r="C682" s="229"/>
      <c r="D682" s="230"/>
      <c r="E682" s="231"/>
      <c r="F682" s="228"/>
    </row>
    <row r="683" spans="2:6" ht="12.75" customHeight="1" x14ac:dyDescent="0.2">
      <c r="B683" s="40"/>
      <c r="C683" s="229"/>
      <c r="D683" s="230"/>
      <c r="E683" s="231"/>
      <c r="F683" s="228"/>
    </row>
    <row r="684" spans="2:6" ht="12.75" customHeight="1" x14ac:dyDescent="0.2">
      <c r="B684" s="40"/>
      <c r="C684" s="229"/>
      <c r="D684" s="230"/>
      <c r="E684" s="228"/>
      <c r="F684" s="228"/>
    </row>
    <row r="685" spans="2:6" ht="12.75" customHeight="1" x14ac:dyDescent="0.2">
      <c r="B685" s="40"/>
      <c r="C685" s="229"/>
      <c r="D685" s="230"/>
      <c r="E685" s="228"/>
      <c r="F685" s="228"/>
    </row>
    <row r="686" spans="2:6" ht="12.75" customHeight="1" x14ac:dyDescent="0.2">
      <c r="B686" s="40"/>
      <c r="C686" s="229"/>
      <c r="D686" s="230"/>
      <c r="E686" s="231"/>
      <c r="F686" s="228"/>
    </row>
    <row r="687" spans="2:6" ht="12.75" customHeight="1" x14ac:dyDescent="0.2">
      <c r="B687" s="40"/>
      <c r="C687" s="229"/>
      <c r="D687" s="230"/>
      <c r="E687" s="231"/>
      <c r="F687" s="228"/>
    </row>
    <row r="688" spans="2:6" ht="12.75" customHeight="1" x14ac:dyDescent="0.2">
      <c r="B688" s="40"/>
      <c r="C688" s="229"/>
      <c r="D688" s="230"/>
      <c r="E688" s="231"/>
      <c r="F688" s="228"/>
    </row>
    <row r="689" spans="2:6" ht="12.75" customHeight="1" x14ac:dyDescent="0.2">
      <c r="B689" s="40"/>
      <c r="C689" s="229"/>
      <c r="D689" s="230"/>
      <c r="E689" s="231"/>
      <c r="F689" s="228"/>
    </row>
    <row r="690" spans="2:6" ht="12.75" customHeight="1" x14ac:dyDescent="0.2">
      <c r="B690" s="40"/>
      <c r="C690" s="229"/>
      <c r="D690" s="230"/>
      <c r="E690" s="228"/>
      <c r="F690" s="228"/>
    </row>
    <row r="691" spans="2:6" ht="12.75" customHeight="1" x14ac:dyDescent="0.2">
      <c r="B691" s="40"/>
      <c r="C691" s="233"/>
      <c r="D691" s="230"/>
      <c r="E691" s="228"/>
      <c r="F691" s="228"/>
    </row>
    <row r="692" spans="2:6" x14ac:dyDescent="0.2">
      <c r="B692" s="40"/>
      <c r="C692" s="233"/>
      <c r="D692" s="230"/>
      <c r="E692" s="231"/>
      <c r="F692" s="228"/>
    </row>
    <row r="693" spans="2:6" ht="12.75" customHeight="1" x14ac:dyDescent="0.2">
      <c r="B693" s="40"/>
      <c r="C693" s="229"/>
      <c r="D693" s="230"/>
      <c r="E693" s="231"/>
      <c r="F693" s="228"/>
    </row>
    <row r="694" spans="2:6" ht="12.75" customHeight="1" x14ac:dyDescent="0.2">
      <c r="B694" s="40"/>
      <c r="C694" s="229"/>
      <c r="D694" s="230"/>
      <c r="E694" s="231"/>
      <c r="F694" s="228"/>
    </row>
    <row r="695" spans="2:6" ht="12.75" customHeight="1" x14ac:dyDescent="0.2">
      <c r="B695" s="40"/>
      <c r="C695" s="229"/>
      <c r="D695" s="230"/>
      <c r="E695" s="231"/>
      <c r="F695" s="228"/>
    </row>
    <row r="696" spans="2:6" ht="12.75" customHeight="1" x14ac:dyDescent="0.2">
      <c r="B696" s="40"/>
      <c r="C696" s="229"/>
      <c r="D696" s="230"/>
      <c r="E696" s="231"/>
      <c r="F696" s="228"/>
    </row>
    <row r="697" spans="2:6" ht="12.75" customHeight="1" x14ac:dyDescent="0.2">
      <c r="B697" s="40"/>
      <c r="C697" s="229"/>
      <c r="D697" s="230"/>
      <c r="E697" s="231"/>
      <c r="F697" s="228"/>
    </row>
    <row r="698" spans="2:6" ht="12.75" customHeight="1" x14ac:dyDescent="0.2">
      <c r="B698" s="40"/>
      <c r="C698" s="229"/>
      <c r="D698" s="230"/>
      <c r="E698" s="231"/>
      <c r="F698" s="228"/>
    </row>
    <row r="699" spans="2:6" ht="12.75" customHeight="1" x14ac:dyDescent="0.2">
      <c r="B699" s="40"/>
      <c r="C699" s="229"/>
      <c r="D699" s="230"/>
      <c r="E699" s="231"/>
      <c r="F699" s="228"/>
    </row>
    <row r="700" spans="2:6" ht="12.75" customHeight="1" x14ac:dyDescent="0.2">
      <c r="B700" s="40"/>
      <c r="C700" s="229"/>
      <c r="D700" s="230"/>
      <c r="E700" s="231"/>
      <c r="F700" s="228"/>
    </row>
    <row r="701" spans="2:6" ht="12.75" customHeight="1" x14ac:dyDescent="0.2">
      <c r="B701" s="40"/>
      <c r="C701" s="229"/>
      <c r="D701" s="230"/>
      <c r="E701" s="231"/>
      <c r="F701" s="228"/>
    </row>
    <row r="702" spans="2:6" ht="12.75" customHeight="1" x14ac:dyDescent="0.2">
      <c r="B702" s="40"/>
      <c r="C702" s="229"/>
      <c r="D702" s="230"/>
      <c r="E702" s="231"/>
      <c r="F702" s="228"/>
    </row>
    <row r="703" spans="2:6" x14ac:dyDescent="0.2">
      <c r="B703" s="40"/>
      <c r="C703" s="229"/>
      <c r="D703" s="230"/>
      <c r="E703" s="231"/>
      <c r="F703" s="228"/>
    </row>
    <row r="704" spans="2:6" ht="12.75" customHeight="1" x14ac:dyDescent="0.2">
      <c r="B704" s="40"/>
      <c r="C704" s="229"/>
      <c r="D704" s="230"/>
      <c r="E704" s="231"/>
      <c r="F704" s="228"/>
    </row>
    <row r="705" spans="2:6" ht="12.75" customHeight="1" x14ac:dyDescent="0.2">
      <c r="B705" s="40"/>
      <c r="C705" s="229"/>
      <c r="D705" s="230"/>
      <c r="E705" s="231"/>
      <c r="F705" s="228"/>
    </row>
    <row r="706" spans="2:6" ht="12.75" customHeight="1" x14ac:dyDescent="0.2">
      <c r="B706" s="40"/>
      <c r="C706" s="229"/>
      <c r="D706" s="230"/>
      <c r="E706" s="231"/>
      <c r="F706" s="228"/>
    </row>
    <row r="707" spans="2:6" ht="12.75" customHeight="1" x14ac:dyDescent="0.2">
      <c r="B707" s="40"/>
      <c r="C707" s="229"/>
      <c r="D707" s="230"/>
      <c r="E707" s="231"/>
      <c r="F707" s="228"/>
    </row>
    <row r="708" spans="2:6" x14ac:dyDescent="0.2">
      <c r="B708" s="40"/>
      <c r="C708" s="229"/>
      <c r="D708" s="230"/>
      <c r="E708" s="231"/>
      <c r="F708" s="228"/>
    </row>
    <row r="709" spans="2:6" ht="12.75" customHeight="1" x14ac:dyDescent="0.2">
      <c r="B709" s="40"/>
      <c r="C709" s="229"/>
      <c r="D709" s="230"/>
      <c r="E709" s="231"/>
      <c r="F709" s="228"/>
    </row>
    <row r="710" spans="2:6" ht="12.75" customHeight="1" x14ac:dyDescent="0.2">
      <c r="B710" s="40"/>
      <c r="C710" s="229"/>
      <c r="D710" s="230"/>
      <c r="E710" s="231"/>
      <c r="F710" s="228"/>
    </row>
    <row r="711" spans="2:6" ht="12.75" customHeight="1" x14ac:dyDescent="0.2">
      <c r="B711" s="40"/>
      <c r="C711" s="229"/>
      <c r="D711" s="230"/>
      <c r="E711" s="231"/>
      <c r="F711" s="228"/>
    </row>
    <row r="712" spans="2:6" ht="12.75" customHeight="1" x14ac:dyDescent="0.2">
      <c r="B712" s="40"/>
      <c r="C712" s="229"/>
      <c r="D712" s="230"/>
      <c r="E712" s="231"/>
      <c r="F712" s="228"/>
    </row>
    <row r="713" spans="2:6" ht="12.75" customHeight="1" x14ac:dyDescent="0.2">
      <c r="B713" s="40"/>
      <c r="C713" s="229"/>
      <c r="D713" s="230"/>
      <c r="E713" s="231"/>
      <c r="F713" s="228"/>
    </row>
    <row r="714" spans="2:6" ht="12.75" customHeight="1" x14ac:dyDescent="0.2">
      <c r="B714" s="40"/>
      <c r="C714" s="229"/>
      <c r="D714" s="230"/>
      <c r="E714" s="231"/>
      <c r="F714" s="228"/>
    </row>
    <row r="715" spans="2:6" ht="12.75" customHeight="1" x14ac:dyDescent="0.2">
      <c r="B715" s="40"/>
      <c r="C715" s="229"/>
      <c r="D715" s="230"/>
      <c r="E715" s="231"/>
      <c r="F715" s="228"/>
    </row>
    <row r="716" spans="2:6" ht="12.75" customHeight="1" x14ac:dyDescent="0.2">
      <c r="B716" s="40"/>
      <c r="C716" s="229"/>
      <c r="D716" s="230"/>
      <c r="E716" s="231"/>
      <c r="F716" s="228"/>
    </row>
    <row r="717" spans="2:6" x14ac:dyDescent="0.2">
      <c r="B717" s="40"/>
      <c r="C717" s="229"/>
      <c r="D717" s="230"/>
      <c r="E717" s="231"/>
      <c r="F717" s="228"/>
    </row>
    <row r="718" spans="2:6" ht="12.75" customHeight="1" x14ac:dyDescent="0.2">
      <c r="B718" s="40"/>
      <c r="C718" s="229"/>
      <c r="D718" s="230"/>
      <c r="E718" s="231"/>
      <c r="F718" s="228"/>
    </row>
    <row r="719" spans="2:6" ht="12.75" customHeight="1" x14ac:dyDescent="0.2">
      <c r="B719" s="40"/>
      <c r="C719" s="229"/>
      <c r="D719" s="230"/>
      <c r="E719" s="231"/>
      <c r="F719" s="228"/>
    </row>
    <row r="720" spans="2:6" ht="12.75" customHeight="1" x14ac:dyDescent="0.2">
      <c r="B720" s="40"/>
      <c r="C720" s="229"/>
      <c r="D720" s="230"/>
      <c r="E720" s="231"/>
      <c r="F720" s="228"/>
    </row>
    <row r="721" spans="2:6" ht="12.75" customHeight="1" x14ac:dyDescent="0.2">
      <c r="B721" s="40"/>
      <c r="C721" s="229"/>
      <c r="D721" s="230"/>
      <c r="E721" s="231"/>
      <c r="F721" s="228"/>
    </row>
    <row r="722" spans="2:6" ht="12.75" customHeight="1" x14ac:dyDescent="0.2">
      <c r="B722" s="40"/>
      <c r="C722" s="229"/>
      <c r="D722" s="230"/>
      <c r="E722" s="231"/>
      <c r="F722" s="228"/>
    </row>
    <row r="723" spans="2:6" ht="12.75" customHeight="1" x14ac:dyDescent="0.2">
      <c r="B723" s="40"/>
      <c r="C723" s="229"/>
      <c r="D723" s="230"/>
      <c r="E723" s="231"/>
      <c r="F723" s="228"/>
    </row>
    <row r="724" spans="2:6" x14ac:dyDescent="0.2">
      <c r="B724" s="40"/>
      <c r="C724" s="229"/>
      <c r="D724" s="230"/>
      <c r="E724" s="231"/>
      <c r="F724" s="228"/>
    </row>
    <row r="725" spans="2:6" ht="12.75" customHeight="1" x14ac:dyDescent="0.2">
      <c r="B725" s="40"/>
      <c r="C725" s="229"/>
      <c r="D725" s="230"/>
      <c r="E725" s="231"/>
      <c r="F725" s="228"/>
    </row>
    <row r="726" spans="2:6" ht="12.75" customHeight="1" x14ac:dyDescent="0.2">
      <c r="B726" s="40"/>
      <c r="C726" s="229"/>
      <c r="D726" s="230"/>
      <c r="E726" s="231"/>
      <c r="F726" s="228"/>
    </row>
    <row r="727" spans="2:6" ht="12.75" customHeight="1" x14ac:dyDescent="0.2">
      <c r="B727" s="229"/>
      <c r="C727" s="229"/>
      <c r="D727" s="230"/>
      <c r="E727" s="228"/>
      <c r="F727" s="228"/>
    </row>
    <row r="728" spans="2:6" ht="12.75" customHeight="1" x14ac:dyDescent="0.2">
      <c r="B728" s="40"/>
      <c r="C728" s="229"/>
      <c r="D728" s="230"/>
      <c r="E728" s="228"/>
      <c r="F728" s="228"/>
    </row>
    <row r="729" spans="2:6" ht="12.75" customHeight="1" x14ac:dyDescent="0.2">
      <c r="B729" s="40"/>
      <c r="C729" s="229"/>
      <c r="D729" s="230"/>
      <c r="E729" s="228"/>
      <c r="F729" s="228"/>
    </row>
    <row r="730" spans="2:6" x14ac:dyDescent="0.2">
      <c r="B730" s="40"/>
      <c r="C730" s="229"/>
      <c r="D730" s="230"/>
      <c r="E730" s="228"/>
      <c r="F730" s="228"/>
    </row>
    <row r="731" spans="2:6" ht="12.75" customHeight="1" x14ac:dyDescent="0.2">
      <c r="B731" s="40"/>
      <c r="C731" s="229"/>
      <c r="D731" s="230"/>
      <c r="E731" s="228"/>
      <c r="F731" s="228"/>
    </row>
    <row r="732" spans="2:6" ht="12.75" customHeight="1" x14ac:dyDescent="0.2">
      <c r="B732" s="40"/>
      <c r="C732" s="229"/>
      <c r="D732" s="230"/>
      <c r="E732" s="228"/>
      <c r="F732" s="228"/>
    </row>
    <row r="733" spans="2:6" ht="12.75" customHeight="1" x14ac:dyDescent="0.2">
      <c r="B733" s="40"/>
      <c r="C733" s="229"/>
      <c r="D733" s="230"/>
      <c r="E733" s="228"/>
      <c r="F733" s="228"/>
    </row>
    <row r="734" spans="2:6" ht="12.75" customHeight="1" x14ac:dyDescent="0.2">
      <c r="B734" s="40"/>
      <c r="C734" s="229"/>
      <c r="D734" s="230"/>
      <c r="E734" s="228"/>
      <c r="F734" s="228"/>
    </row>
    <row r="735" spans="2:6" ht="12.75" customHeight="1" x14ac:dyDescent="0.2">
      <c r="B735" s="40"/>
      <c r="C735" s="229"/>
      <c r="D735" s="230"/>
      <c r="E735" s="228"/>
      <c r="F735" s="228"/>
    </row>
    <row r="736" spans="2:6" ht="12.75" customHeight="1" x14ac:dyDescent="0.2">
      <c r="B736" s="40"/>
      <c r="C736" s="229"/>
      <c r="D736" s="230"/>
      <c r="E736" s="228"/>
      <c r="F736" s="228"/>
    </row>
    <row r="737" spans="2:6" ht="12.75" customHeight="1" x14ac:dyDescent="0.2">
      <c r="B737" s="40"/>
      <c r="C737" s="229"/>
      <c r="D737" s="230"/>
      <c r="E737" s="228"/>
      <c r="F737" s="228"/>
    </row>
    <row r="738" spans="2:6" ht="12.75" customHeight="1" x14ac:dyDescent="0.2">
      <c r="B738" s="40"/>
      <c r="C738" s="229"/>
      <c r="D738" s="230"/>
      <c r="E738" s="228"/>
      <c r="F738" s="228"/>
    </row>
    <row r="739" spans="2:6" ht="12.75" customHeight="1" x14ac:dyDescent="0.2">
      <c r="B739" s="40"/>
      <c r="C739" s="229"/>
      <c r="D739" s="230"/>
      <c r="E739" s="228"/>
      <c r="F739" s="228"/>
    </row>
    <row r="740" spans="2:6" ht="12.75" customHeight="1" x14ac:dyDescent="0.2">
      <c r="B740" s="40"/>
      <c r="C740" s="229"/>
      <c r="D740" s="230"/>
      <c r="E740" s="228"/>
      <c r="F740" s="228"/>
    </row>
    <row r="741" spans="2:6" ht="12.75" customHeight="1" x14ac:dyDescent="0.2">
      <c r="B741" s="40"/>
      <c r="C741" s="229"/>
      <c r="D741" s="230"/>
      <c r="E741" s="228"/>
      <c r="F741" s="228"/>
    </row>
    <row r="742" spans="2:6" ht="12.75" customHeight="1" x14ac:dyDescent="0.2">
      <c r="B742" s="40"/>
      <c r="C742" s="229"/>
      <c r="D742" s="230"/>
      <c r="E742" s="228"/>
      <c r="F742" s="228"/>
    </row>
    <row r="743" spans="2:6" ht="12.75" customHeight="1" x14ac:dyDescent="0.2">
      <c r="B743" s="40"/>
      <c r="C743" s="229"/>
      <c r="D743" s="230"/>
      <c r="E743" s="228"/>
      <c r="F743" s="228"/>
    </row>
    <row r="744" spans="2:6" ht="12.75" customHeight="1" x14ac:dyDescent="0.2">
      <c r="B744" s="40"/>
      <c r="C744" s="229"/>
      <c r="D744" s="230"/>
      <c r="E744" s="228"/>
      <c r="F744" s="228"/>
    </row>
    <row r="745" spans="2:6" x14ac:dyDescent="0.2">
      <c r="B745" s="40"/>
      <c r="C745" s="229"/>
      <c r="D745" s="230"/>
      <c r="E745" s="228"/>
      <c r="F745" s="228"/>
    </row>
    <row r="746" spans="2:6" ht="12.75" customHeight="1" x14ac:dyDescent="0.2">
      <c r="B746" s="40"/>
      <c r="C746" s="229"/>
      <c r="D746" s="230"/>
      <c r="E746" s="228"/>
      <c r="F746" s="228"/>
    </row>
    <row r="747" spans="2:6" ht="12.75" customHeight="1" x14ac:dyDescent="0.2">
      <c r="B747" s="40"/>
      <c r="C747" s="229"/>
      <c r="D747" s="230"/>
      <c r="E747" s="228"/>
      <c r="F747" s="228"/>
    </row>
    <row r="748" spans="2:6" ht="12.75" customHeight="1" x14ac:dyDescent="0.2">
      <c r="B748" s="40"/>
      <c r="C748" s="229"/>
      <c r="D748" s="230"/>
      <c r="E748" s="228"/>
      <c r="F748" s="228"/>
    </row>
    <row r="749" spans="2:6" ht="12.75" customHeight="1" x14ac:dyDescent="0.2">
      <c r="B749" s="40"/>
      <c r="C749" s="229"/>
      <c r="D749" s="230"/>
      <c r="E749" s="228"/>
      <c r="F749" s="228"/>
    </row>
    <row r="750" spans="2:6" x14ac:dyDescent="0.2">
      <c r="B750" s="40"/>
      <c r="C750" s="229"/>
      <c r="D750" s="230"/>
      <c r="E750" s="228"/>
      <c r="F750" s="228"/>
    </row>
    <row r="751" spans="2:6" ht="12.75" customHeight="1" x14ac:dyDescent="0.2">
      <c r="B751" s="40"/>
      <c r="C751" s="229"/>
      <c r="D751" s="230"/>
      <c r="E751" s="228"/>
      <c r="F751" s="228"/>
    </row>
    <row r="752" spans="2:6" ht="12.75" customHeight="1" x14ac:dyDescent="0.2">
      <c r="B752" s="40"/>
      <c r="C752" s="229"/>
      <c r="D752" s="230"/>
      <c r="E752" s="228"/>
      <c r="F752" s="228"/>
    </row>
    <row r="753" spans="2:6" ht="12.75" customHeight="1" x14ac:dyDescent="0.2">
      <c r="B753" s="40"/>
      <c r="C753" s="229"/>
      <c r="D753" s="230"/>
      <c r="E753" s="228"/>
      <c r="F753" s="228"/>
    </row>
    <row r="754" spans="2:6" ht="12.75" customHeight="1" x14ac:dyDescent="0.2">
      <c r="B754" s="40"/>
      <c r="C754" s="229"/>
      <c r="D754" s="230"/>
      <c r="E754" s="228"/>
      <c r="F754" s="228"/>
    </row>
    <row r="755" spans="2:6" x14ac:dyDescent="0.2">
      <c r="B755" s="40"/>
      <c r="C755" s="229"/>
      <c r="D755" s="230"/>
      <c r="E755" s="228"/>
      <c r="F755" s="228"/>
    </row>
    <row r="756" spans="2:6" ht="12.75" customHeight="1" x14ac:dyDescent="0.2">
      <c r="B756" s="40"/>
      <c r="C756" s="229"/>
      <c r="D756" s="230"/>
      <c r="E756" s="228"/>
      <c r="F756" s="228"/>
    </row>
    <row r="757" spans="2:6" ht="12.75" customHeight="1" x14ac:dyDescent="0.2">
      <c r="B757" s="40"/>
      <c r="C757" s="229"/>
      <c r="D757" s="230"/>
      <c r="E757" s="228"/>
      <c r="F757" s="228"/>
    </row>
    <row r="758" spans="2:6" ht="12.75" customHeight="1" x14ac:dyDescent="0.2">
      <c r="B758" s="40"/>
      <c r="C758" s="229"/>
      <c r="D758" s="230"/>
      <c r="E758" s="228"/>
      <c r="F758" s="228"/>
    </row>
    <row r="759" spans="2:6" ht="12.75" customHeight="1" x14ac:dyDescent="0.2">
      <c r="B759" s="40"/>
      <c r="C759" s="229"/>
      <c r="D759" s="230"/>
      <c r="E759" s="228"/>
      <c r="F759" s="228"/>
    </row>
    <row r="760" spans="2:6" x14ac:dyDescent="0.2">
      <c r="B760" s="40"/>
      <c r="C760" s="229"/>
      <c r="D760" s="230"/>
      <c r="E760" s="228"/>
      <c r="F760" s="228"/>
    </row>
    <row r="761" spans="2:6" ht="12.75" customHeight="1" x14ac:dyDescent="0.2">
      <c r="B761" s="40"/>
      <c r="C761" s="229"/>
      <c r="D761" s="230"/>
      <c r="E761" s="228"/>
      <c r="F761" s="228"/>
    </row>
    <row r="762" spans="2:6" ht="12.75" customHeight="1" x14ac:dyDescent="0.2">
      <c r="B762" s="40"/>
      <c r="C762" s="229"/>
      <c r="D762" s="230"/>
      <c r="E762" s="228"/>
      <c r="F762" s="228"/>
    </row>
    <row r="763" spans="2:6" ht="12.75" customHeight="1" x14ac:dyDescent="0.2">
      <c r="B763" s="40"/>
      <c r="C763" s="229"/>
      <c r="D763" s="230"/>
      <c r="E763" s="228"/>
      <c r="F763" s="228"/>
    </row>
    <row r="764" spans="2:6" x14ac:dyDescent="0.2">
      <c r="B764" s="40"/>
      <c r="C764" s="229"/>
      <c r="D764" s="230"/>
      <c r="E764" s="228"/>
      <c r="F764" s="228"/>
    </row>
    <row r="765" spans="2:6" ht="12.75" customHeight="1" x14ac:dyDescent="0.2">
      <c r="B765" s="40"/>
      <c r="C765" s="229"/>
      <c r="D765" s="230"/>
      <c r="E765" s="228"/>
      <c r="F765" s="228"/>
    </row>
    <row r="766" spans="2:6" ht="12.75" customHeight="1" x14ac:dyDescent="0.2">
      <c r="B766" s="40"/>
      <c r="C766" s="229"/>
      <c r="D766" s="230"/>
      <c r="E766" s="228"/>
      <c r="F766" s="228"/>
    </row>
    <row r="767" spans="2:6" ht="12.75" customHeight="1" x14ac:dyDescent="0.2">
      <c r="B767" s="40"/>
      <c r="C767" s="229"/>
      <c r="D767" s="230"/>
      <c r="E767" s="228"/>
      <c r="F767" s="228"/>
    </row>
    <row r="768" spans="2:6" ht="12.75" customHeight="1" x14ac:dyDescent="0.2">
      <c r="B768" s="40"/>
      <c r="C768" s="229"/>
      <c r="D768" s="230"/>
      <c r="E768" s="228"/>
      <c r="F768" s="228"/>
    </row>
    <row r="769" spans="2:6" ht="12.75" customHeight="1" x14ac:dyDescent="0.2">
      <c r="B769" s="40"/>
      <c r="C769" s="229"/>
      <c r="D769" s="230"/>
      <c r="E769" s="228"/>
      <c r="F769" s="228"/>
    </row>
    <row r="770" spans="2:6" x14ac:dyDescent="0.2">
      <c r="B770" s="40"/>
      <c r="C770" s="229"/>
      <c r="D770" s="230"/>
      <c r="E770" s="228"/>
      <c r="F770" s="228"/>
    </row>
    <row r="771" spans="2:6" ht="12.75" customHeight="1" x14ac:dyDescent="0.2">
      <c r="B771" s="40"/>
      <c r="C771" s="229"/>
      <c r="D771" s="230"/>
      <c r="E771" s="228"/>
      <c r="F771" s="228"/>
    </row>
    <row r="772" spans="2:6" ht="12.75" customHeight="1" x14ac:dyDescent="0.2">
      <c r="B772" s="40"/>
      <c r="C772" s="229"/>
      <c r="D772" s="230"/>
      <c r="E772" s="228"/>
      <c r="F772" s="228"/>
    </row>
    <row r="773" spans="2:6" x14ac:dyDescent="0.2">
      <c r="B773" s="40"/>
      <c r="C773" s="229"/>
      <c r="D773" s="230"/>
      <c r="E773" s="228"/>
      <c r="F773" s="228"/>
    </row>
    <row r="774" spans="2:6" ht="12.75" customHeight="1" x14ac:dyDescent="0.2">
      <c r="B774" s="40"/>
      <c r="C774" s="229"/>
      <c r="D774" s="230"/>
      <c r="E774" s="228"/>
      <c r="F774" s="228"/>
    </row>
    <row r="775" spans="2:6" ht="12.75" customHeight="1" x14ac:dyDescent="0.2">
      <c r="B775" s="40"/>
      <c r="C775" s="229"/>
      <c r="D775" s="230"/>
      <c r="E775" s="228"/>
      <c r="F775" s="228"/>
    </row>
    <row r="776" spans="2:6" x14ac:dyDescent="0.2">
      <c r="B776" s="40"/>
      <c r="C776" s="229"/>
      <c r="D776" s="230"/>
      <c r="E776" s="228"/>
      <c r="F776" s="228"/>
    </row>
    <row r="777" spans="2:6" ht="12.75" customHeight="1" x14ac:dyDescent="0.2">
      <c r="B777" s="40"/>
      <c r="C777" s="229"/>
      <c r="D777" s="230"/>
      <c r="E777" s="228"/>
      <c r="F777" s="228"/>
    </row>
    <row r="778" spans="2:6" ht="12.75" customHeight="1" x14ac:dyDescent="0.2">
      <c r="B778" s="40"/>
      <c r="C778" s="229"/>
      <c r="D778" s="230"/>
      <c r="E778" s="228"/>
      <c r="F778" s="228"/>
    </row>
    <row r="779" spans="2:6" ht="12.75" customHeight="1" x14ac:dyDescent="0.2">
      <c r="B779" s="40"/>
      <c r="C779" s="229"/>
      <c r="D779" s="230"/>
      <c r="E779" s="228"/>
      <c r="F779" s="228"/>
    </row>
    <row r="780" spans="2:6" ht="12.75" customHeight="1" x14ac:dyDescent="0.2">
      <c r="B780" s="40"/>
      <c r="C780" s="229"/>
      <c r="D780" s="230"/>
      <c r="E780" s="228"/>
      <c r="F780" s="228"/>
    </row>
    <row r="781" spans="2:6" ht="12.75" customHeight="1" x14ac:dyDescent="0.2">
      <c r="B781" s="40"/>
      <c r="C781" s="229"/>
      <c r="D781" s="230"/>
      <c r="E781" s="228"/>
      <c r="F781" s="228"/>
    </row>
    <row r="782" spans="2:6" x14ac:dyDescent="0.2">
      <c r="B782" s="40"/>
      <c r="C782" s="229"/>
      <c r="D782" s="230"/>
      <c r="E782" s="228"/>
      <c r="F782" s="228"/>
    </row>
    <row r="783" spans="2:6" ht="12.75" customHeight="1" x14ac:dyDescent="0.2">
      <c r="B783" s="235"/>
      <c r="C783" s="229"/>
      <c r="D783" s="230"/>
      <c r="E783" s="228"/>
      <c r="F783" s="228"/>
    </row>
    <row r="784" spans="2:6" ht="12.75" customHeight="1" x14ac:dyDescent="0.2">
      <c r="B784" s="40"/>
      <c r="C784" s="229"/>
      <c r="D784" s="230"/>
      <c r="E784" s="228"/>
      <c r="F784" s="228"/>
    </row>
    <row r="785" spans="2:6" x14ac:dyDescent="0.2">
      <c r="B785" s="40"/>
      <c r="C785" s="229"/>
      <c r="D785" s="230"/>
      <c r="E785" s="228"/>
      <c r="F785" s="228"/>
    </row>
    <row r="786" spans="2:6" ht="12.75" customHeight="1" x14ac:dyDescent="0.2">
      <c r="B786" s="40"/>
      <c r="C786" s="229"/>
      <c r="D786" s="230"/>
      <c r="E786" s="228"/>
      <c r="F786" s="228"/>
    </row>
    <row r="787" spans="2:6" x14ac:dyDescent="0.2">
      <c r="B787" s="40"/>
      <c r="C787" s="229"/>
      <c r="D787" s="230"/>
      <c r="E787" s="228"/>
      <c r="F787" s="228"/>
    </row>
    <row r="788" spans="2:6" ht="12.75" customHeight="1" x14ac:dyDescent="0.2">
      <c r="B788" s="40"/>
      <c r="C788" s="229"/>
      <c r="D788" s="230"/>
      <c r="E788" s="228"/>
      <c r="F788" s="228"/>
    </row>
    <row r="789" spans="2:6" x14ac:dyDescent="0.2">
      <c r="B789" s="40"/>
      <c r="C789" s="229"/>
      <c r="D789" s="230"/>
      <c r="E789" s="228"/>
      <c r="F789" s="228"/>
    </row>
    <row r="790" spans="2:6" ht="12.75" customHeight="1" x14ac:dyDescent="0.2">
      <c r="B790" s="40"/>
      <c r="C790" s="229"/>
      <c r="D790" s="230"/>
      <c r="E790" s="228"/>
      <c r="F790" s="228"/>
    </row>
    <row r="791" spans="2:6" x14ac:dyDescent="0.2">
      <c r="B791" s="40"/>
      <c r="C791" s="229"/>
      <c r="D791" s="230"/>
      <c r="E791" s="228"/>
      <c r="F791" s="228"/>
    </row>
    <row r="792" spans="2:6" ht="12.75" customHeight="1" x14ac:dyDescent="0.2">
      <c r="B792" s="40"/>
      <c r="C792" s="229"/>
      <c r="D792" s="230"/>
      <c r="E792" s="228"/>
      <c r="F792" s="228"/>
    </row>
    <row r="793" spans="2:6" x14ac:dyDescent="0.2">
      <c r="B793" s="40"/>
      <c r="C793" s="229"/>
      <c r="D793" s="230"/>
      <c r="E793" s="228"/>
      <c r="F793" s="228"/>
    </row>
    <row r="794" spans="2:6" ht="12.75" customHeight="1" x14ac:dyDescent="0.2">
      <c r="B794" s="40"/>
      <c r="C794" s="229"/>
      <c r="D794" s="230"/>
      <c r="E794" s="228"/>
      <c r="F794" s="228"/>
    </row>
    <row r="795" spans="2:6" x14ac:dyDescent="0.2">
      <c r="B795" s="40"/>
      <c r="C795" s="229"/>
      <c r="D795" s="230"/>
      <c r="E795" s="228"/>
      <c r="F795" s="228"/>
    </row>
    <row r="796" spans="2:6" ht="12.75" customHeight="1" x14ac:dyDescent="0.2">
      <c r="B796" s="232"/>
      <c r="C796" s="233"/>
      <c r="D796" s="230"/>
      <c r="E796" s="228"/>
      <c r="F796" s="228"/>
    </row>
    <row r="797" spans="2:6" x14ac:dyDescent="0.2">
      <c r="B797" s="232"/>
      <c r="C797" s="233"/>
      <c r="D797" s="230"/>
      <c r="E797" s="228"/>
      <c r="F797" s="228"/>
    </row>
    <row r="798" spans="2:6" ht="12.75" customHeight="1" x14ac:dyDescent="0.2">
      <c r="B798" s="232"/>
      <c r="C798" s="233"/>
      <c r="D798" s="230"/>
      <c r="E798" s="228"/>
      <c r="F798" s="228"/>
    </row>
    <row r="799" spans="2:6" x14ac:dyDescent="0.2">
      <c r="B799" s="232"/>
      <c r="C799" s="233"/>
      <c r="D799" s="230"/>
      <c r="E799" s="228"/>
      <c r="F799" s="228"/>
    </row>
    <row r="800" spans="2:6" ht="12.75" customHeight="1" x14ac:dyDescent="0.2">
      <c r="B800" s="232"/>
      <c r="C800" s="233"/>
      <c r="D800" s="230"/>
      <c r="E800" s="228"/>
      <c r="F800" s="228"/>
    </row>
    <row r="801" spans="2:6" ht="12.75" customHeight="1" x14ac:dyDescent="0.2">
      <c r="B801" s="40"/>
      <c r="C801" s="229"/>
      <c r="D801" s="230"/>
      <c r="E801" s="228"/>
      <c r="F801" s="228"/>
    </row>
    <row r="802" spans="2:6" ht="12.75" customHeight="1" x14ac:dyDescent="0.2">
      <c r="B802" s="40"/>
      <c r="C802" s="229"/>
      <c r="D802" s="230"/>
      <c r="E802" s="228"/>
      <c r="F802" s="228"/>
    </row>
    <row r="803" spans="2:6" ht="12.75" customHeight="1" x14ac:dyDescent="0.2">
      <c r="B803" s="40"/>
      <c r="C803" s="229"/>
      <c r="D803" s="230"/>
      <c r="E803" s="228"/>
      <c r="F803" s="228"/>
    </row>
    <row r="804" spans="2:6" ht="12.75" customHeight="1" x14ac:dyDescent="0.2">
      <c r="B804" s="40"/>
      <c r="C804" s="229"/>
      <c r="D804" s="230"/>
      <c r="E804" s="228"/>
      <c r="F804" s="228"/>
    </row>
    <row r="805" spans="2:6" x14ac:dyDescent="0.2">
      <c r="B805" s="236"/>
      <c r="C805" s="236"/>
      <c r="D805" s="236"/>
    </row>
    <row r="806" spans="2:6" ht="12.75" customHeight="1" x14ac:dyDescent="0.2">
      <c r="B806" s="236"/>
      <c r="C806" s="236"/>
      <c r="D806" s="236"/>
    </row>
    <row r="807" spans="2:6" ht="12.75" customHeight="1" x14ac:dyDescent="0.2">
      <c r="B807" s="236"/>
      <c r="C807" s="236"/>
      <c r="D807" s="236"/>
    </row>
    <row r="808" spans="2:6" ht="12.75" customHeight="1" x14ac:dyDescent="0.2">
      <c r="B808" s="236"/>
      <c r="C808" s="236"/>
      <c r="D808" s="236"/>
    </row>
    <row r="809" spans="2:6" ht="12.75" customHeight="1" x14ac:dyDescent="0.2">
      <c r="B809" s="236"/>
      <c r="C809" s="236"/>
      <c r="D809" s="236"/>
    </row>
    <row r="810" spans="2:6" ht="12.75" customHeight="1" x14ac:dyDescent="0.2">
      <c r="B810" s="236"/>
      <c r="C810" s="236"/>
      <c r="D810" s="236"/>
    </row>
    <row r="811" spans="2:6" ht="12.75" customHeight="1" x14ac:dyDescent="0.2">
      <c r="B811" s="236"/>
      <c r="C811" s="236"/>
      <c r="D811" s="236"/>
    </row>
    <row r="812" spans="2:6" ht="12.75" customHeight="1" x14ac:dyDescent="0.2">
      <c r="B812" s="236"/>
      <c r="C812" s="236"/>
      <c r="D812" s="236"/>
    </row>
    <row r="813" spans="2:6" ht="12.75" customHeight="1" x14ac:dyDescent="0.2">
      <c r="B813" s="236"/>
      <c r="C813" s="236"/>
      <c r="D813" s="236"/>
    </row>
    <row r="814" spans="2:6" x14ac:dyDescent="0.2">
      <c r="B814" s="236"/>
      <c r="C814" s="236"/>
      <c r="D814" s="236"/>
    </row>
    <row r="815" spans="2:6" ht="12.75" customHeight="1" x14ac:dyDescent="0.2">
      <c r="B815" s="236"/>
      <c r="C815" s="236"/>
      <c r="D815" s="236"/>
    </row>
    <row r="816" spans="2:6" ht="12.75" customHeight="1" x14ac:dyDescent="0.2">
      <c r="B816" s="236"/>
      <c r="C816" s="236"/>
      <c r="D816" s="236"/>
    </row>
    <row r="817" spans="2:4" ht="12.75" customHeight="1" x14ac:dyDescent="0.2">
      <c r="B817" s="236"/>
      <c r="C817" s="236"/>
      <c r="D817" s="236"/>
    </row>
    <row r="818" spans="2:4" ht="12.75" customHeight="1" x14ac:dyDescent="0.2">
      <c r="B818" s="236"/>
      <c r="C818" s="236"/>
      <c r="D818" s="236"/>
    </row>
    <row r="819" spans="2:4" x14ac:dyDescent="0.2">
      <c r="B819" s="236"/>
      <c r="C819" s="236"/>
      <c r="D819" s="236"/>
    </row>
    <row r="820" spans="2:4" ht="12.75" customHeight="1" x14ac:dyDescent="0.2">
      <c r="B820" s="236"/>
      <c r="C820" s="236"/>
      <c r="D820" s="236"/>
    </row>
    <row r="821" spans="2:4" ht="12.75" customHeight="1" x14ac:dyDescent="0.2">
      <c r="B821" s="236"/>
      <c r="C821" s="236"/>
      <c r="D821" s="236"/>
    </row>
    <row r="822" spans="2:4" ht="12.75" customHeight="1" x14ac:dyDescent="0.2">
      <c r="B822" s="236"/>
      <c r="C822" s="236"/>
      <c r="D822" s="236"/>
    </row>
    <row r="823" spans="2:4" ht="12.75" customHeight="1" x14ac:dyDescent="0.2">
      <c r="B823" s="236"/>
      <c r="C823" s="236"/>
      <c r="D823" s="236"/>
    </row>
    <row r="824" spans="2:4" ht="12.75" customHeight="1" x14ac:dyDescent="0.2">
      <c r="B824" s="236"/>
      <c r="C824" s="236"/>
      <c r="D824" s="236"/>
    </row>
    <row r="825" spans="2:4" ht="12.75" customHeight="1" x14ac:dyDescent="0.2">
      <c r="B825" s="236"/>
      <c r="C825" s="236"/>
      <c r="D825" s="236"/>
    </row>
    <row r="826" spans="2:4" ht="12.75" customHeight="1" x14ac:dyDescent="0.2">
      <c r="B826" s="236"/>
      <c r="C826" s="236"/>
      <c r="D826" s="236"/>
    </row>
    <row r="827" spans="2:4" ht="12.75" customHeight="1" x14ac:dyDescent="0.2">
      <c r="B827" s="236"/>
      <c r="C827" s="236"/>
      <c r="D827" s="236"/>
    </row>
    <row r="828" spans="2:4" ht="12.75" customHeight="1" x14ac:dyDescent="0.2">
      <c r="B828" s="236"/>
      <c r="C828" s="236"/>
      <c r="D828" s="236"/>
    </row>
    <row r="829" spans="2:4" x14ac:dyDescent="0.2">
      <c r="B829" s="236"/>
      <c r="C829" s="236"/>
      <c r="D829" s="236"/>
    </row>
    <row r="830" spans="2:4" ht="12.75" customHeight="1" x14ac:dyDescent="0.2">
      <c r="B830" s="236"/>
      <c r="C830" s="236"/>
      <c r="D830" s="236"/>
    </row>
    <row r="831" spans="2:4" x14ac:dyDescent="0.2">
      <c r="B831" s="236"/>
      <c r="C831" s="236"/>
      <c r="D831" s="236"/>
    </row>
    <row r="832" spans="2:4" ht="12.75" customHeight="1" x14ac:dyDescent="0.2">
      <c r="B832" s="236"/>
      <c r="C832" s="236"/>
      <c r="D832" s="236"/>
    </row>
    <row r="833" spans="2:4" ht="12.75" customHeight="1" x14ac:dyDescent="0.2">
      <c r="B833" s="236"/>
      <c r="C833" s="236"/>
      <c r="D833" s="236"/>
    </row>
    <row r="834" spans="2:4" ht="12.75" customHeight="1" x14ac:dyDescent="0.2">
      <c r="B834" s="236"/>
      <c r="C834" s="236"/>
      <c r="D834" s="236"/>
    </row>
    <row r="835" spans="2:4" ht="12.75" customHeight="1" x14ac:dyDescent="0.2">
      <c r="B835" s="236"/>
      <c r="C835" s="236"/>
      <c r="D835" s="236"/>
    </row>
    <row r="836" spans="2:4" ht="12.75" customHeight="1" x14ac:dyDescent="0.2">
      <c r="B836" s="236"/>
      <c r="C836" s="236"/>
      <c r="D836" s="236"/>
    </row>
    <row r="837" spans="2:4" ht="12.75" customHeight="1" x14ac:dyDescent="0.2">
      <c r="B837" s="236"/>
      <c r="C837" s="236"/>
      <c r="D837" s="236"/>
    </row>
    <row r="838" spans="2:4" ht="12.75" customHeight="1" x14ac:dyDescent="0.2">
      <c r="B838" s="236"/>
      <c r="C838" s="236"/>
      <c r="D838" s="236"/>
    </row>
    <row r="839" spans="2:4" ht="12.75" customHeight="1" x14ac:dyDescent="0.2">
      <c r="B839" s="236"/>
      <c r="C839" s="236"/>
      <c r="D839" s="236"/>
    </row>
    <row r="840" spans="2:4" ht="12.75" customHeight="1" x14ac:dyDescent="0.2">
      <c r="B840" s="236"/>
      <c r="C840" s="236"/>
      <c r="D840" s="236"/>
    </row>
    <row r="841" spans="2:4" x14ac:dyDescent="0.2">
      <c r="B841" s="236"/>
      <c r="C841" s="236"/>
      <c r="D841" s="236"/>
    </row>
    <row r="842" spans="2:4" ht="12.75" customHeight="1" x14ac:dyDescent="0.2">
      <c r="B842" s="236"/>
      <c r="C842" s="236"/>
      <c r="D842" s="236"/>
    </row>
    <row r="843" spans="2:4" x14ac:dyDescent="0.2">
      <c r="B843" s="236"/>
      <c r="C843" s="236"/>
      <c r="D843" s="236"/>
    </row>
    <row r="844" spans="2:4" ht="12.75" customHeight="1" x14ac:dyDescent="0.2">
      <c r="B844" s="236"/>
      <c r="C844" s="236"/>
      <c r="D844" s="236"/>
    </row>
    <row r="845" spans="2:4" ht="12.75" customHeight="1" x14ac:dyDescent="0.2">
      <c r="B845" s="236"/>
      <c r="C845" s="236"/>
      <c r="D845" s="236"/>
    </row>
    <row r="846" spans="2:4" ht="12.75" customHeight="1" x14ac:dyDescent="0.2">
      <c r="B846" s="236"/>
      <c r="C846" s="236"/>
      <c r="D846" s="236"/>
    </row>
    <row r="847" spans="2:4" ht="12.75" customHeight="1" x14ac:dyDescent="0.2">
      <c r="B847" s="236"/>
      <c r="C847" s="236"/>
      <c r="D847" s="236"/>
    </row>
    <row r="848" spans="2:4" ht="12.75" customHeight="1" x14ac:dyDescent="0.2">
      <c r="B848" s="236"/>
      <c r="C848" s="236"/>
      <c r="D848" s="236"/>
    </row>
    <row r="849" spans="2:4" ht="12.75" customHeight="1" x14ac:dyDescent="0.2">
      <c r="B849" s="236"/>
      <c r="C849" s="236"/>
      <c r="D849" s="236"/>
    </row>
    <row r="850" spans="2:4" x14ac:dyDescent="0.2">
      <c r="B850" s="236"/>
      <c r="C850" s="236"/>
      <c r="D850" s="236"/>
    </row>
    <row r="851" spans="2:4" ht="12.75" customHeight="1" x14ac:dyDescent="0.2">
      <c r="B851" s="236"/>
      <c r="C851" s="236"/>
      <c r="D851" s="236"/>
    </row>
    <row r="852" spans="2:4" ht="12.75" customHeight="1" x14ac:dyDescent="0.2">
      <c r="B852" s="236"/>
      <c r="C852" s="236"/>
      <c r="D852" s="236"/>
    </row>
    <row r="853" spans="2:4" ht="12.75" customHeight="1" x14ac:dyDescent="0.2">
      <c r="B853" s="236"/>
      <c r="C853" s="236"/>
      <c r="D853" s="236"/>
    </row>
    <row r="854" spans="2:4" ht="12.75" customHeight="1" x14ac:dyDescent="0.2">
      <c r="B854" s="236"/>
      <c r="C854" s="236"/>
      <c r="D854" s="236"/>
    </row>
    <row r="855" spans="2:4" ht="12.75" customHeight="1" x14ac:dyDescent="0.2">
      <c r="B855" s="236"/>
      <c r="C855" s="236"/>
      <c r="D855" s="236"/>
    </row>
    <row r="856" spans="2:4" ht="12.75" customHeight="1" x14ac:dyDescent="0.2">
      <c r="B856" s="236"/>
      <c r="C856" s="236"/>
      <c r="D856" s="236"/>
    </row>
    <row r="857" spans="2:4" ht="12.75" customHeight="1" x14ac:dyDescent="0.2">
      <c r="B857" s="236"/>
      <c r="C857" s="236"/>
      <c r="D857" s="236"/>
    </row>
    <row r="858" spans="2:4" x14ac:dyDescent="0.2">
      <c r="B858" s="236"/>
      <c r="C858" s="236"/>
      <c r="D858" s="236"/>
    </row>
    <row r="859" spans="2:4" ht="12.75" customHeight="1" x14ac:dyDescent="0.2">
      <c r="B859" s="236"/>
      <c r="C859" s="236"/>
      <c r="D859" s="236"/>
    </row>
    <row r="860" spans="2:4" ht="12.75" customHeight="1" x14ac:dyDescent="0.2">
      <c r="B860" s="236"/>
      <c r="C860" s="236"/>
      <c r="D860" s="236"/>
    </row>
    <row r="861" spans="2:4" ht="12.75" customHeight="1" x14ac:dyDescent="0.2">
      <c r="B861" s="236"/>
      <c r="C861" s="236"/>
      <c r="D861" s="236"/>
    </row>
    <row r="862" spans="2:4" ht="12.75" customHeight="1" x14ac:dyDescent="0.2">
      <c r="B862" s="236"/>
      <c r="C862" s="236"/>
      <c r="D862" s="236"/>
    </row>
    <row r="863" spans="2:4" x14ac:dyDescent="0.2">
      <c r="B863" s="236"/>
      <c r="C863" s="236"/>
      <c r="D863" s="236"/>
    </row>
    <row r="864" spans="2:4" ht="12.75" customHeight="1" x14ac:dyDescent="0.2">
      <c r="B864" s="236"/>
      <c r="C864" s="236"/>
      <c r="D864" s="236"/>
    </row>
    <row r="865" spans="2:4" x14ac:dyDescent="0.2">
      <c r="B865" s="236"/>
      <c r="C865" s="236"/>
      <c r="D865" s="236"/>
    </row>
    <row r="866" spans="2:4" ht="12.75" customHeight="1" x14ac:dyDescent="0.2">
      <c r="B866" s="236"/>
      <c r="C866" s="236"/>
      <c r="D866" s="236"/>
    </row>
    <row r="867" spans="2:4" ht="12.75" customHeight="1" x14ac:dyDescent="0.2">
      <c r="B867" s="236"/>
      <c r="C867" s="236"/>
      <c r="D867" s="236"/>
    </row>
    <row r="868" spans="2:4" ht="12.75" customHeight="1" x14ac:dyDescent="0.2">
      <c r="B868" s="236"/>
      <c r="C868" s="236"/>
      <c r="D868" s="236"/>
    </row>
    <row r="869" spans="2:4" ht="12.75" customHeight="1" x14ac:dyDescent="0.2">
      <c r="B869" s="236"/>
      <c r="C869" s="236"/>
      <c r="D869" s="236"/>
    </row>
    <row r="870" spans="2:4" ht="12.75" customHeight="1" x14ac:dyDescent="0.2">
      <c r="B870" s="236"/>
      <c r="C870" s="236"/>
      <c r="D870" s="236"/>
    </row>
    <row r="871" spans="2:4" x14ac:dyDescent="0.2">
      <c r="B871" s="236"/>
      <c r="C871" s="236"/>
      <c r="D871" s="236"/>
    </row>
    <row r="872" spans="2:4" ht="12.75" customHeight="1" x14ac:dyDescent="0.2">
      <c r="B872" s="236"/>
      <c r="C872" s="236"/>
      <c r="D872" s="236"/>
    </row>
    <row r="873" spans="2:4" ht="12.75" customHeight="1" x14ac:dyDescent="0.2">
      <c r="B873" s="236"/>
      <c r="C873" s="236"/>
      <c r="D873" s="236"/>
    </row>
    <row r="874" spans="2:4" ht="12.75" customHeight="1" x14ac:dyDescent="0.2">
      <c r="B874" s="236"/>
      <c r="C874" s="236"/>
      <c r="D874" s="236"/>
    </row>
    <row r="875" spans="2:4" ht="12.75" customHeight="1" x14ac:dyDescent="0.2">
      <c r="B875" s="236"/>
      <c r="C875" s="236"/>
      <c r="D875" s="236"/>
    </row>
    <row r="876" spans="2:4" ht="12.75" customHeight="1" x14ac:dyDescent="0.2">
      <c r="B876" s="236"/>
      <c r="C876" s="236"/>
      <c r="D876" s="236"/>
    </row>
    <row r="877" spans="2:4" ht="12.75" customHeight="1" x14ac:dyDescent="0.2">
      <c r="B877" s="236"/>
      <c r="C877" s="236"/>
      <c r="D877" s="236"/>
    </row>
    <row r="878" spans="2:4" ht="12.75" customHeight="1" x14ac:dyDescent="0.2">
      <c r="B878" s="236"/>
      <c r="C878" s="236"/>
      <c r="D878" s="236"/>
    </row>
    <row r="879" spans="2:4" x14ac:dyDescent="0.2">
      <c r="B879" s="236"/>
      <c r="C879" s="236"/>
      <c r="D879" s="236"/>
    </row>
    <row r="880" spans="2:4" ht="12.75" customHeight="1" x14ac:dyDescent="0.2">
      <c r="B880" s="236"/>
      <c r="C880" s="236"/>
      <c r="D880" s="236"/>
    </row>
    <row r="881" spans="2:4" ht="12.75" customHeight="1" x14ac:dyDescent="0.2">
      <c r="B881" s="236"/>
      <c r="C881" s="236"/>
      <c r="D881" s="236"/>
    </row>
    <row r="882" spans="2:4" ht="12.75" customHeight="1" x14ac:dyDescent="0.2">
      <c r="B882" s="236"/>
      <c r="C882" s="236"/>
      <c r="D882" s="236"/>
    </row>
    <row r="883" spans="2:4" ht="12.75" customHeight="1" x14ac:dyDescent="0.2">
      <c r="B883" s="236"/>
      <c r="C883" s="236"/>
      <c r="D883" s="236"/>
    </row>
    <row r="884" spans="2:4" x14ac:dyDescent="0.2">
      <c r="B884" s="236"/>
      <c r="C884" s="236"/>
      <c r="D884" s="236"/>
    </row>
    <row r="885" spans="2:4" ht="12.75" customHeight="1" x14ac:dyDescent="0.2">
      <c r="B885" s="236"/>
      <c r="C885" s="236"/>
      <c r="D885" s="236"/>
    </row>
    <row r="886" spans="2:4" ht="12.75" customHeight="1" x14ac:dyDescent="0.2">
      <c r="B886" s="236"/>
      <c r="C886" s="236"/>
      <c r="D886" s="236"/>
    </row>
    <row r="887" spans="2:4" ht="12.75" customHeight="1" x14ac:dyDescent="0.2">
      <c r="B887" s="236"/>
      <c r="C887" s="236"/>
      <c r="D887" s="236"/>
    </row>
    <row r="888" spans="2:4" ht="12.75" customHeight="1" x14ac:dyDescent="0.2">
      <c r="B888" s="236"/>
      <c r="C888" s="236"/>
      <c r="D888" s="236"/>
    </row>
    <row r="889" spans="2:4" x14ac:dyDescent="0.2">
      <c r="B889" s="236"/>
      <c r="C889" s="236"/>
      <c r="D889" s="236"/>
    </row>
    <row r="890" spans="2:4" ht="12.75" customHeight="1" x14ac:dyDescent="0.2">
      <c r="B890" s="236"/>
      <c r="C890" s="236"/>
      <c r="D890" s="236"/>
    </row>
    <row r="891" spans="2:4" ht="12.75" customHeight="1" x14ac:dyDescent="0.2">
      <c r="B891" s="236"/>
      <c r="C891" s="236"/>
      <c r="D891" s="236"/>
    </row>
    <row r="892" spans="2:4" ht="12.75" customHeight="1" x14ac:dyDescent="0.2">
      <c r="B892" s="236"/>
      <c r="C892" s="236"/>
      <c r="D892" s="236"/>
    </row>
    <row r="893" spans="2:4" ht="12.75" customHeight="1" x14ac:dyDescent="0.2">
      <c r="B893" s="236"/>
      <c r="C893" s="236"/>
      <c r="D893" s="236"/>
    </row>
    <row r="894" spans="2:4" x14ac:dyDescent="0.2">
      <c r="B894" s="236"/>
      <c r="C894" s="236"/>
      <c r="D894" s="236"/>
    </row>
    <row r="895" spans="2:4" ht="12.75" customHeight="1" x14ac:dyDescent="0.2">
      <c r="B895" s="236"/>
      <c r="C895" s="236"/>
      <c r="D895" s="236"/>
    </row>
    <row r="896" spans="2:4" ht="12.75" customHeight="1" x14ac:dyDescent="0.2">
      <c r="B896" s="236"/>
      <c r="C896" s="236"/>
      <c r="D896" s="236"/>
    </row>
    <row r="897" spans="2:4" ht="12.75" customHeight="1" x14ac:dyDescent="0.2">
      <c r="B897" s="236"/>
      <c r="C897" s="236"/>
      <c r="D897" s="236"/>
    </row>
    <row r="898" spans="2:4" ht="12.75" customHeight="1" x14ac:dyDescent="0.2">
      <c r="B898" s="236"/>
      <c r="C898" s="236"/>
      <c r="D898" s="236"/>
    </row>
    <row r="899" spans="2:4" x14ac:dyDescent="0.2">
      <c r="B899" s="236"/>
      <c r="C899" s="236"/>
      <c r="D899" s="236"/>
    </row>
    <row r="900" spans="2:4" ht="12.75" customHeight="1" x14ac:dyDescent="0.2">
      <c r="B900" s="236"/>
      <c r="C900" s="236"/>
      <c r="D900" s="236"/>
    </row>
    <row r="901" spans="2:4" ht="12.75" customHeight="1" x14ac:dyDescent="0.2">
      <c r="B901" s="236"/>
      <c r="C901" s="236"/>
      <c r="D901" s="236"/>
    </row>
    <row r="902" spans="2:4" ht="12.75" customHeight="1" x14ac:dyDescent="0.2">
      <c r="B902" s="236"/>
      <c r="C902" s="236"/>
      <c r="D902" s="236"/>
    </row>
    <row r="903" spans="2:4" ht="12.75" customHeight="1" x14ac:dyDescent="0.2">
      <c r="B903" s="236"/>
      <c r="C903" s="236"/>
      <c r="D903" s="236"/>
    </row>
    <row r="904" spans="2:4" x14ac:dyDescent="0.2">
      <c r="B904" s="236"/>
      <c r="C904" s="236"/>
      <c r="D904" s="236"/>
    </row>
    <row r="905" spans="2:4" ht="12.75" customHeight="1" x14ac:dyDescent="0.2">
      <c r="B905" s="236"/>
      <c r="C905" s="236"/>
      <c r="D905" s="236"/>
    </row>
    <row r="906" spans="2:4" ht="12.75" customHeight="1" x14ac:dyDescent="0.2">
      <c r="B906" s="236"/>
      <c r="C906" s="236"/>
      <c r="D906" s="236"/>
    </row>
    <row r="907" spans="2:4" ht="12.75" customHeight="1" x14ac:dyDescent="0.2">
      <c r="B907" s="236"/>
      <c r="C907" s="236"/>
      <c r="D907" s="236"/>
    </row>
    <row r="908" spans="2:4" ht="12.75" customHeight="1" x14ac:dyDescent="0.2">
      <c r="B908" s="236"/>
      <c r="C908" s="236"/>
      <c r="D908" s="236"/>
    </row>
    <row r="909" spans="2:4" x14ac:dyDescent="0.2">
      <c r="B909" s="236"/>
      <c r="C909" s="236"/>
      <c r="D909" s="236"/>
    </row>
    <row r="910" spans="2:4" ht="12.75" customHeight="1" x14ac:dyDescent="0.2">
      <c r="B910" s="236"/>
      <c r="C910" s="236"/>
      <c r="D910" s="236"/>
    </row>
    <row r="911" spans="2:4" ht="12.75" customHeight="1" x14ac:dyDescent="0.2">
      <c r="B911" s="236"/>
      <c r="C911" s="236"/>
      <c r="D911" s="236"/>
    </row>
    <row r="912" spans="2:4" ht="12.75" customHeight="1" x14ac:dyDescent="0.2">
      <c r="B912" s="236"/>
      <c r="C912" s="236"/>
      <c r="D912" s="236"/>
    </row>
    <row r="913" spans="2:4" ht="12.75" customHeight="1" x14ac:dyDescent="0.2">
      <c r="B913" s="236"/>
      <c r="C913" s="236"/>
      <c r="D913" s="236"/>
    </row>
    <row r="914" spans="2:4" x14ac:dyDescent="0.2">
      <c r="B914" s="236"/>
      <c r="C914" s="236"/>
      <c r="D914" s="236"/>
    </row>
    <row r="915" spans="2:4" ht="12.75" customHeight="1" x14ac:dyDescent="0.2">
      <c r="B915" s="236"/>
      <c r="C915" s="236"/>
      <c r="D915" s="236"/>
    </row>
    <row r="916" spans="2:4" ht="12.75" customHeight="1" x14ac:dyDescent="0.2">
      <c r="B916" s="236"/>
      <c r="C916" s="236"/>
      <c r="D916" s="236"/>
    </row>
    <row r="917" spans="2:4" ht="12.75" customHeight="1" x14ac:dyDescent="0.2">
      <c r="B917" s="236"/>
      <c r="C917" s="236"/>
      <c r="D917" s="236"/>
    </row>
    <row r="918" spans="2:4" ht="12.75" customHeight="1" x14ac:dyDescent="0.2">
      <c r="B918" s="236"/>
      <c r="C918" s="236"/>
      <c r="D918" s="236"/>
    </row>
    <row r="919" spans="2:4" x14ac:dyDescent="0.2">
      <c r="B919" s="236"/>
      <c r="C919" s="236"/>
      <c r="D919" s="236"/>
    </row>
    <row r="920" spans="2:4" ht="12.75" customHeight="1" x14ac:dyDescent="0.2">
      <c r="B920" s="236"/>
      <c r="C920" s="236"/>
      <c r="D920" s="236"/>
    </row>
    <row r="921" spans="2:4" ht="12.75" customHeight="1" x14ac:dyDescent="0.2">
      <c r="B921" s="236"/>
      <c r="C921" s="236"/>
      <c r="D921" s="236"/>
    </row>
    <row r="922" spans="2:4" ht="12.75" customHeight="1" x14ac:dyDescent="0.2">
      <c r="B922" s="236"/>
      <c r="C922" s="236"/>
      <c r="D922" s="236"/>
    </row>
    <row r="923" spans="2:4" x14ac:dyDescent="0.2">
      <c r="B923" s="236"/>
      <c r="C923" s="236"/>
      <c r="D923" s="236"/>
    </row>
    <row r="924" spans="2:4" ht="12.75" customHeight="1" x14ac:dyDescent="0.2">
      <c r="B924" s="236"/>
      <c r="C924" s="236"/>
      <c r="D924" s="236"/>
    </row>
    <row r="925" spans="2:4" ht="12.75" customHeight="1" x14ac:dyDescent="0.2">
      <c r="B925" s="236"/>
      <c r="C925" s="236"/>
      <c r="D925" s="236"/>
    </row>
    <row r="926" spans="2:4" ht="12.75" customHeight="1" x14ac:dyDescent="0.2">
      <c r="B926" s="236"/>
      <c r="C926" s="236"/>
      <c r="D926" s="236"/>
    </row>
    <row r="927" spans="2:4" ht="12.75" customHeight="1" x14ac:dyDescent="0.2">
      <c r="B927" s="236"/>
      <c r="C927" s="236"/>
      <c r="D927" s="236"/>
    </row>
    <row r="928" spans="2:4" ht="12.75" customHeight="1" x14ac:dyDescent="0.2">
      <c r="B928" s="236"/>
      <c r="C928" s="236"/>
      <c r="D928" s="236"/>
    </row>
    <row r="929" spans="2:4" x14ac:dyDescent="0.2">
      <c r="B929" s="236"/>
      <c r="C929" s="236"/>
      <c r="D929" s="236"/>
    </row>
    <row r="930" spans="2:4" ht="12.75" customHeight="1" x14ac:dyDescent="0.2">
      <c r="B930" s="236"/>
      <c r="C930" s="236"/>
      <c r="D930" s="236"/>
    </row>
    <row r="931" spans="2:4" ht="12.75" customHeight="1" x14ac:dyDescent="0.2">
      <c r="B931" s="236"/>
      <c r="C931" s="236"/>
      <c r="D931" s="236"/>
    </row>
    <row r="932" spans="2:4" ht="12.75" customHeight="1" x14ac:dyDescent="0.2">
      <c r="B932" s="236"/>
      <c r="C932" s="236"/>
      <c r="D932" s="236"/>
    </row>
    <row r="933" spans="2:4" ht="12.75" customHeight="1" x14ac:dyDescent="0.2">
      <c r="B933" s="236"/>
      <c r="C933" s="236"/>
      <c r="D933" s="236"/>
    </row>
    <row r="934" spans="2:4" x14ac:dyDescent="0.2">
      <c r="B934" s="236"/>
      <c r="C934" s="236"/>
      <c r="D934" s="236"/>
    </row>
    <row r="935" spans="2:4" ht="12.75" customHeight="1" x14ac:dyDescent="0.2">
      <c r="B935" s="236"/>
      <c r="C935" s="236"/>
      <c r="D935" s="236"/>
    </row>
    <row r="936" spans="2:4" ht="12.75" customHeight="1" x14ac:dyDescent="0.2">
      <c r="B936" s="236"/>
      <c r="C936" s="236"/>
      <c r="D936" s="236"/>
    </row>
    <row r="937" spans="2:4" ht="12.75" customHeight="1" x14ac:dyDescent="0.2">
      <c r="B937" s="236"/>
      <c r="C937" s="236"/>
      <c r="D937" s="236"/>
    </row>
    <row r="938" spans="2:4" x14ac:dyDescent="0.2">
      <c r="B938" s="236"/>
      <c r="C938" s="236"/>
      <c r="D938" s="236"/>
    </row>
    <row r="939" spans="2:4" ht="12.75" customHeight="1" x14ac:dyDescent="0.2">
      <c r="B939" s="236"/>
      <c r="C939" s="236"/>
      <c r="D939" s="236"/>
    </row>
    <row r="940" spans="2:4" x14ac:dyDescent="0.2">
      <c r="B940" s="236"/>
      <c r="C940" s="236"/>
      <c r="D940" s="236"/>
    </row>
    <row r="941" spans="2:4" ht="12.75" customHeight="1" x14ac:dyDescent="0.2">
      <c r="B941" s="236"/>
      <c r="C941" s="236"/>
      <c r="D941" s="236"/>
    </row>
    <row r="942" spans="2:4" ht="12.75" customHeight="1" x14ac:dyDescent="0.2">
      <c r="B942" s="236"/>
      <c r="C942" s="236"/>
      <c r="D942" s="236"/>
    </row>
    <row r="943" spans="2:4" ht="12.75" customHeight="1" x14ac:dyDescent="0.2">
      <c r="B943" s="236"/>
      <c r="C943" s="236"/>
      <c r="D943" s="236"/>
    </row>
    <row r="944" spans="2:4" ht="12.75" customHeight="1" x14ac:dyDescent="0.2">
      <c r="B944" s="236"/>
      <c r="C944" s="236"/>
      <c r="D944" s="236"/>
    </row>
    <row r="945" spans="2:4" x14ac:dyDescent="0.2">
      <c r="B945" s="236"/>
      <c r="C945" s="236"/>
      <c r="D945" s="236"/>
    </row>
    <row r="946" spans="2:4" x14ac:dyDescent="0.2">
      <c r="B946" s="236"/>
      <c r="C946" s="236"/>
      <c r="D946" s="236"/>
    </row>
    <row r="947" spans="2:4" ht="12.75" customHeight="1" x14ac:dyDescent="0.2">
      <c r="B947" s="236"/>
      <c r="C947" s="236"/>
      <c r="D947" s="236"/>
    </row>
    <row r="948" spans="2:4" x14ac:dyDescent="0.2">
      <c r="B948" s="236"/>
      <c r="C948" s="236"/>
      <c r="D948" s="236"/>
    </row>
    <row r="949" spans="2:4" ht="12.75" customHeight="1" x14ac:dyDescent="0.2">
      <c r="B949" s="236"/>
      <c r="C949" s="236"/>
      <c r="D949" s="236"/>
    </row>
    <row r="950" spans="2:4" x14ac:dyDescent="0.2">
      <c r="B950" s="236"/>
      <c r="C950" s="236"/>
      <c r="D950" s="236"/>
    </row>
    <row r="951" spans="2:4" ht="12.75" customHeight="1" x14ac:dyDescent="0.2">
      <c r="B951" s="236"/>
      <c r="C951" s="236"/>
      <c r="D951" s="236"/>
    </row>
    <row r="952" spans="2:4" x14ac:dyDescent="0.2">
      <c r="B952" s="236"/>
      <c r="C952" s="236"/>
      <c r="D952" s="236"/>
    </row>
    <row r="953" spans="2:4" ht="12.75" customHeight="1" x14ac:dyDescent="0.2">
      <c r="B953" s="236"/>
      <c r="C953" s="236"/>
      <c r="D953" s="236"/>
    </row>
    <row r="954" spans="2:4" ht="12.75" customHeight="1" x14ac:dyDescent="0.2">
      <c r="B954" s="236"/>
      <c r="C954" s="236"/>
      <c r="D954" s="236"/>
    </row>
    <row r="955" spans="2:4" ht="12.75" customHeight="1" x14ac:dyDescent="0.2">
      <c r="B955" s="236"/>
      <c r="C955" s="236"/>
      <c r="D955" s="236"/>
    </row>
    <row r="956" spans="2:4" ht="12.75" customHeight="1" x14ac:dyDescent="0.2">
      <c r="B956" s="236"/>
      <c r="C956" s="236"/>
      <c r="D956" s="236"/>
    </row>
    <row r="957" spans="2:4" ht="12.75" customHeight="1" x14ac:dyDescent="0.2">
      <c r="B957" s="236"/>
      <c r="C957" s="236"/>
      <c r="D957" s="236"/>
    </row>
    <row r="958" spans="2:4" ht="12.75" customHeight="1" x14ac:dyDescent="0.2">
      <c r="B958" s="236"/>
      <c r="C958" s="236"/>
      <c r="D958" s="236"/>
    </row>
    <row r="959" spans="2:4" ht="12.75" customHeight="1" x14ac:dyDescent="0.2">
      <c r="B959" s="236"/>
      <c r="C959" s="236"/>
      <c r="D959" s="236"/>
    </row>
    <row r="960" spans="2:4" ht="12.75" customHeight="1" x14ac:dyDescent="0.2">
      <c r="B960" s="236"/>
      <c r="C960" s="236"/>
      <c r="D960" s="236"/>
    </row>
    <row r="961" spans="2:4" ht="12.75" customHeight="1" x14ac:dyDescent="0.2">
      <c r="B961" s="236"/>
      <c r="C961" s="236"/>
      <c r="D961" s="236"/>
    </row>
    <row r="962" spans="2:4" ht="12.75" customHeight="1" x14ac:dyDescent="0.2">
      <c r="B962" s="236"/>
      <c r="C962" s="236"/>
      <c r="D962" s="236"/>
    </row>
    <row r="963" spans="2:4" ht="12.75" customHeight="1" x14ac:dyDescent="0.2">
      <c r="B963" s="236"/>
      <c r="C963" s="236"/>
      <c r="D963" s="236"/>
    </row>
    <row r="964" spans="2:4" ht="12.75" customHeight="1" x14ac:dyDescent="0.2">
      <c r="B964" s="236"/>
      <c r="C964" s="236"/>
      <c r="D964" s="236"/>
    </row>
    <row r="965" spans="2:4" ht="12.75" customHeight="1" x14ac:dyDescent="0.2">
      <c r="B965" s="236"/>
      <c r="C965" s="236"/>
      <c r="D965" s="236"/>
    </row>
    <row r="966" spans="2:4" ht="12.75" customHeight="1" x14ac:dyDescent="0.2">
      <c r="B966" s="236"/>
      <c r="C966" s="236"/>
      <c r="D966" s="236"/>
    </row>
    <row r="967" spans="2:4" ht="12.75" customHeight="1" x14ac:dyDescent="0.2">
      <c r="B967" s="236"/>
      <c r="C967" s="236"/>
      <c r="D967" s="236"/>
    </row>
    <row r="968" spans="2:4" ht="12.75" customHeight="1" x14ac:dyDescent="0.2">
      <c r="B968" s="236"/>
      <c r="C968" s="236"/>
      <c r="D968" s="236"/>
    </row>
    <row r="969" spans="2:4" ht="12.75" customHeight="1" x14ac:dyDescent="0.2">
      <c r="B969" s="236"/>
      <c r="C969" s="236"/>
      <c r="D969" s="236"/>
    </row>
    <row r="970" spans="2:4" ht="12.75" customHeight="1" x14ac:dyDescent="0.2">
      <c r="B970" s="236"/>
      <c r="C970" s="236"/>
      <c r="D970" s="236"/>
    </row>
    <row r="971" spans="2:4" ht="12.75" customHeight="1" x14ac:dyDescent="0.2">
      <c r="B971" s="236"/>
      <c r="C971" s="236"/>
      <c r="D971" s="236"/>
    </row>
    <row r="972" spans="2:4" ht="12.75" customHeight="1" x14ac:dyDescent="0.2">
      <c r="B972" s="236"/>
      <c r="C972" s="236"/>
      <c r="D972" s="236"/>
    </row>
    <row r="973" spans="2:4" ht="12.75" customHeight="1" x14ac:dyDescent="0.2">
      <c r="B973" s="236"/>
      <c r="C973" s="236"/>
      <c r="D973" s="236"/>
    </row>
    <row r="974" spans="2:4" x14ac:dyDescent="0.2">
      <c r="B974" s="236"/>
      <c r="C974" s="236"/>
      <c r="D974" s="236"/>
    </row>
    <row r="975" spans="2:4" x14ac:dyDescent="0.2">
      <c r="B975" s="236"/>
      <c r="C975" s="236"/>
      <c r="D975" s="236"/>
    </row>
    <row r="976" spans="2:4" x14ac:dyDescent="0.2">
      <c r="B976" s="236"/>
      <c r="C976" s="236"/>
      <c r="D976" s="236"/>
    </row>
    <row r="977" spans="2:4" ht="12.75" customHeight="1" x14ac:dyDescent="0.2">
      <c r="B977" s="236"/>
      <c r="C977" s="236"/>
      <c r="D977" s="236"/>
    </row>
    <row r="978" spans="2:4" ht="12.75" customHeight="1" x14ac:dyDescent="0.2">
      <c r="B978" s="236"/>
      <c r="C978" s="236"/>
      <c r="D978" s="236"/>
    </row>
    <row r="979" spans="2:4" ht="12.75" customHeight="1" x14ac:dyDescent="0.2">
      <c r="B979" s="236"/>
      <c r="C979" s="236"/>
      <c r="D979" s="236"/>
    </row>
    <row r="980" spans="2:4" x14ac:dyDescent="0.2">
      <c r="B980" s="236"/>
      <c r="C980" s="236"/>
      <c r="D980" s="236"/>
    </row>
    <row r="981" spans="2:4" ht="12.75" customHeight="1" x14ac:dyDescent="0.2">
      <c r="B981" s="236"/>
      <c r="C981" s="236"/>
      <c r="D981" s="236"/>
    </row>
    <row r="982" spans="2:4" x14ac:dyDescent="0.2">
      <c r="B982" s="236"/>
      <c r="C982" s="236"/>
      <c r="D982" s="236"/>
    </row>
    <row r="983" spans="2:4" ht="12.75" customHeight="1" x14ac:dyDescent="0.2">
      <c r="B983" s="236"/>
      <c r="C983" s="236"/>
      <c r="D983" s="236"/>
    </row>
    <row r="984" spans="2:4" ht="12.75" customHeight="1" x14ac:dyDescent="0.2">
      <c r="B984" s="236"/>
      <c r="C984" s="236"/>
      <c r="D984" s="236"/>
    </row>
    <row r="985" spans="2:4" ht="12.75" customHeight="1" x14ac:dyDescent="0.2">
      <c r="B985" s="236"/>
      <c r="C985" s="236"/>
      <c r="D985" s="236"/>
    </row>
    <row r="986" spans="2:4" ht="12.75" customHeight="1" x14ac:dyDescent="0.2">
      <c r="B986" s="236"/>
      <c r="C986" s="236"/>
      <c r="D986" s="236"/>
    </row>
    <row r="987" spans="2:4" ht="12.75" customHeight="1" x14ac:dyDescent="0.2">
      <c r="B987" s="236"/>
      <c r="C987" s="236"/>
      <c r="D987" s="236"/>
    </row>
    <row r="988" spans="2:4" ht="12.75" customHeight="1" x14ac:dyDescent="0.2">
      <c r="B988" s="236"/>
      <c r="C988" s="236"/>
      <c r="D988" s="236"/>
    </row>
    <row r="989" spans="2:4" ht="12.75" customHeight="1" x14ac:dyDescent="0.2">
      <c r="B989" s="236"/>
      <c r="C989" s="236"/>
      <c r="D989" s="236"/>
    </row>
    <row r="990" spans="2:4" ht="12.75" customHeight="1" x14ac:dyDescent="0.2">
      <c r="B990" s="236"/>
      <c r="C990" s="236"/>
      <c r="D990" s="236"/>
    </row>
    <row r="991" spans="2:4" ht="12.75" customHeight="1" x14ac:dyDescent="0.2">
      <c r="B991" s="236"/>
      <c r="C991" s="236"/>
      <c r="D991" s="236"/>
    </row>
    <row r="992" spans="2:4" ht="12.75" customHeight="1" x14ac:dyDescent="0.2">
      <c r="B992" s="236"/>
      <c r="C992" s="236"/>
      <c r="D992" s="236"/>
    </row>
    <row r="993" spans="2:4" ht="12.75" customHeight="1" x14ac:dyDescent="0.2">
      <c r="B993" s="236"/>
      <c r="C993" s="236"/>
      <c r="D993" s="236"/>
    </row>
    <row r="994" spans="2:4" ht="12.75" customHeight="1" x14ac:dyDescent="0.2">
      <c r="B994" s="236"/>
      <c r="C994" s="236"/>
      <c r="D994" s="236"/>
    </row>
    <row r="995" spans="2:4" ht="12.75" customHeight="1" x14ac:dyDescent="0.2">
      <c r="B995" s="236"/>
      <c r="C995" s="236"/>
      <c r="D995" s="236"/>
    </row>
    <row r="996" spans="2:4" ht="12.75" customHeight="1" x14ac:dyDescent="0.2">
      <c r="B996" s="236"/>
      <c r="C996" s="236"/>
      <c r="D996" s="236"/>
    </row>
    <row r="997" spans="2:4" ht="12.75" customHeight="1" x14ac:dyDescent="0.2">
      <c r="B997" s="236"/>
      <c r="C997" s="236"/>
      <c r="D997" s="236"/>
    </row>
    <row r="998" spans="2:4" ht="12.75" customHeight="1" x14ac:dyDescent="0.2">
      <c r="B998" s="236"/>
      <c r="C998" s="236"/>
      <c r="D998" s="236"/>
    </row>
    <row r="999" spans="2:4" ht="12.75" customHeight="1" x14ac:dyDescent="0.2">
      <c r="B999" s="236"/>
      <c r="C999" s="236"/>
      <c r="D999" s="236"/>
    </row>
    <row r="1000" spans="2:4" ht="12.75" customHeight="1" x14ac:dyDescent="0.2">
      <c r="B1000" s="236"/>
      <c r="C1000" s="236"/>
      <c r="D1000" s="236"/>
    </row>
    <row r="1001" spans="2:4" ht="12.75" customHeight="1" x14ac:dyDescent="0.2">
      <c r="B1001" s="236"/>
      <c r="C1001" s="236"/>
      <c r="D1001" s="236"/>
    </row>
    <row r="1002" spans="2:4" ht="12.75" customHeight="1" x14ac:dyDescent="0.2">
      <c r="B1002" s="236"/>
      <c r="C1002" s="236"/>
      <c r="D1002" s="236"/>
    </row>
    <row r="1003" spans="2:4" ht="12.75" customHeight="1" x14ac:dyDescent="0.2">
      <c r="B1003" s="236"/>
      <c r="C1003" s="236"/>
      <c r="D1003" s="236"/>
    </row>
    <row r="1004" spans="2:4" x14ac:dyDescent="0.2">
      <c r="B1004" s="236"/>
      <c r="C1004" s="236"/>
      <c r="D1004" s="236"/>
    </row>
    <row r="1005" spans="2:4" ht="12.75" customHeight="1" x14ac:dyDescent="0.2">
      <c r="B1005" s="236"/>
      <c r="C1005" s="236"/>
      <c r="D1005" s="236"/>
    </row>
    <row r="1006" spans="2:4" ht="12.75" customHeight="1" x14ac:dyDescent="0.2">
      <c r="B1006" s="236"/>
      <c r="C1006" s="236"/>
      <c r="D1006" s="236"/>
    </row>
    <row r="1007" spans="2:4" ht="12.75" customHeight="1" x14ac:dyDescent="0.2">
      <c r="B1007" s="236"/>
      <c r="C1007" s="236"/>
      <c r="D1007" s="236"/>
    </row>
    <row r="1008" spans="2:4" ht="12.75" customHeight="1" x14ac:dyDescent="0.2">
      <c r="B1008" s="236"/>
      <c r="C1008" s="236"/>
      <c r="D1008" s="236"/>
    </row>
    <row r="1009" spans="2:4" ht="12.75" customHeight="1" x14ac:dyDescent="0.2">
      <c r="B1009" s="236"/>
      <c r="C1009" s="236"/>
      <c r="D1009" s="236"/>
    </row>
    <row r="1010" spans="2:4" ht="12.75" customHeight="1" x14ac:dyDescent="0.2">
      <c r="B1010" s="236"/>
      <c r="C1010" s="236"/>
      <c r="D1010" s="236"/>
    </row>
    <row r="1011" spans="2:4" ht="12.75" customHeight="1" x14ac:dyDescent="0.2">
      <c r="B1011" s="236"/>
      <c r="C1011" s="236"/>
      <c r="D1011" s="236"/>
    </row>
    <row r="1012" spans="2:4" ht="12.75" customHeight="1" x14ac:dyDescent="0.2">
      <c r="B1012" s="236"/>
      <c r="C1012" s="236"/>
      <c r="D1012" s="236"/>
    </row>
    <row r="1013" spans="2:4" ht="12.75" customHeight="1" x14ac:dyDescent="0.2">
      <c r="B1013" s="236"/>
      <c r="C1013" s="236"/>
      <c r="D1013" s="236"/>
    </row>
    <row r="1014" spans="2:4" x14ac:dyDescent="0.2">
      <c r="B1014" s="236"/>
      <c r="C1014" s="236"/>
      <c r="D1014" s="236"/>
    </row>
    <row r="1015" spans="2:4" ht="12.75" customHeight="1" x14ac:dyDescent="0.2">
      <c r="B1015" s="236"/>
      <c r="C1015" s="236"/>
      <c r="D1015" s="236"/>
    </row>
    <row r="1016" spans="2:4" ht="12.75" customHeight="1" x14ac:dyDescent="0.2">
      <c r="B1016" s="236"/>
      <c r="C1016" s="236"/>
      <c r="D1016" s="236"/>
    </row>
    <row r="1017" spans="2:4" ht="12.75" customHeight="1" x14ac:dyDescent="0.2">
      <c r="B1017" s="236"/>
      <c r="C1017" s="236"/>
      <c r="D1017" s="236"/>
    </row>
    <row r="1018" spans="2:4" ht="12.75" customHeight="1" x14ac:dyDescent="0.2">
      <c r="B1018" s="236"/>
      <c r="C1018" s="236"/>
      <c r="D1018" s="236"/>
    </row>
    <row r="1019" spans="2:4" ht="12.75" customHeight="1" x14ac:dyDescent="0.2">
      <c r="B1019" s="236"/>
      <c r="C1019" s="236"/>
      <c r="D1019" s="236"/>
    </row>
    <row r="1020" spans="2:4" x14ac:dyDescent="0.2">
      <c r="B1020" s="236"/>
      <c r="C1020" s="236"/>
      <c r="D1020" s="236"/>
    </row>
    <row r="1021" spans="2:4" ht="12.75" customHeight="1" x14ac:dyDescent="0.2">
      <c r="B1021" s="236"/>
      <c r="C1021" s="236"/>
      <c r="D1021" s="236"/>
    </row>
    <row r="1022" spans="2:4" x14ac:dyDescent="0.2">
      <c r="B1022" s="236"/>
      <c r="C1022" s="236"/>
      <c r="D1022" s="236"/>
    </row>
    <row r="1023" spans="2:4" ht="12.75" customHeight="1" x14ac:dyDescent="0.2">
      <c r="B1023" s="236"/>
      <c r="C1023" s="236"/>
      <c r="D1023" s="236"/>
    </row>
    <row r="1024" spans="2:4" ht="12.75" customHeight="1" x14ac:dyDescent="0.2">
      <c r="B1024" s="236"/>
      <c r="C1024" s="236"/>
      <c r="D1024" s="236"/>
    </row>
    <row r="1025" spans="2:4" x14ac:dyDescent="0.2">
      <c r="B1025" s="236"/>
      <c r="C1025" s="236"/>
      <c r="D1025" s="236"/>
    </row>
    <row r="1026" spans="2:4" ht="12.75" customHeight="1" x14ac:dyDescent="0.2">
      <c r="B1026" s="236"/>
      <c r="C1026" s="236"/>
      <c r="D1026" s="236"/>
    </row>
    <row r="1027" spans="2:4" x14ac:dyDescent="0.2">
      <c r="B1027" s="236"/>
      <c r="C1027" s="236"/>
      <c r="D1027" s="236"/>
    </row>
    <row r="1028" spans="2:4" ht="12.75" customHeight="1" x14ac:dyDescent="0.2">
      <c r="B1028" s="236"/>
      <c r="C1028" s="236"/>
      <c r="D1028" s="236"/>
    </row>
    <row r="1029" spans="2:4" x14ac:dyDescent="0.2">
      <c r="B1029" s="236"/>
      <c r="C1029" s="236"/>
      <c r="D1029" s="236"/>
    </row>
    <row r="1030" spans="2:4" ht="12.75" customHeight="1" x14ac:dyDescent="0.2">
      <c r="B1030" s="236"/>
      <c r="C1030" s="236"/>
      <c r="D1030" s="236"/>
    </row>
    <row r="1031" spans="2:4" ht="12.75" customHeight="1" x14ac:dyDescent="0.2">
      <c r="B1031" s="236"/>
      <c r="C1031" s="236"/>
      <c r="D1031" s="236"/>
    </row>
    <row r="1032" spans="2:4" ht="12.75" customHeight="1" x14ac:dyDescent="0.2">
      <c r="B1032" s="236"/>
      <c r="C1032" s="236"/>
      <c r="D1032" s="236"/>
    </row>
    <row r="1033" spans="2:4" ht="12.75" customHeight="1" x14ac:dyDescent="0.2">
      <c r="B1033" s="236"/>
      <c r="C1033" s="236"/>
      <c r="D1033" s="236"/>
    </row>
    <row r="1034" spans="2:4" ht="12.75" customHeight="1" x14ac:dyDescent="0.2">
      <c r="B1034" s="236"/>
      <c r="C1034" s="236"/>
      <c r="D1034" s="236"/>
    </row>
    <row r="1035" spans="2:4" ht="12.75" customHeight="1" x14ac:dyDescent="0.2">
      <c r="B1035" s="236"/>
      <c r="C1035" s="236"/>
      <c r="D1035" s="236"/>
    </row>
    <row r="1036" spans="2:4" ht="12.75" customHeight="1" x14ac:dyDescent="0.2">
      <c r="B1036" s="236"/>
      <c r="C1036" s="236"/>
      <c r="D1036" s="236"/>
    </row>
    <row r="1037" spans="2:4" ht="12.75" customHeight="1" x14ac:dyDescent="0.2">
      <c r="B1037" s="236"/>
      <c r="C1037" s="236"/>
      <c r="D1037" s="236"/>
    </row>
    <row r="1038" spans="2:4" ht="12.75" customHeight="1" x14ac:dyDescent="0.2">
      <c r="B1038" s="236"/>
      <c r="C1038" s="236"/>
      <c r="D1038" s="236"/>
    </row>
    <row r="1039" spans="2:4" x14ac:dyDescent="0.2">
      <c r="B1039" s="236"/>
      <c r="C1039" s="236"/>
      <c r="D1039" s="236"/>
    </row>
    <row r="1040" spans="2:4" x14ac:dyDescent="0.2">
      <c r="B1040" s="236"/>
      <c r="C1040" s="236"/>
      <c r="D1040" s="236"/>
    </row>
    <row r="1041" spans="2:4" ht="12.75" customHeight="1" x14ac:dyDescent="0.2">
      <c r="B1041" s="236"/>
      <c r="C1041" s="236"/>
      <c r="D1041" s="236"/>
    </row>
    <row r="1042" spans="2:4" x14ac:dyDescent="0.2">
      <c r="B1042" s="236"/>
      <c r="C1042" s="236"/>
      <c r="D1042" s="236"/>
    </row>
    <row r="1043" spans="2:4" ht="12.75" customHeight="1" x14ac:dyDescent="0.2">
      <c r="B1043" s="236"/>
      <c r="C1043" s="236"/>
      <c r="D1043" s="236"/>
    </row>
    <row r="1044" spans="2:4" ht="12.75" customHeight="1" x14ac:dyDescent="0.2">
      <c r="B1044" s="236"/>
      <c r="C1044" s="236"/>
      <c r="D1044" s="236"/>
    </row>
    <row r="1045" spans="2:4" ht="12.75" customHeight="1" x14ac:dyDescent="0.2">
      <c r="B1045" s="236"/>
      <c r="C1045" s="236"/>
      <c r="D1045" s="236"/>
    </row>
    <row r="1046" spans="2:4" ht="12.75" customHeight="1" x14ac:dyDescent="0.2">
      <c r="B1046" s="236"/>
      <c r="C1046" s="236"/>
      <c r="D1046" s="236"/>
    </row>
    <row r="1047" spans="2:4" ht="12.75" customHeight="1" x14ac:dyDescent="0.2">
      <c r="B1047" s="236"/>
      <c r="C1047" s="236"/>
      <c r="D1047" s="236"/>
    </row>
    <row r="1048" spans="2:4" ht="12.75" customHeight="1" x14ac:dyDescent="0.2">
      <c r="B1048" s="236"/>
      <c r="C1048" s="236"/>
      <c r="D1048" s="236"/>
    </row>
    <row r="1049" spans="2:4" ht="12.75" customHeight="1" x14ac:dyDescent="0.2">
      <c r="B1049" s="236"/>
      <c r="C1049" s="236"/>
      <c r="D1049" s="236"/>
    </row>
    <row r="1050" spans="2:4" ht="12.75" customHeight="1" x14ac:dyDescent="0.2">
      <c r="B1050" s="236"/>
      <c r="C1050" s="236"/>
      <c r="D1050" s="236"/>
    </row>
    <row r="1051" spans="2:4" x14ac:dyDescent="0.2">
      <c r="B1051" s="236"/>
      <c r="C1051" s="236"/>
      <c r="D1051" s="236"/>
    </row>
    <row r="1052" spans="2:4" ht="12.75" customHeight="1" x14ac:dyDescent="0.2">
      <c r="B1052" s="236"/>
      <c r="C1052" s="236"/>
      <c r="D1052" s="236"/>
    </row>
    <row r="1053" spans="2:4" ht="12.75" customHeight="1" x14ac:dyDescent="0.2">
      <c r="B1053" s="236"/>
      <c r="C1053" s="236"/>
      <c r="D1053" s="236"/>
    </row>
    <row r="1054" spans="2:4" ht="12.75" customHeight="1" x14ac:dyDescent="0.2">
      <c r="B1054" s="236"/>
      <c r="C1054" s="236"/>
      <c r="D1054" s="236"/>
    </row>
    <row r="1055" spans="2:4" ht="12.75" customHeight="1" x14ac:dyDescent="0.2">
      <c r="B1055" s="236"/>
      <c r="C1055" s="236"/>
      <c r="D1055" s="236"/>
    </row>
    <row r="1056" spans="2:4" x14ac:dyDescent="0.2">
      <c r="B1056" s="236"/>
      <c r="C1056" s="236"/>
      <c r="D1056" s="236"/>
    </row>
    <row r="1057" spans="2:4" ht="12.75" customHeight="1" x14ac:dyDescent="0.2">
      <c r="B1057" s="236"/>
      <c r="C1057" s="236"/>
      <c r="D1057" s="236"/>
    </row>
    <row r="1058" spans="2:4" ht="12.75" customHeight="1" x14ac:dyDescent="0.2">
      <c r="B1058" s="236"/>
      <c r="C1058" s="236"/>
      <c r="D1058" s="236"/>
    </row>
    <row r="1059" spans="2:4" ht="12.75" customHeight="1" x14ac:dyDescent="0.2">
      <c r="B1059" s="236"/>
      <c r="C1059" s="236"/>
      <c r="D1059" s="236"/>
    </row>
    <row r="1060" spans="2:4" ht="12.75" customHeight="1" x14ac:dyDescent="0.2">
      <c r="B1060" s="236"/>
      <c r="C1060" s="236"/>
      <c r="D1060" s="236"/>
    </row>
    <row r="1061" spans="2:4" ht="12.75" customHeight="1" x14ac:dyDescent="0.2">
      <c r="B1061" s="236"/>
      <c r="C1061" s="236"/>
      <c r="D1061" s="236"/>
    </row>
    <row r="1062" spans="2:4" x14ac:dyDescent="0.2">
      <c r="B1062" s="236"/>
      <c r="C1062" s="236"/>
      <c r="D1062" s="236"/>
    </row>
    <row r="1063" spans="2:4" ht="12.75" customHeight="1" x14ac:dyDescent="0.2">
      <c r="B1063" s="236"/>
      <c r="C1063" s="236"/>
      <c r="D1063" s="236"/>
    </row>
    <row r="1064" spans="2:4" ht="12.75" customHeight="1" x14ac:dyDescent="0.2">
      <c r="B1064" s="236"/>
      <c r="C1064" s="236"/>
      <c r="D1064" s="236"/>
    </row>
    <row r="1065" spans="2:4" ht="12.75" customHeight="1" x14ac:dyDescent="0.2">
      <c r="B1065" s="236"/>
      <c r="C1065" s="236"/>
      <c r="D1065" s="236"/>
    </row>
    <row r="1066" spans="2:4" ht="12.75" customHeight="1" x14ac:dyDescent="0.2">
      <c r="B1066" s="236"/>
      <c r="C1066" s="236"/>
      <c r="D1066" s="236"/>
    </row>
    <row r="1067" spans="2:4" x14ac:dyDescent="0.2">
      <c r="B1067" s="236"/>
      <c r="C1067" s="236"/>
      <c r="D1067" s="236"/>
    </row>
    <row r="1068" spans="2:4" ht="12.75" customHeight="1" x14ac:dyDescent="0.2">
      <c r="B1068" s="236"/>
      <c r="C1068" s="236"/>
      <c r="D1068" s="236"/>
    </row>
    <row r="1069" spans="2:4" ht="12.75" customHeight="1" x14ac:dyDescent="0.2">
      <c r="B1069" s="236"/>
      <c r="C1069" s="236"/>
      <c r="D1069" s="236"/>
    </row>
    <row r="1070" spans="2:4" ht="12.75" customHeight="1" x14ac:dyDescent="0.2">
      <c r="B1070" s="236"/>
      <c r="C1070" s="236"/>
      <c r="D1070" s="236"/>
    </row>
    <row r="1071" spans="2:4" ht="12.75" customHeight="1" x14ac:dyDescent="0.2">
      <c r="B1071" s="236"/>
      <c r="C1071" s="236"/>
      <c r="D1071" s="236"/>
    </row>
    <row r="1072" spans="2:4" ht="12.75" customHeight="1" x14ac:dyDescent="0.2">
      <c r="B1072" s="236"/>
      <c r="C1072" s="236"/>
      <c r="D1072" s="236"/>
    </row>
    <row r="1073" spans="2:4" x14ac:dyDescent="0.2">
      <c r="B1073" s="236"/>
      <c r="C1073" s="236"/>
      <c r="D1073" s="236"/>
    </row>
    <row r="1074" spans="2:4" ht="12.75" customHeight="1" x14ac:dyDescent="0.2">
      <c r="B1074" s="236"/>
      <c r="C1074" s="236"/>
      <c r="D1074" s="236"/>
    </row>
    <row r="1075" spans="2:4" ht="12.75" customHeight="1" x14ac:dyDescent="0.2">
      <c r="B1075" s="236"/>
      <c r="C1075" s="236"/>
      <c r="D1075" s="236"/>
    </row>
    <row r="1076" spans="2:4" ht="12.75" customHeight="1" x14ac:dyDescent="0.2">
      <c r="B1076" s="236"/>
      <c r="C1076" s="236"/>
      <c r="D1076" s="236"/>
    </row>
    <row r="1077" spans="2:4" ht="12.75" customHeight="1" x14ac:dyDescent="0.2">
      <c r="B1077" s="236"/>
      <c r="C1077" s="236"/>
      <c r="D1077" s="236"/>
    </row>
    <row r="1078" spans="2:4" ht="12.75" customHeight="1" x14ac:dyDescent="0.2">
      <c r="B1078" s="236"/>
      <c r="C1078" s="236"/>
      <c r="D1078" s="236"/>
    </row>
    <row r="1079" spans="2:4" x14ac:dyDescent="0.2">
      <c r="B1079" s="236"/>
      <c r="C1079" s="236"/>
      <c r="D1079" s="236"/>
    </row>
    <row r="1080" spans="2:4" ht="12.75" customHeight="1" x14ac:dyDescent="0.2">
      <c r="B1080" s="236"/>
      <c r="C1080" s="236"/>
      <c r="D1080" s="236"/>
    </row>
    <row r="1081" spans="2:4" ht="12.75" customHeight="1" x14ac:dyDescent="0.2">
      <c r="B1081" s="236"/>
      <c r="C1081" s="236"/>
      <c r="D1081" s="236"/>
    </row>
    <row r="1082" spans="2:4" ht="12.75" customHeight="1" x14ac:dyDescent="0.2">
      <c r="B1082" s="236"/>
      <c r="C1082" s="236"/>
      <c r="D1082" s="236"/>
    </row>
    <row r="1083" spans="2:4" ht="12.75" customHeight="1" x14ac:dyDescent="0.2">
      <c r="B1083" s="236"/>
      <c r="C1083" s="236"/>
      <c r="D1083" s="236"/>
    </row>
    <row r="1084" spans="2:4" ht="12.75" customHeight="1" x14ac:dyDescent="0.2">
      <c r="B1084" s="236"/>
      <c r="C1084" s="236"/>
      <c r="D1084" s="236"/>
    </row>
    <row r="1085" spans="2:4" ht="12.75" customHeight="1" x14ac:dyDescent="0.2">
      <c r="B1085" s="236"/>
      <c r="C1085" s="236"/>
      <c r="D1085" s="236"/>
    </row>
    <row r="1086" spans="2:4" ht="12.75" customHeight="1" x14ac:dyDescent="0.2">
      <c r="B1086" s="236"/>
      <c r="C1086" s="236"/>
      <c r="D1086" s="236"/>
    </row>
    <row r="1087" spans="2:4" ht="12.75" customHeight="1" x14ac:dyDescent="0.2">
      <c r="B1087" s="236"/>
      <c r="C1087" s="236"/>
      <c r="D1087" s="236"/>
    </row>
    <row r="1088" spans="2:4" ht="12.75" customHeight="1" x14ac:dyDescent="0.2">
      <c r="B1088" s="236"/>
      <c r="C1088" s="236"/>
      <c r="D1088" s="236"/>
    </row>
    <row r="1089" spans="2:4" ht="12.75" customHeight="1" x14ac:dyDescent="0.2">
      <c r="B1089" s="236"/>
      <c r="C1089" s="236"/>
      <c r="D1089" s="236"/>
    </row>
    <row r="1090" spans="2:4" ht="12.75" customHeight="1" x14ac:dyDescent="0.2">
      <c r="B1090" s="236"/>
      <c r="C1090" s="236"/>
      <c r="D1090" s="236"/>
    </row>
    <row r="1091" spans="2:4" ht="12.75" customHeight="1" x14ac:dyDescent="0.2">
      <c r="B1091" s="236"/>
      <c r="C1091" s="236"/>
      <c r="D1091" s="236"/>
    </row>
    <row r="1092" spans="2:4" x14ac:dyDescent="0.2">
      <c r="B1092" s="236"/>
      <c r="C1092" s="236"/>
      <c r="D1092" s="236"/>
    </row>
    <row r="1093" spans="2:4" ht="12.75" customHeight="1" x14ac:dyDescent="0.2">
      <c r="B1093" s="236"/>
      <c r="C1093" s="236"/>
      <c r="D1093" s="236"/>
    </row>
    <row r="1094" spans="2:4" ht="12.75" customHeight="1" x14ac:dyDescent="0.2">
      <c r="B1094" s="236"/>
      <c r="C1094" s="236"/>
      <c r="D1094" s="236"/>
    </row>
    <row r="1095" spans="2:4" x14ac:dyDescent="0.2">
      <c r="B1095" s="236"/>
      <c r="C1095" s="236"/>
      <c r="D1095" s="236"/>
    </row>
    <row r="1096" spans="2:4" ht="12.75" customHeight="1" x14ac:dyDescent="0.2">
      <c r="B1096" s="236"/>
      <c r="C1096" s="236"/>
      <c r="D1096" s="236"/>
    </row>
    <row r="1097" spans="2:4" ht="12.75" customHeight="1" x14ac:dyDescent="0.2">
      <c r="B1097" s="236"/>
      <c r="C1097" s="236"/>
      <c r="D1097" s="236"/>
    </row>
    <row r="1098" spans="2:4" ht="12.75" customHeight="1" x14ac:dyDescent="0.2">
      <c r="B1098" s="236"/>
      <c r="C1098" s="236"/>
      <c r="D1098" s="236"/>
    </row>
    <row r="1099" spans="2:4" ht="12.75" customHeight="1" x14ac:dyDescent="0.2">
      <c r="B1099" s="236"/>
      <c r="C1099" s="236"/>
      <c r="D1099" s="236"/>
    </row>
    <row r="1100" spans="2:4" ht="12.75" customHeight="1" x14ac:dyDescent="0.2">
      <c r="B1100" s="236"/>
      <c r="C1100" s="236"/>
      <c r="D1100" s="236"/>
    </row>
    <row r="1101" spans="2:4" ht="12.75" customHeight="1" x14ac:dyDescent="0.2">
      <c r="B1101" s="236"/>
      <c r="C1101" s="236"/>
      <c r="D1101" s="236"/>
    </row>
    <row r="1102" spans="2:4" x14ac:dyDescent="0.2">
      <c r="B1102" s="236"/>
      <c r="C1102" s="236"/>
      <c r="D1102" s="236"/>
    </row>
    <row r="1103" spans="2:4" ht="12.75" customHeight="1" x14ac:dyDescent="0.2">
      <c r="B1103" s="236"/>
      <c r="C1103" s="236"/>
      <c r="D1103" s="236"/>
    </row>
    <row r="1104" spans="2:4" ht="12.75" customHeight="1" x14ac:dyDescent="0.2">
      <c r="B1104" s="236"/>
      <c r="C1104" s="236"/>
      <c r="D1104" s="236"/>
    </row>
    <row r="1105" spans="2:4" ht="12.75" customHeight="1" x14ac:dyDescent="0.2">
      <c r="B1105" s="236"/>
      <c r="C1105" s="236"/>
      <c r="D1105" s="236"/>
    </row>
    <row r="1106" spans="2:4" ht="12.75" customHeight="1" x14ac:dyDescent="0.2">
      <c r="B1106" s="236"/>
      <c r="C1106" s="236"/>
      <c r="D1106" s="236"/>
    </row>
    <row r="1107" spans="2:4" x14ac:dyDescent="0.2">
      <c r="B1107" s="236"/>
      <c r="C1107" s="236"/>
      <c r="D1107" s="236"/>
    </row>
    <row r="1108" spans="2:4" ht="12.75" customHeight="1" x14ac:dyDescent="0.2">
      <c r="B1108" s="236"/>
      <c r="C1108" s="236"/>
      <c r="D1108" s="236"/>
    </row>
    <row r="1109" spans="2:4" ht="12.75" customHeight="1" x14ac:dyDescent="0.2">
      <c r="B1109" s="236"/>
      <c r="C1109" s="236"/>
      <c r="D1109" s="236"/>
    </row>
    <row r="1110" spans="2:4" ht="12.75" customHeight="1" x14ac:dyDescent="0.2">
      <c r="B1110" s="236"/>
      <c r="C1110" s="236"/>
      <c r="D1110" s="236"/>
    </row>
    <row r="1111" spans="2:4" ht="12.75" customHeight="1" x14ac:dyDescent="0.2">
      <c r="B1111" s="236"/>
      <c r="C1111" s="236"/>
      <c r="D1111" s="236"/>
    </row>
    <row r="1112" spans="2:4" ht="12.75" customHeight="1" x14ac:dyDescent="0.2">
      <c r="B1112" s="236"/>
      <c r="C1112" s="236"/>
      <c r="D1112" s="236"/>
    </row>
    <row r="1113" spans="2:4" ht="12.75" customHeight="1" x14ac:dyDescent="0.2">
      <c r="B1113" s="236"/>
      <c r="C1113" s="236"/>
      <c r="D1113" s="236"/>
    </row>
    <row r="1114" spans="2:4" x14ac:dyDescent="0.2">
      <c r="B1114" s="236"/>
      <c r="C1114" s="236"/>
      <c r="D1114" s="236"/>
    </row>
    <row r="1115" spans="2:4" ht="12.75" customHeight="1" x14ac:dyDescent="0.2">
      <c r="B1115" s="236"/>
      <c r="C1115" s="236"/>
      <c r="D1115" s="236"/>
    </row>
    <row r="1116" spans="2:4" ht="12.75" customHeight="1" x14ac:dyDescent="0.2">
      <c r="B1116" s="236"/>
      <c r="C1116" s="236"/>
      <c r="D1116" s="236"/>
    </row>
    <row r="1117" spans="2:4" ht="12.75" customHeight="1" x14ac:dyDescent="0.2">
      <c r="B1117" s="236"/>
      <c r="C1117" s="236"/>
      <c r="D1117" s="236"/>
    </row>
    <row r="1118" spans="2:4" ht="12.75" customHeight="1" x14ac:dyDescent="0.2">
      <c r="B1118" s="236"/>
      <c r="C1118" s="236"/>
      <c r="D1118" s="236"/>
    </row>
    <row r="1119" spans="2:4" ht="12.75" customHeight="1" x14ac:dyDescent="0.2">
      <c r="B1119" s="236"/>
      <c r="C1119" s="236"/>
      <c r="D1119" s="236"/>
    </row>
    <row r="1120" spans="2:4" ht="12.75" customHeight="1" x14ac:dyDescent="0.2">
      <c r="B1120" s="236"/>
      <c r="C1120" s="236"/>
      <c r="D1120" s="236"/>
    </row>
    <row r="1121" spans="2:4" ht="12.75" customHeight="1" x14ac:dyDescent="0.2">
      <c r="B1121" s="236"/>
      <c r="C1121" s="236"/>
      <c r="D1121" s="236"/>
    </row>
    <row r="1122" spans="2:4" ht="12.75" customHeight="1" x14ac:dyDescent="0.2">
      <c r="B1122" s="236"/>
      <c r="C1122" s="236"/>
      <c r="D1122" s="236"/>
    </row>
    <row r="1123" spans="2:4" ht="12.75" customHeight="1" x14ac:dyDescent="0.2">
      <c r="B1123" s="236"/>
      <c r="C1123" s="236"/>
      <c r="D1123" s="236"/>
    </row>
    <row r="1124" spans="2:4" ht="12.75" customHeight="1" x14ac:dyDescent="0.2">
      <c r="B1124" s="236"/>
      <c r="C1124" s="236"/>
      <c r="D1124" s="236"/>
    </row>
    <row r="1125" spans="2:4" ht="12.75" customHeight="1" x14ac:dyDescent="0.2">
      <c r="B1125" s="236"/>
      <c r="C1125" s="236"/>
      <c r="D1125" s="236"/>
    </row>
    <row r="1126" spans="2:4" ht="12.75" customHeight="1" x14ac:dyDescent="0.2">
      <c r="B1126" s="236"/>
      <c r="C1126" s="236"/>
      <c r="D1126" s="236"/>
    </row>
    <row r="1127" spans="2:4" ht="12.75" customHeight="1" x14ac:dyDescent="0.2">
      <c r="B1127" s="236"/>
      <c r="C1127" s="236"/>
      <c r="D1127" s="236"/>
    </row>
    <row r="1128" spans="2:4" ht="12.75" customHeight="1" x14ac:dyDescent="0.2">
      <c r="B1128" s="236"/>
      <c r="C1128" s="236"/>
      <c r="D1128" s="236"/>
    </row>
    <row r="1129" spans="2:4" ht="12.75" customHeight="1" x14ac:dyDescent="0.2">
      <c r="B1129" s="236"/>
      <c r="C1129" s="236"/>
      <c r="D1129" s="236"/>
    </row>
    <row r="1130" spans="2:4" ht="12.75" customHeight="1" x14ac:dyDescent="0.2">
      <c r="B1130" s="236"/>
      <c r="C1130" s="236"/>
      <c r="D1130" s="236"/>
    </row>
    <row r="1131" spans="2:4" ht="12.75" customHeight="1" x14ac:dyDescent="0.2">
      <c r="B1131" s="236"/>
      <c r="C1131" s="236"/>
      <c r="D1131" s="236"/>
    </row>
    <row r="1132" spans="2:4" ht="12.75" customHeight="1" x14ac:dyDescent="0.2">
      <c r="B1132" s="236"/>
      <c r="C1132" s="236"/>
      <c r="D1132" s="236"/>
    </row>
    <row r="1133" spans="2:4" ht="12.75" customHeight="1" x14ac:dyDescent="0.2">
      <c r="B1133" s="236"/>
      <c r="C1133" s="236"/>
      <c r="D1133" s="236"/>
    </row>
    <row r="1134" spans="2:4" ht="12.75" customHeight="1" x14ac:dyDescent="0.2">
      <c r="B1134" s="236"/>
      <c r="C1134" s="236"/>
      <c r="D1134" s="236"/>
    </row>
    <row r="1135" spans="2:4" ht="12.75" customHeight="1" x14ac:dyDescent="0.2">
      <c r="B1135" s="236"/>
      <c r="C1135" s="236"/>
      <c r="D1135" s="236"/>
    </row>
    <row r="1136" spans="2:4" ht="12.75" customHeight="1" x14ac:dyDescent="0.2">
      <c r="B1136" s="236"/>
      <c r="C1136" s="236"/>
      <c r="D1136" s="236"/>
    </row>
    <row r="1137" spans="2:4" ht="12.75" customHeight="1" x14ac:dyDescent="0.2">
      <c r="B1137" s="236"/>
      <c r="C1137" s="236"/>
      <c r="D1137" s="236"/>
    </row>
    <row r="1138" spans="2:4" ht="12.75" customHeight="1" x14ac:dyDescent="0.2">
      <c r="B1138" s="236"/>
      <c r="C1138" s="236"/>
      <c r="D1138" s="236"/>
    </row>
    <row r="1139" spans="2:4" ht="12.75" customHeight="1" x14ac:dyDescent="0.2">
      <c r="B1139" s="236"/>
      <c r="C1139" s="236"/>
      <c r="D1139" s="236"/>
    </row>
    <row r="1140" spans="2:4" ht="12.75" customHeight="1" x14ac:dyDescent="0.2">
      <c r="B1140" s="236"/>
      <c r="C1140" s="236"/>
      <c r="D1140" s="236"/>
    </row>
    <row r="1141" spans="2:4" ht="12.75" customHeight="1" x14ac:dyDescent="0.2">
      <c r="B1141" s="236"/>
      <c r="C1141" s="236"/>
      <c r="D1141" s="236"/>
    </row>
    <row r="1142" spans="2:4" ht="12.75" customHeight="1" x14ac:dyDescent="0.2">
      <c r="B1142" s="236"/>
      <c r="C1142" s="236"/>
      <c r="D1142" s="236"/>
    </row>
    <row r="1143" spans="2:4" ht="12.75" customHeight="1" x14ac:dyDescent="0.2">
      <c r="B1143" s="236"/>
      <c r="C1143" s="236"/>
      <c r="D1143" s="236"/>
    </row>
    <row r="1144" spans="2:4" ht="12.75" customHeight="1" x14ac:dyDescent="0.2">
      <c r="B1144" s="236"/>
      <c r="C1144" s="236"/>
      <c r="D1144" s="236"/>
    </row>
    <row r="1145" spans="2:4" ht="12.75" customHeight="1" x14ac:dyDescent="0.2">
      <c r="B1145" s="236"/>
      <c r="C1145" s="236"/>
      <c r="D1145" s="236"/>
    </row>
    <row r="1146" spans="2:4" ht="12.75" customHeight="1" x14ac:dyDescent="0.2">
      <c r="B1146" s="236"/>
      <c r="C1146" s="236"/>
      <c r="D1146" s="236"/>
    </row>
    <row r="1147" spans="2:4" ht="12.75" customHeight="1" x14ac:dyDescent="0.2">
      <c r="B1147" s="236"/>
      <c r="C1147" s="236"/>
      <c r="D1147" s="236"/>
    </row>
    <row r="1148" spans="2:4" ht="12.75" customHeight="1" x14ac:dyDescent="0.2">
      <c r="B1148" s="236"/>
      <c r="C1148" s="236"/>
      <c r="D1148" s="236"/>
    </row>
    <row r="1149" spans="2:4" ht="12.75" customHeight="1" x14ac:dyDescent="0.2">
      <c r="B1149" s="236"/>
      <c r="C1149" s="236"/>
      <c r="D1149" s="236"/>
    </row>
    <row r="1150" spans="2:4" ht="12.75" customHeight="1" x14ac:dyDescent="0.2">
      <c r="B1150" s="236"/>
      <c r="C1150" s="236"/>
      <c r="D1150" s="236"/>
    </row>
    <row r="1151" spans="2:4" ht="12.75" customHeight="1" x14ac:dyDescent="0.2">
      <c r="B1151" s="236"/>
      <c r="C1151" s="236"/>
      <c r="D1151" s="236"/>
    </row>
    <row r="1152" spans="2:4" ht="12.75" customHeight="1" x14ac:dyDescent="0.2">
      <c r="B1152" s="236"/>
      <c r="C1152" s="236"/>
      <c r="D1152" s="236"/>
    </row>
    <row r="1153" spans="2:4" ht="12.75" customHeight="1" x14ac:dyDescent="0.2">
      <c r="B1153" s="236"/>
      <c r="C1153" s="236"/>
      <c r="D1153" s="236"/>
    </row>
    <row r="1154" spans="2:4" ht="12.75" customHeight="1" x14ac:dyDescent="0.2">
      <c r="B1154" s="236"/>
      <c r="C1154" s="236"/>
      <c r="D1154" s="236"/>
    </row>
    <row r="1155" spans="2:4" ht="12.75" customHeight="1" x14ac:dyDescent="0.2">
      <c r="B1155" s="236"/>
      <c r="C1155" s="236"/>
      <c r="D1155" s="236"/>
    </row>
    <row r="1156" spans="2:4" ht="12.75" customHeight="1" x14ac:dyDescent="0.2">
      <c r="B1156" s="236"/>
      <c r="C1156" s="236"/>
      <c r="D1156" s="236"/>
    </row>
    <row r="1157" spans="2:4" ht="12.75" customHeight="1" x14ac:dyDescent="0.2">
      <c r="B1157" s="236"/>
      <c r="C1157" s="236"/>
      <c r="D1157" s="236"/>
    </row>
    <row r="1158" spans="2:4" x14ac:dyDescent="0.2">
      <c r="B1158" s="236"/>
      <c r="C1158" s="236"/>
      <c r="D1158" s="236"/>
    </row>
    <row r="1159" spans="2:4" ht="12.75" customHeight="1" x14ac:dyDescent="0.2">
      <c r="B1159" s="236"/>
      <c r="C1159" s="236"/>
      <c r="D1159" s="236"/>
    </row>
    <row r="1160" spans="2:4" ht="12.75" customHeight="1" x14ac:dyDescent="0.2">
      <c r="B1160" s="236"/>
      <c r="C1160" s="236"/>
      <c r="D1160" s="236"/>
    </row>
    <row r="1161" spans="2:4" x14ac:dyDescent="0.2">
      <c r="B1161" s="236"/>
      <c r="C1161" s="236"/>
      <c r="D1161" s="236"/>
    </row>
    <row r="1162" spans="2:4" ht="12.75" customHeight="1" x14ac:dyDescent="0.2">
      <c r="B1162" s="236"/>
      <c r="C1162" s="236"/>
      <c r="D1162" s="236"/>
    </row>
    <row r="1163" spans="2:4" x14ac:dyDescent="0.2">
      <c r="B1163" s="236"/>
      <c r="C1163" s="236"/>
      <c r="D1163" s="236"/>
    </row>
    <row r="1164" spans="2:4" ht="12.75" customHeight="1" x14ac:dyDescent="0.2">
      <c r="B1164" s="236"/>
      <c r="C1164" s="236"/>
      <c r="D1164" s="236"/>
    </row>
    <row r="1165" spans="2:4" x14ac:dyDescent="0.2">
      <c r="B1165" s="236"/>
      <c r="C1165" s="236"/>
      <c r="D1165" s="236"/>
    </row>
    <row r="1166" spans="2:4" ht="12.75" customHeight="1" x14ac:dyDescent="0.2">
      <c r="B1166" s="236"/>
      <c r="C1166" s="236"/>
      <c r="D1166" s="236"/>
    </row>
    <row r="1167" spans="2:4" ht="12.75" customHeight="1" x14ac:dyDescent="0.2">
      <c r="B1167" s="236"/>
      <c r="C1167" s="236"/>
      <c r="D1167" s="236"/>
    </row>
    <row r="1168" spans="2:4" ht="12.75" customHeight="1" x14ac:dyDescent="0.2">
      <c r="B1168" s="236"/>
      <c r="C1168" s="236"/>
      <c r="D1168" s="236"/>
    </row>
    <row r="1169" spans="2:4" ht="12.75" customHeight="1" x14ac:dyDescent="0.2">
      <c r="B1169" s="236"/>
      <c r="C1169" s="236"/>
      <c r="D1169" s="236"/>
    </row>
    <row r="1170" spans="2:4" ht="12.75" customHeight="1" x14ac:dyDescent="0.2">
      <c r="B1170" s="236"/>
      <c r="C1170" s="236"/>
      <c r="D1170" s="236"/>
    </row>
    <row r="1171" spans="2:4" x14ac:dyDescent="0.2">
      <c r="B1171" s="236"/>
      <c r="C1171" s="236"/>
      <c r="D1171" s="236"/>
    </row>
    <row r="1172" spans="2:4" ht="12.75" customHeight="1" x14ac:dyDescent="0.2">
      <c r="B1172" s="236"/>
      <c r="C1172" s="236"/>
      <c r="D1172" s="236"/>
    </row>
    <row r="1173" spans="2:4" ht="12.75" customHeight="1" x14ac:dyDescent="0.2">
      <c r="B1173" s="236"/>
      <c r="C1173" s="236"/>
      <c r="D1173" s="236"/>
    </row>
    <row r="1174" spans="2:4" ht="12.75" customHeight="1" x14ac:dyDescent="0.2">
      <c r="B1174" s="236"/>
      <c r="C1174" s="236"/>
      <c r="D1174" s="236"/>
    </row>
    <row r="1175" spans="2:4" ht="12.75" customHeight="1" x14ac:dyDescent="0.2">
      <c r="B1175" s="236"/>
      <c r="C1175" s="236"/>
      <c r="D1175" s="236"/>
    </row>
    <row r="1176" spans="2:4" ht="12.75" customHeight="1" x14ac:dyDescent="0.2">
      <c r="B1176" s="236"/>
      <c r="C1176" s="236"/>
      <c r="D1176" s="236"/>
    </row>
    <row r="1177" spans="2:4" x14ac:dyDescent="0.2">
      <c r="B1177" s="236"/>
      <c r="C1177" s="236"/>
      <c r="D1177" s="236"/>
    </row>
    <row r="1178" spans="2:4" ht="12.75" customHeight="1" x14ac:dyDescent="0.2">
      <c r="B1178" s="236"/>
      <c r="C1178" s="236"/>
      <c r="D1178" s="236"/>
    </row>
    <row r="1179" spans="2:4" x14ac:dyDescent="0.2">
      <c r="B1179" s="236"/>
      <c r="C1179" s="236"/>
      <c r="D1179" s="236"/>
    </row>
    <row r="1180" spans="2:4" ht="12.75" customHeight="1" x14ac:dyDescent="0.2">
      <c r="B1180" s="236"/>
      <c r="C1180" s="236"/>
      <c r="D1180" s="236"/>
    </row>
    <row r="1181" spans="2:4" ht="12.75" customHeight="1" x14ac:dyDescent="0.2">
      <c r="B1181" s="236"/>
      <c r="C1181" s="236"/>
      <c r="D1181" s="236"/>
    </row>
    <row r="1182" spans="2:4" ht="12.75" customHeight="1" x14ac:dyDescent="0.2">
      <c r="B1182" s="236"/>
      <c r="C1182" s="236"/>
      <c r="D1182" s="236"/>
    </row>
    <row r="1183" spans="2:4" ht="12.75" customHeight="1" x14ac:dyDescent="0.2">
      <c r="B1183" s="236"/>
      <c r="C1183" s="236"/>
      <c r="D1183" s="236"/>
    </row>
    <row r="1184" spans="2:4" ht="12.75" customHeight="1" x14ac:dyDescent="0.2">
      <c r="B1184" s="236"/>
      <c r="C1184" s="236"/>
      <c r="D1184" s="236"/>
    </row>
    <row r="1185" spans="2:4" ht="12.75" customHeight="1" x14ac:dyDescent="0.2">
      <c r="B1185" s="236"/>
      <c r="C1185" s="236"/>
      <c r="D1185" s="236"/>
    </row>
    <row r="1186" spans="2:4" ht="12.75" customHeight="1" x14ac:dyDescent="0.2">
      <c r="B1186" s="236"/>
      <c r="C1186" s="236"/>
      <c r="D1186" s="236"/>
    </row>
    <row r="1187" spans="2:4" x14ac:dyDescent="0.2">
      <c r="B1187" s="236"/>
      <c r="C1187" s="236"/>
      <c r="D1187" s="236"/>
    </row>
    <row r="1188" spans="2:4" ht="12.75" customHeight="1" x14ac:dyDescent="0.2">
      <c r="B1188" s="236"/>
      <c r="C1188" s="236"/>
      <c r="D1188" s="236"/>
    </row>
    <row r="1189" spans="2:4" ht="12.75" customHeight="1" x14ac:dyDescent="0.2">
      <c r="B1189" s="236"/>
      <c r="C1189" s="236"/>
      <c r="D1189" s="236"/>
    </row>
    <row r="1190" spans="2:4" ht="12.75" customHeight="1" x14ac:dyDescent="0.2">
      <c r="B1190" s="236"/>
      <c r="C1190" s="236"/>
      <c r="D1190" s="236"/>
    </row>
    <row r="1191" spans="2:4" ht="12.75" customHeight="1" x14ac:dyDescent="0.2">
      <c r="B1191" s="236"/>
      <c r="C1191" s="236"/>
      <c r="D1191" s="236"/>
    </row>
    <row r="1192" spans="2:4" ht="12.75" customHeight="1" x14ac:dyDescent="0.2">
      <c r="B1192" s="236"/>
      <c r="C1192" s="236"/>
      <c r="D1192" s="236"/>
    </row>
    <row r="1193" spans="2:4" ht="12.75" customHeight="1" x14ac:dyDescent="0.2">
      <c r="B1193" s="236"/>
      <c r="C1193" s="236"/>
      <c r="D1193" s="236"/>
    </row>
    <row r="1194" spans="2:4" ht="12.75" customHeight="1" x14ac:dyDescent="0.2">
      <c r="B1194" s="236"/>
      <c r="C1194" s="236"/>
      <c r="D1194" s="236"/>
    </row>
    <row r="1195" spans="2:4" ht="12.75" customHeight="1" x14ac:dyDescent="0.2">
      <c r="B1195" s="236"/>
      <c r="C1195" s="236"/>
      <c r="D1195" s="236"/>
    </row>
    <row r="1196" spans="2:4" ht="12.75" customHeight="1" x14ac:dyDescent="0.2">
      <c r="B1196" s="236"/>
      <c r="C1196" s="236"/>
      <c r="D1196" s="236"/>
    </row>
    <row r="1197" spans="2:4" ht="12.75" customHeight="1" x14ac:dyDescent="0.2">
      <c r="B1197" s="236"/>
      <c r="C1197" s="236"/>
      <c r="D1197" s="236"/>
    </row>
    <row r="1198" spans="2:4" ht="12.75" customHeight="1" x14ac:dyDescent="0.2">
      <c r="B1198" s="236"/>
      <c r="C1198" s="236"/>
      <c r="D1198" s="236"/>
    </row>
    <row r="1199" spans="2:4" x14ac:dyDescent="0.2">
      <c r="B1199" s="236"/>
      <c r="C1199" s="236"/>
      <c r="D1199" s="236"/>
    </row>
    <row r="1200" spans="2:4" ht="12.75" customHeight="1" x14ac:dyDescent="0.2">
      <c r="B1200" s="236"/>
      <c r="C1200" s="236"/>
      <c r="D1200" s="236"/>
    </row>
    <row r="1201" spans="2:4" ht="12.75" customHeight="1" x14ac:dyDescent="0.2">
      <c r="B1201" s="236"/>
      <c r="C1201" s="236"/>
      <c r="D1201" s="236"/>
    </row>
    <row r="1202" spans="2:4" ht="12.75" customHeight="1" x14ac:dyDescent="0.2">
      <c r="B1202" s="236"/>
      <c r="C1202" s="236"/>
      <c r="D1202" s="236"/>
    </row>
    <row r="1203" spans="2:4" ht="12.75" customHeight="1" x14ac:dyDescent="0.2">
      <c r="B1203" s="236"/>
      <c r="C1203" s="236"/>
      <c r="D1203" s="236"/>
    </row>
    <row r="1204" spans="2:4" ht="12.75" customHeight="1" x14ac:dyDescent="0.2">
      <c r="B1204" s="236"/>
      <c r="C1204" s="236"/>
      <c r="D1204" s="236"/>
    </row>
    <row r="1205" spans="2:4" ht="12.75" customHeight="1" x14ac:dyDescent="0.2">
      <c r="B1205" s="236"/>
      <c r="C1205" s="236"/>
      <c r="D1205" s="236"/>
    </row>
    <row r="1206" spans="2:4" ht="12.75" customHeight="1" x14ac:dyDescent="0.2">
      <c r="B1206" s="236"/>
      <c r="C1206" s="236"/>
      <c r="D1206" s="236"/>
    </row>
    <row r="1207" spans="2:4" ht="12.75" customHeight="1" x14ac:dyDescent="0.2">
      <c r="B1207" s="236"/>
      <c r="C1207" s="236"/>
      <c r="D1207" s="236"/>
    </row>
    <row r="1208" spans="2:4" ht="12.75" customHeight="1" x14ac:dyDescent="0.2">
      <c r="B1208" s="236"/>
      <c r="C1208" s="236"/>
      <c r="D1208" s="236"/>
    </row>
    <row r="1209" spans="2:4" ht="12.75" customHeight="1" x14ac:dyDescent="0.2">
      <c r="B1209" s="236"/>
      <c r="C1209" s="236"/>
      <c r="D1209" s="236"/>
    </row>
    <row r="1210" spans="2:4" x14ac:dyDescent="0.2">
      <c r="B1210" s="236"/>
      <c r="C1210" s="236"/>
      <c r="D1210" s="236"/>
    </row>
    <row r="1211" spans="2:4" x14ac:dyDescent="0.2">
      <c r="B1211" s="236"/>
      <c r="C1211" s="236"/>
      <c r="D1211" s="236"/>
    </row>
    <row r="1212" spans="2:4" ht="12.75" customHeight="1" x14ac:dyDescent="0.2">
      <c r="B1212" s="236"/>
      <c r="C1212" s="236"/>
      <c r="D1212" s="236"/>
    </row>
    <row r="1213" spans="2:4" ht="12.75" customHeight="1" x14ac:dyDescent="0.2">
      <c r="B1213" s="236"/>
      <c r="C1213" s="236"/>
      <c r="D1213" s="236"/>
    </row>
    <row r="1214" spans="2:4" x14ac:dyDescent="0.2">
      <c r="B1214" s="236"/>
      <c r="C1214" s="236"/>
      <c r="D1214" s="236"/>
    </row>
    <row r="1215" spans="2:4" ht="12.75" customHeight="1" x14ac:dyDescent="0.2">
      <c r="B1215" s="236"/>
      <c r="C1215" s="236"/>
      <c r="D1215" s="236"/>
    </row>
    <row r="1216" spans="2:4" x14ac:dyDescent="0.2">
      <c r="B1216" s="236"/>
      <c r="C1216" s="236"/>
      <c r="D1216" s="236"/>
    </row>
    <row r="1217" spans="2:4" ht="12.75" customHeight="1" x14ac:dyDescent="0.2">
      <c r="B1217" s="236"/>
      <c r="C1217" s="236"/>
      <c r="D1217" s="236"/>
    </row>
    <row r="1218" spans="2:4" ht="12.75" customHeight="1" x14ac:dyDescent="0.2">
      <c r="B1218" s="236"/>
      <c r="C1218" s="236"/>
      <c r="D1218" s="236"/>
    </row>
    <row r="1219" spans="2:4" ht="12.75" customHeight="1" x14ac:dyDescent="0.2">
      <c r="B1219" s="236"/>
      <c r="C1219" s="236"/>
      <c r="D1219" s="236"/>
    </row>
    <row r="1220" spans="2:4" x14ac:dyDescent="0.2">
      <c r="B1220" s="236"/>
      <c r="C1220" s="236"/>
      <c r="D1220" s="236"/>
    </row>
    <row r="1221" spans="2:4" ht="12.75" customHeight="1" x14ac:dyDescent="0.2">
      <c r="B1221" s="236"/>
      <c r="C1221" s="236"/>
      <c r="D1221" s="236"/>
    </row>
    <row r="1222" spans="2:4" x14ac:dyDescent="0.2">
      <c r="B1222" s="236"/>
      <c r="C1222" s="236"/>
      <c r="D1222" s="236"/>
    </row>
    <row r="1223" spans="2:4" ht="12.75" customHeight="1" x14ac:dyDescent="0.2">
      <c r="B1223" s="236"/>
      <c r="C1223" s="236"/>
      <c r="D1223" s="236"/>
    </row>
    <row r="1224" spans="2:4" x14ac:dyDescent="0.2">
      <c r="B1224" s="236"/>
      <c r="C1224" s="236"/>
      <c r="D1224" s="236"/>
    </row>
    <row r="1225" spans="2:4" ht="12.75" customHeight="1" x14ac:dyDescent="0.2">
      <c r="B1225" s="236"/>
      <c r="C1225" s="236"/>
      <c r="D1225" s="236"/>
    </row>
    <row r="1226" spans="2:4" x14ac:dyDescent="0.2">
      <c r="B1226" s="236"/>
      <c r="C1226" s="236"/>
      <c r="D1226" s="236"/>
    </row>
    <row r="1227" spans="2:4" x14ac:dyDescent="0.2">
      <c r="B1227" s="236"/>
      <c r="C1227" s="236"/>
      <c r="D1227" s="236"/>
    </row>
    <row r="1228" spans="2:4" ht="12.75" customHeight="1" x14ac:dyDescent="0.2">
      <c r="B1228" s="236"/>
      <c r="C1228" s="236"/>
      <c r="D1228" s="236"/>
    </row>
    <row r="1229" spans="2:4" ht="12.75" customHeight="1" x14ac:dyDescent="0.2">
      <c r="B1229" s="236"/>
      <c r="C1229" s="236"/>
      <c r="D1229" s="236"/>
    </row>
    <row r="1230" spans="2:4" x14ac:dyDescent="0.2">
      <c r="B1230" s="236"/>
      <c r="C1230" s="236"/>
      <c r="D1230" s="236"/>
    </row>
    <row r="1231" spans="2:4" ht="12.75" customHeight="1" x14ac:dyDescent="0.2">
      <c r="B1231" s="236"/>
      <c r="C1231" s="236"/>
      <c r="D1231" s="236"/>
    </row>
    <row r="1232" spans="2:4" ht="12.75" customHeight="1" x14ac:dyDescent="0.2">
      <c r="B1232" s="236"/>
      <c r="C1232" s="236"/>
      <c r="D1232" s="236"/>
    </row>
    <row r="1233" spans="2:4" ht="12.75" customHeight="1" x14ac:dyDescent="0.2">
      <c r="B1233" s="236"/>
      <c r="C1233" s="236"/>
      <c r="D1233" s="236"/>
    </row>
    <row r="1234" spans="2:4" ht="12.75" customHeight="1" x14ac:dyDescent="0.2">
      <c r="B1234" s="236"/>
      <c r="C1234" s="236"/>
      <c r="D1234" s="236"/>
    </row>
    <row r="1235" spans="2:4" ht="12.75" customHeight="1" x14ac:dyDescent="0.2">
      <c r="B1235" s="236"/>
      <c r="C1235" s="236"/>
      <c r="D1235" s="236"/>
    </row>
    <row r="1236" spans="2:4" ht="12.75" customHeight="1" x14ac:dyDescent="0.2">
      <c r="B1236" s="236"/>
      <c r="C1236" s="236"/>
      <c r="D1236" s="236"/>
    </row>
    <row r="1237" spans="2:4" ht="12.75" customHeight="1" x14ac:dyDescent="0.2">
      <c r="B1237" s="236"/>
      <c r="C1237" s="236"/>
      <c r="D1237" s="236"/>
    </row>
    <row r="1238" spans="2:4" ht="12.75" customHeight="1" x14ac:dyDescent="0.2">
      <c r="B1238" s="236"/>
      <c r="C1238" s="236"/>
      <c r="D1238" s="236"/>
    </row>
    <row r="1239" spans="2:4" ht="12.75" customHeight="1" x14ac:dyDescent="0.2">
      <c r="B1239" s="236"/>
      <c r="C1239" s="236"/>
      <c r="D1239" s="236"/>
    </row>
    <row r="1240" spans="2:4" ht="12.75" customHeight="1" x14ac:dyDescent="0.2">
      <c r="B1240" s="236"/>
      <c r="C1240" s="236"/>
      <c r="D1240" s="236"/>
    </row>
    <row r="1241" spans="2:4" ht="12.75" customHeight="1" x14ac:dyDescent="0.2">
      <c r="B1241" s="236"/>
      <c r="C1241" s="236"/>
      <c r="D1241" s="236"/>
    </row>
    <row r="1242" spans="2:4" ht="12.75" customHeight="1" x14ac:dyDescent="0.2">
      <c r="B1242" s="236"/>
      <c r="C1242" s="236"/>
      <c r="D1242" s="236"/>
    </row>
    <row r="1243" spans="2:4" ht="12.75" customHeight="1" x14ac:dyDescent="0.2">
      <c r="B1243" s="236"/>
      <c r="C1243" s="236"/>
      <c r="D1243" s="236"/>
    </row>
    <row r="1244" spans="2:4" ht="12.75" customHeight="1" x14ac:dyDescent="0.2">
      <c r="B1244" s="236"/>
      <c r="C1244" s="236"/>
      <c r="D1244" s="236"/>
    </row>
    <row r="1245" spans="2:4" ht="12.75" customHeight="1" x14ac:dyDescent="0.2">
      <c r="B1245" s="236"/>
      <c r="C1245" s="236"/>
      <c r="D1245" s="236"/>
    </row>
    <row r="1246" spans="2:4" x14ac:dyDescent="0.2">
      <c r="B1246" s="236"/>
      <c r="C1246" s="236"/>
      <c r="D1246" s="236"/>
    </row>
    <row r="1247" spans="2:4" ht="12.75" customHeight="1" x14ac:dyDescent="0.2">
      <c r="B1247" s="236"/>
      <c r="C1247" s="236"/>
      <c r="D1247" s="236"/>
    </row>
    <row r="1248" spans="2:4" ht="12.75" customHeight="1" x14ac:dyDescent="0.2">
      <c r="B1248" s="236"/>
      <c r="C1248" s="236"/>
      <c r="D1248" s="236"/>
    </row>
    <row r="1249" spans="2:4" ht="12.75" customHeight="1" x14ac:dyDescent="0.2">
      <c r="B1249" s="236"/>
      <c r="C1249" s="236"/>
      <c r="D1249" s="236"/>
    </row>
    <row r="1250" spans="2:4" ht="12.75" customHeight="1" x14ac:dyDescent="0.2">
      <c r="B1250" s="236"/>
      <c r="C1250" s="236"/>
      <c r="D1250" s="236"/>
    </row>
    <row r="1251" spans="2:4" ht="12.75" customHeight="1" x14ac:dyDescent="0.2">
      <c r="B1251" s="236"/>
      <c r="C1251" s="236"/>
      <c r="D1251" s="236"/>
    </row>
    <row r="1252" spans="2:4" ht="12.75" customHeight="1" x14ac:dyDescent="0.2">
      <c r="B1252" s="236"/>
      <c r="C1252" s="236"/>
      <c r="D1252" s="236"/>
    </row>
    <row r="1253" spans="2:4" ht="12.75" customHeight="1" x14ac:dyDescent="0.2">
      <c r="B1253" s="236"/>
      <c r="C1253" s="236"/>
      <c r="D1253" s="236"/>
    </row>
    <row r="1254" spans="2:4" ht="12.75" customHeight="1" x14ac:dyDescent="0.2">
      <c r="B1254" s="236"/>
      <c r="C1254" s="236"/>
      <c r="D1254" s="236"/>
    </row>
    <row r="1255" spans="2:4" ht="12.75" customHeight="1" x14ac:dyDescent="0.2">
      <c r="B1255" s="236"/>
      <c r="C1255" s="236"/>
      <c r="D1255" s="236"/>
    </row>
    <row r="1256" spans="2:4" ht="12.75" customHeight="1" x14ac:dyDescent="0.2">
      <c r="B1256" s="236"/>
      <c r="C1256" s="236"/>
      <c r="D1256" s="236"/>
    </row>
    <row r="1257" spans="2:4" ht="12.75" customHeight="1" x14ac:dyDescent="0.2">
      <c r="B1257" s="236"/>
      <c r="C1257" s="236"/>
      <c r="D1257" s="236"/>
    </row>
    <row r="1258" spans="2:4" ht="12.75" customHeight="1" x14ac:dyDescent="0.2">
      <c r="B1258" s="236"/>
      <c r="C1258" s="236"/>
      <c r="D1258" s="236"/>
    </row>
    <row r="1259" spans="2:4" ht="12.75" customHeight="1" x14ac:dyDescent="0.2">
      <c r="B1259" s="236"/>
      <c r="C1259" s="236"/>
      <c r="D1259" s="236"/>
    </row>
    <row r="1260" spans="2:4" ht="12.75" customHeight="1" x14ac:dyDescent="0.2">
      <c r="B1260" s="236"/>
      <c r="C1260" s="236"/>
      <c r="D1260" s="236"/>
    </row>
    <row r="1261" spans="2:4" x14ac:dyDescent="0.2">
      <c r="B1261" s="236"/>
      <c r="C1261" s="236"/>
      <c r="D1261" s="236"/>
    </row>
    <row r="1262" spans="2:4" ht="12.75" customHeight="1" x14ac:dyDescent="0.2">
      <c r="B1262" s="236"/>
      <c r="C1262" s="236"/>
      <c r="D1262" s="236"/>
    </row>
    <row r="1263" spans="2:4" ht="12.75" customHeight="1" x14ac:dyDescent="0.2">
      <c r="B1263" s="236"/>
      <c r="C1263" s="236"/>
      <c r="D1263" s="236"/>
    </row>
    <row r="1264" spans="2:4" ht="12.75" customHeight="1" x14ac:dyDescent="0.2">
      <c r="B1264" s="236"/>
      <c r="C1264" s="236"/>
      <c r="D1264" s="236"/>
    </row>
    <row r="1265" spans="2:4" x14ac:dyDescent="0.2">
      <c r="B1265" s="236"/>
      <c r="C1265" s="236"/>
      <c r="D1265" s="236"/>
    </row>
    <row r="1266" spans="2:4" ht="12.75" customHeight="1" x14ac:dyDescent="0.2">
      <c r="B1266" s="236"/>
      <c r="C1266" s="236"/>
      <c r="D1266" s="236"/>
    </row>
    <row r="1267" spans="2:4" ht="12.75" customHeight="1" x14ac:dyDescent="0.2">
      <c r="B1267" s="236"/>
      <c r="C1267" s="236"/>
      <c r="D1267" s="236"/>
    </row>
    <row r="1268" spans="2:4" ht="12.75" customHeight="1" x14ac:dyDescent="0.2">
      <c r="B1268" s="236"/>
      <c r="C1268" s="236"/>
      <c r="D1268" s="236"/>
    </row>
    <row r="1269" spans="2:4" x14ac:dyDescent="0.2">
      <c r="B1269" s="236"/>
      <c r="C1269" s="236"/>
      <c r="D1269" s="236"/>
    </row>
    <row r="1270" spans="2:4" x14ac:dyDescent="0.2">
      <c r="B1270" s="236"/>
      <c r="C1270" s="236"/>
      <c r="D1270" s="236"/>
    </row>
    <row r="1271" spans="2:4" ht="12.75" customHeight="1" x14ac:dyDescent="0.2">
      <c r="B1271" s="236"/>
      <c r="C1271" s="236"/>
      <c r="D1271" s="236"/>
    </row>
    <row r="1272" spans="2:4" x14ac:dyDescent="0.2">
      <c r="B1272" s="236"/>
      <c r="C1272" s="236"/>
      <c r="D1272" s="236"/>
    </row>
    <row r="1273" spans="2:4" ht="12.75" customHeight="1" x14ac:dyDescent="0.2">
      <c r="B1273" s="236"/>
      <c r="C1273" s="236"/>
      <c r="D1273" s="236"/>
    </row>
    <row r="1274" spans="2:4" ht="12.75" customHeight="1" x14ac:dyDescent="0.2">
      <c r="B1274" s="236"/>
      <c r="C1274" s="236"/>
      <c r="D1274" s="236"/>
    </row>
    <row r="1275" spans="2:4" ht="12.75" customHeight="1" x14ac:dyDescent="0.2">
      <c r="B1275" s="236"/>
      <c r="C1275" s="236"/>
      <c r="D1275" s="236"/>
    </row>
    <row r="1276" spans="2:4" ht="12.75" customHeight="1" x14ac:dyDescent="0.2">
      <c r="B1276" s="236"/>
      <c r="C1276" s="236"/>
      <c r="D1276" s="236"/>
    </row>
    <row r="1277" spans="2:4" x14ac:dyDescent="0.2">
      <c r="B1277" s="236"/>
      <c r="C1277" s="236"/>
      <c r="D1277" s="236"/>
    </row>
    <row r="1278" spans="2:4" ht="12.75" customHeight="1" x14ac:dyDescent="0.2">
      <c r="B1278" s="236"/>
      <c r="C1278" s="236"/>
      <c r="D1278" s="236"/>
    </row>
    <row r="1279" spans="2:4" ht="12.75" customHeight="1" x14ac:dyDescent="0.2">
      <c r="B1279" s="236"/>
      <c r="C1279" s="236"/>
      <c r="D1279" s="236"/>
    </row>
    <row r="1280" spans="2:4" ht="12.75" customHeight="1" x14ac:dyDescent="0.2">
      <c r="B1280" s="236"/>
      <c r="C1280" s="236"/>
      <c r="D1280" s="236"/>
    </row>
    <row r="1281" spans="2:4" ht="12.75" customHeight="1" x14ac:dyDescent="0.2">
      <c r="B1281" s="236"/>
      <c r="C1281" s="236"/>
      <c r="D1281" s="236"/>
    </row>
    <row r="1282" spans="2:4" ht="12.75" customHeight="1" x14ac:dyDescent="0.2">
      <c r="B1282" s="236"/>
      <c r="C1282" s="236"/>
      <c r="D1282" s="236"/>
    </row>
    <row r="1283" spans="2:4" ht="12.75" customHeight="1" x14ac:dyDescent="0.2">
      <c r="B1283" s="236"/>
      <c r="C1283" s="236"/>
      <c r="D1283" s="236"/>
    </row>
    <row r="1284" spans="2:4" ht="12.75" customHeight="1" x14ac:dyDescent="0.2">
      <c r="B1284" s="236"/>
      <c r="C1284" s="236"/>
      <c r="D1284" s="236"/>
    </row>
    <row r="1285" spans="2:4" ht="12.75" customHeight="1" x14ac:dyDescent="0.2">
      <c r="B1285" s="236"/>
      <c r="C1285" s="236"/>
      <c r="D1285" s="236"/>
    </row>
    <row r="1286" spans="2:4" ht="12.75" customHeight="1" x14ac:dyDescent="0.2">
      <c r="B1286" s="236"/>
      <c r="C1286" s="236"/>
      <c r="D1286" s="236"/>
    </row>
    <row r="1287" spans="2:4" ht="12.75" customHeight="1" x14ac:dyDescent="0.2">
      <c r="B1287" s="236"/>
      <c r="C1287" s="236"/>
      <c r="D1287" s="236"/>
    </row>
    <row r="1288" spans="2:4" ht="12.75" customHeight="1" x14ac:dyDescent="0.2">
      <c r="B1288" s="236"/>
      <c r="C1288" s="236"/>
      <c r="D1288" s="236"/>
    </row>
    <row r="1289" spans="2:4" ht="12.75" customHeight="1" x14ac:dyDescent="0.2">
      <c r="B1289" s="236"/>
      <c r="C1289" s="236"/>
      <c r="D1289" s="236"/>
    </row>
    <row r="1290" spans="2:4" ht="12.75" customHeight="1" x14ac:dyDescent="0.2">
      <c r="B1290" s="236"/>
      <c r="C1290" s="236"/>
      <c r="D1290" s="236"/>
    </row>
    <row r="1291" spans="2:4" ht="12.75" customHeight="1" x14ac:dyDescent="0.2">
      <c r="B1291" s="236"/>
      <c r="C1291" s="236"/>
      <c r="D1291" s="236"/>
    </row>
    <row r="1292" spans="2:4" ht="12.75" customHeight="1" x14ac:dyDescent="0.2">
      <c r="B1292" s="236"/>
      <c r="C1292" s="236"/>
      <c r="D1292" s="236"/>
    </row>
    <row r="1293" spans="2:4" ht="12.75" customHeight="1" x14ac:dyDescent="0.2">
      <c r="B1293" s="236"/>
      <c r="C1293" s="236"/>
      <c r="D1293" s="236"/>
    </row>
    <row r="1294" spans="2:4" ht="12.75" customHeight="1" x14ac:dyDescent="0.2">
      <c r="B1294" s="236"/>
      <c r="C1294" s="236"/>
      <c r="D1294" s="236"/>
    </row>
    <row r="1295" spans="2:4" x14ac:dyDescent="0.2">
      <c r="B1295" s="236"/>
      <c r="C1295" s="236"/>
      <c r="D1295" s="236"/>
    </row>
    <row r="1296" spans="2:4" ht="12.75" customHeight="1" x14ac:dyDescent="0.2">
      <c r="B1296" s="236"/>
      <c r="C1296" s="236"/>
      <c r="D1296" s="236"/>
    </row>
    <row r="1297" spans="2:4" x14ac:dyDescent="0.2">
      <c r="B1297" s="236"/>
      <c r="C1297" s="236"/>
      <c r="D1297" s="236"/>
    </row>
    <row r="1298" spans="2:4" ht="12.75" customHeight="1" x14ac:dyDescent="0.2">
      <c r="B1298" s="236"/>
      <c r="C1298" s="236"/>
      <c r="D1298" s="236"/>
    </row>
    <row r="1299" spans="2:4" ht="12.75" customHeight="1" x14ac:dyDescent="0.2">
      <c r="B1299" s="236"/>
      <c r="C1299" s="236"/>
      <c r="D1299" s="236"/>
    </row>
    <row r="1300" spans="2:4" x14ac:dyDescent="0.2">
      <c r="B1300" s="236"/>
      <c r="C1300" s="236"/>
      <c r="D1300" s="236"/>
    </row>
    <row r="1301" spans="2:4" ht="12.75" customHeight="1" x14ac:dyDescent="0.2">
      <c r="B1301" s="236"/>
      <c r="C1301" s="236"/>
      <c r="D1301" s="236"/>
    </row>
    <row r="1302" spans="2:4" ht="12.75" customHeight="1" x14ac:dyDescent="0.2">
      <c r="B1302" s="236"/>
      <c r="C1302" s="236"/>
      <c r="D1302" s="236"/>
    </row>
    <row r="1303" spans="2:4" ht="12.75" customHeight="1" x14ac:dyDescent="0.2">
      <c r="B1303" s="236"/>
      <c r="C1303" s="236"/>
      <c r="D1303" s="236"/>
    </row>
    <row r="1304" spans="2:4" ht="12.75" customHeight="1" x14ac:dyDescent="0.2">
      <c r="B1304" s="236"/>
      <c r="C1304" s="236"/>
      <c r="D1304" s="236"/>
    </row>
    <row r="1305" spans="2:4" x14ac:dyDescent="0.2">
      <c r="B1305" s="236"/>
      <c r="C1305" s="236"/>
      <c r="D1305" s="236"/>
    </row>
    <row r="1306" spans="2:4" ht="12.75" customHeight="1" x14ac:dyDescent="0.2">
      <c r="B1306" s="236"/>
      <c r="C1306" s="236"/>
      <c r="D1306" s="236"/>
    </row>
    <row r="1307" spans="2:4" x14ac:dyDescent="0.2">
      <c r="B1307" s="236"/>
      <c r="C1307" s="236"/>
      <c r="D1307" s="236"/>
    </row>
    <row r="1308" spans="2:4" ht="12.75" customHeight="1" x14ac:dyDescent="0.2">
      <c r="B1308" s="236"/>
      <c r="C1308" s="236"/>
      <c r="D1308" s="236"/>
    </row>
    <row r="1309" spans="2:4" x14ac:dyDescent="0.2">
      <c r="B1309" s="236"/>
      <c r="C1309" s="236"/>
      <c r="D1309" s="236"/>
    </row>
    <row r="1310" spans="2:4" ht="12.75" customHeight="1" x14ac:dyDescent="0.2">
      <c r="B1310" s="236"/>
      <c r="C1310" s="236"/>
      <c r="D1310" s="236"/>
    </row>
    <row r="1311" spans="2:4" x14ac:dyDescent="0.2">
      <c r="B1311" s="236"/>
      <c r="C1311" s="236"/>
      <c r="D1311" s="236"/>
    </row>
    <row r="1312" spans="2:4" ht="12.75" customHeight="1" x14ac:dyDescent="0.2">
      <c r="B1312" s="236"/>
      <c r="C1312" s="236"/>
      <c r="D1312" s="236"/>
    </row>
    <row r="1313" spans="2:4" x14ac:dyDescent="0.2">
      <c r="B1313" s="236"/>
      <c r="C1313" s="236"/>
      <c r="D1313" s="236"/>
    </row>
    <row r="1314" spans="2:4" x14ac:dyDescent="0.2">
      <c r="B1314" s="236"/>
      <c r="C1314" s="236"/>
      <c r="D1314" s="236"/>
    </row>
    <row r="1315" spans="2:4" x14ac:dyDescent="0.2">
      <c r="B1315" s="236"/>
      <c r="C1315" s="236"/>
      <c r="D1315" s="236"/>
    </row>
    <row r="1316" spans="2:4" ht="12.75" customHeight="1" x14ac:dyDescent="0.2">
      <c r="B1316" s="236"/>
      <c r="C1316" s="236"/>
      <c r="D1316" s="236"/>
    </row>
    <row r="1317" spans="2:4" x14ac:dyDescent="0.2">
      <c r="B1317" s="236"/>
      <c r="C1317" s="236"/>
      <c r="D1317" s="236"/>
    </row>
    <row r="1318" spans="2:4" x14ac:dyDescent="0.2">
      <c r="B1318" s="236"/>
      <c r="C1318" s="236"/>
      <c r="D1318" s="236"/>
    </row>
    <row r="1319" spans="2:4" x14ac:dyDescent="0.2">
      <c r="B1319" s="236"/>
      <c r="C1319" s="236"/>
      <c r="D1319" s="236"/>
    </row>
    <row r="1320" spans="2:4" ht="12.75" customHeight="1" x14ac:dyDescent="0.2">
      <c r="B1320" s="236"/>
      <c r="C1320" s="236"/>
      <c r="D1320" s="236"/>
    </row>
    <row r="1321" spans="2:4" x14ac:dyDescent="0.2">
      <c r="B1321" s="236"/>
      <c r="C1321" s="236"/>
      <c r="D1321" s="236"/>
    </row>
    <row r="1322" spans="2:4" x14ac:dyDescent="0.2">
      <c r="B1322" s="236"/>
      <c r="C1322" s="236"/>
      <c r="D1322" s="236"/>
    </row>
    <row r="1323" spans="2:4" x14ac:dyDescent="0.2">
      <c r="B1323" s="236"/>
      <c r="C1323" s="236"/>
      <c r="D1323" s="236"/>
    </row>
    <row r="1324" spans="2:4" x14ac:dyDescent="0.2">
      <c r="B1324" s="236"/>
      <c r="C1324" s="236"/>
      <c r="D1324" s="236"/>
    </row>
    <row r="1325" spans="2:4" x14ac:dyDescent="0.2">
      <c r="B1325" s="236"/>
      <c r="C1325" s="236"/>
      <c r="D1325" s="236"/>
    </row>
    <row r="1326" spans="2:4" ht="12.75" customHeight="1" x14ac:dyDescent="0.2">
      <c r="B1326" s="236"/>
      <c r="C1326" s="236"/>
      <c r="D1326" s="236"/>
    </row>
    <row r="1327" spans="2:4" ht="12.75" customHeight="1" x14ac:dyDescent="0.2">
      <c r="B1327" s="236"/>
      <c r="C1327" s="236"/>
      <c r="D1327" s="236"/>
    </row>
    <row r="1328" spans="2:4" ht="12.75" customHeight="1" x14ac:dyDescent="0.2">
      <c r="B1328" s="236"/>
      <c r="C1328" s="236"/>
      <c r="D1328" s="236"/>
    </row>
    <row r="1329" spans="2:4" x14ac:dyDescent="0.2">
      <c r="B1329" s="236"/>
      <c r="C1329" s="236"/>
      <c r="D1329" s="236"/>
    </row>
    <row r="1330" spans="2:4" x14ac:dyDescent="0.2">
      <c r="B1330" s="236"/>
      <c r="C1330" s="236"/>
      <c r="D1330" s="236"/>
    </row>
    <row r="1331" spans="2:4" ht="12.75" customHeight="1" x14ac:dyDescent="0.2">
      <c r="B1331" s="236"/>
      <c r="C1331" s="236"/>
      <c r="D1331" s="236"/>
    </row>
    <row r="1332" spans="2:4" ht="12.75" customHeight="1" x14ac:dyDescent="0.2">
      <c r="B1332" s="236"/>
      <c r="C1332" s="236"/>
      <c r="D1332" s="236"/>
    </row>
    <row r="1333" spans="2:4" ht="12.75" customHeight="1" x14ac:dyDescent="0.2">
      <c r="B1333" s="236"/>
      <c r="C1333" s="236"/>
      <c r="D1333" s="236"/>
    </row>
    <row r="1334" spans="2:4" ht="12.75" customHeight="1" x14ac:dyDescent="0.2">
      <c r="B1334" s="236"/>
      <c r="C1334" s="236"/>
      <c r="D1334" s="236"/>
    </row>
    <row r="1335" spans="2:4" ht="12.75" customHeight="1" x14ac:dyDescent="0.2">
      <c r="B1335" s="236"/>
      <c r="C1335" s="236"/>
      <c r="D1335" s="236"/>
    </row>
    <row r="1336" spans="2:4" ht="12.75" customHeight="1" x14ac:dyDescent="0.2">
      <c r="B1336" s="236"/>
      <c r="C1336" s="236"/>
      <c r="D1336" s="236"/>
    </row>
    <row r="1337" spans="2:4" ht="12.75" customHeight="1" x14ac:dyDescent="0.2">
      <c r="B1337" s="236"/>
      <c r="C1337" s="236"/>
      <c r="D1337" s="236"/>
    </row>
    <row r="1338" spans="2:4" ht="12.75" customHeight="1" x14ac:dyDescent="0.2">
      <c r="B1338" s="236"/>
      <c r="C1338" s="236"/>
      <c r="D1338" s="236"/>
    </row>
    <row r="1339" spans="2:4" x14ac:dyDescent="0.2">
      <c r="B1339" s="236"/>
      <c r="C1339" s="236"/>
      <c r="D1339" s="236"/>
    </row>
    <row r="1340" spans="2:4" x14ac:dyDescent="0.2">
      <c r="B1340" s="236"/>
      <c r="C1340" s="236"/>
      <c r="D1340" s="236"/>
    </row>
    <row r="1341" spans="2:4" ht="12.75" customHeight="1" x14ac:dyDescent="0.2">
      <c r="B1341" s="236"/>
      <c r="C1341" s="236"/>
      <c r="D1341" s="236"/>
    </row>
    <row r="1342" spans="2:4" ht="12.75" customHeight="1" x14ac:dyDescent="0.2">
      <c r="B1342" s="236"/>
      <c r="C1342" s="236"/>
      <c r="D1342" s="236"/>
    </row>
    <row r="1343" spans="2:4" ht="12.75" customHeight="1" x14ac:dyDescent="0.2">
      <c r="B1343" s="236"/>
      <c r="C1343" s="236"/>
      <c r="D1343" s="236"/>
    </row>
    <row r="1344" spans="2:4" ht="12.75" customHeight="1" x14ac:dyDescent="0.2">
      <c r="B1344" s="236"/>
      <c r="C1344" s="236"/>
      <c r="D1344" s="236"/>
    </row>
    <row r="1345" spans="2:4" ht="12.75" customHeight="1" x14ac:dyDescent="0.2">
      <c r="B1345" s="236"/>
      <c r="C1345" s="236"/>
      <c r="D1345" s="236"/>
    </row>
    <row r="1346" spans="2:4" ht="12.75" customHeight="1" x14ac:dyDescent="0.2">
      <c r="B1346" s="236"/>
      <c r="C1346" s="236"/>
      <c r="D1346" s="236"/>
    </row>
    <row r="1347" spans="2:4" ht="12.75" customHeight="1" x14ac:dyDescent="0.2">
      <c r="B1347" s="236"/>
      <c r="C1347" s="236"/>
      <c r="D1347" s="236"/>
    </row>
    <row r="1348" spans="2:4" ht="12.75" customHeight="1" x14ac:dyDescent="0.2">
      <c r="B1348" s="236"/>
      <c r="C1348" s="236"/>
      <c r="D1348" s="236"/>
    </row>
    <row r="1349" spans="2:4" ht="12.75" customHeight="1" x14ac:dyDescent="0.2">
      <c r="B1349" s="236"/>
      <c r="C1349" s="236"/>
      <c r="D1349" s="236"/>
    </row>
    <row r="1350" spans="2:4" x14ac:dyDescent="0.2">
      <c r="B1350" s="236"/>
      <c r="C1350" s="236"/>
      <c r="D1350" s="236"/>
    </row>
    <row r="1351" spans="2:4" ht="12.75" customHeight="1" x14ac:dyDescent="0.2">
      <c r="B1351" s="236"/>
      <c r="C1351" s="236"/>
      <c r="D1351" s="236"/>
    </row>
    <row r="1352" spans="2:4" ht="12.75" customHeight="1" x14ac:dyDescent="0.2">
      <c r="B1352" s="236"/>
      <c r="C1352" s="236"/>
      <c r="D1352" s="236"/>
    </row>
    <row r="1353" spans="2:4" ht="12.75" customHeight="1" x14ac:dyDescent="0.2">
      <c r="B1353" s="236"/>
      <c r="C1353" s="236"/>
      <c r="D1353" s="236"/>
    </row>
    <row r="1354" spans="2:4" ht="12.75" customHeight="1" x14ac:dyDescent="0.2">
      <c r="B1354" s="236"/>
      <c r="C1354" s="236"/>
      <c r="D1354" s="236"/>
    </row>
    <row r="1355" spans="2:4" ht="12.75" customHeight="1" x14ac:dyDescent="0.2">
      <c r="B1355" s="236"/>
      <c r="C1355" s="236"/>
      <c r="D1355" s="236"/>
    </row>
    <row r="1356" spans="2:4" ht="12.75" customHeight="1" x14ac:dyDescent="0.2">
      <c r="B1356" s="236"/>
      <c r="C1356" s="236"/>
      <c r="D1356" s="236"/>
    </row>
    <row r="1357" spans="2:4" ht="12.75" customHeight="1" x14ac:dyDescent="0.2">
      <c r="B1357" s="236"/>
      <c r="C1357" s="236"/>
      <c r="D1357" s="236"/>
    </row>
    <row r="1358" spans="2:4" x14ac:dyDescent="0.2">
      <c r="B1358" s="236"/>
      <c r="C1358" s="236"/>
      <c r="D1358" s="236"/>
    </row>
    <row r="1359" spans="2:4" ht="12.75" customHeight="1" x14ac:dyDescent="0.2">
      <c r="B1359" s="236"/>
      <c r="C1359" s="236"/>
      <c r="D1359" s="236"/>
    </row>
    <row r="1360" spans="2:4" ht="12.75" customHeight="1" x14ac:dyDescent="0.2">
      <c r="B1360" s="236"/>
      <c r="C1360" s="236"/>
      <c r="D1360" s="236"/>
    </row>
    <row r="1361" spans="2:4" ht="12.75" customHeight="1" x14ac:dyDescent="0.2">
      <c r="B1361" s="236"/>
      <c r="C1361" s="236"/>
      <c r="D1361" s="236"/>
    </row>
    <row r="1362" spans="2:4" ht="12.75" customHeight="1" x14ac:dyDescent="0.2">
      <c r="B1362" s="236"/>
      <c r="C1362" s="236"/>
      <c r="D1362" s="236"/>
    </row>
    <row r="1363" spans="2:4" x14ac:dyDescent="0.2">
      <c r="B1363" s="236"/>
      <c r="C1363" s="236"/>
      <c r="D1363" s="236"/>
    </row>
    <row r="1364" spans="2:4" ht="12.75" customHeight="1" x14ac:dyDescent="0.2">
      <c r="B1364" s="236"/>
      <c r="C1364" s="236"/>
      <c r="D1364" s="236"/>
    </row>
    <row r="1365" spans="2:4" ht="12.75" customHeight="1" x14ac:dyDescent="0.2">
      <c r="B1365" s="236"/>
      <c r="C1365" s="236"/>
      <c r="D1365" s="236"/>
    </row>
    <row r="1366" spans="2:4" ht="12.75" customHeight="1" x14ac:dyDescent="0.2">
      <c r="B1366" s="236"/>
      <c r="C1366" s="236"/>
      <c r="D1366" s="236"/>
    </row>
    <row r="1367" spans="2:4" ht="12.75" customHeight="1" x14ac:dyDescent="0.2">
      <c r="B1367" s="236"/>
      <c r="C1367" s="236"/>
      <c r="D1367" s="236"/>
    </row>
    <row r="1368" spans="2:4" ht="12.75" customHeight="1" x14ac:dyDescent="0.2">
      <c r="B1368" s="236"/>
      <c r="C1368" s="236"/>
      <c r="D1368" s="236"/>
    </row>
    <row r="1369" spans="2:4" ht="12.75" customHeight="1" x14ac:dyDescent="0.2">
      <c r="B1369" s="236"/>
      <c r="C1369" s="236"/>
      <c r="D1369" s="236"/>
    </row>
    <row r="1370" spans="2:4" ht="12.75" customHeight="1" x14ac:dyDescent="0.2">
      <c r="B1370" s="236"/>
      <c r="C1370" s="236"/>
      <c r="D1370" s="236"/>
    </row>
    <row r="1371" spans="2:4" x14ac:dyDescent="0.2">
      <c r="B1371" s="236"/>
      <c r="C1371" s="236"/>
      <c r="D1371" s="236"/>
    </row>
    <row r="1372" spans="2:4" ht="12.75" customHeight="1" x14ac:dyDescent="0.2">
      <c r="B1372" s="236"/>
      <c r="C1372" s="236"/>
      <c r="D1372" s="236"/>
    </row>
    <row r="1373" spans="2:4" ht="12.75" customHeight="1" x14ac:dyDescent="0.2">
      <c r="B1373" s="236"/>
      <c r="C1373" s="236"/>
      <c r="D1373" s="236"/>
    </row>
    <row r="1374" spans="2:4" ht="12.75" customHeight="1" x14ac:dyDescent="0.2">
      <c r="B1374" s="236"/>
      <c r="C1374" s="236"/>
      <c r="D1374" s="236"/>
    </row>
    <row r="1375" spans="2:4" ht="12.75" customHeight="1" x14ac:dyDescent="0.2">
      <c r="B1375" s="236"/>
      <c r="C1375" s="236"/>
      <c r="D1375" s="236"/>
    </row>
    <row r="1376" spans="2:4" ht="12.75" customHeight="1" x14ac:dyDescent="0.2">
      <c r="B1376" s="236"/>
      <c r="C1376" s="236"/>
      <c r="D1376" s="236"/>
    </row>
    <row r="1377" spans="2:4" ht="12.75" customHeight="1" x14ac:dyDescent="0.2">
      <c r="B1377" s="236"/>
      <c r="C1377" s="236"/>
      <c r="D1377" s="236"/>
    </row>
    <row r="1378" spans="2:4" ht="12.75" customHeight="1" x14ac:dyDescent="0.2">
      <c r="B1378" s="236"/>
      <c r="C1378" s="236"/>
      <c r="D1378" s="236"/>
    </row>
    <row r="1379" spans="2:4" ht="12.75" customHeight="1" x14ac:dyDescent="0.2">
      <c r="B1379" s="236"/>
      <c r="C1379" s="236"/>
      <c r="D1379" s="236"/>
    </row>
    <row r="1380" spans="2:4" ht="12.75" customHeight="1" x14ac:dyDescent="0.2">
      <c r="B1380" s="236"/>
      <c r="C1380" s="236"/>
      <c r="D1380" s="236"/>
    </row>
    <row r="1381" spans="2:4" x14ac:dyDescent="0.2">
      <c r="B1381" s="236"/>
      <c r="C1381" s="236"/>
      <c r="D1381" s="236"/>
    </row>
    <row r="1382" spans="2:4" ht="12.75" customHeight="1" x14ac:dyDescent="0.2">
      <c r="B1382" s="236"/>
      <c r="C1382" s="236"/>
      <c r="D1382" s="236"/>
    </row>
    <row r="1383" spans="2:4" x14ac:dyDescent="0.2">
      <c r="B1383" s="236"/>
      <c r="C1383" s="236"/>
      <c r="D1383" s="236"/>
    </row>
    <row r="1384" spans="2:4" x14ac:dyDescent="0.2">
      <c r="B1384" s="236"/>
      <c r="C1384" s="236"/>
      <c r="D1384" s="236"/>
    </row>
    <row r="1385" spans="2:4" ht="12.75" customHeight="1" x14ac:dyDescent="0.2">
      <c r="B1385" s="236"/>
      <c r="C1385" s="236"/>
      <c r="D1385" s="236"/>
    </row>
    <row r="1386" spans="2:4" x14ac:dyDescent="0.2">
      <c r="B1386" s="236"/>
      <c r="C1386" s="236"/>
      <c r="D1386" s="236"/>
    </row>
    <row r="1387" spans="2:4" ht="12.75" customHeight="1" x14ac:dyDescent="0.2">
      <c r="B1387" s="236"/>
      <c r="C1387" s="236"/>
      <c r="D1387" s="236"/>
    </row>
    <row r="1388" spans="2:4" ht="12.75" customHeight="1" x14ac:dyDescent="0.2">
      <c r="B1388" s="236"/>
      <c r="C1388" s="236"/>
      <c r="D1388" s="236"/>
    </row>
    <row r="1389" spans="2:4" ht="12.75" customHeight="1" x14ac:dyDescent="0.2">
      <c r="B1389" s="236"/>
      <c r="C1389" s="236"/>
      <c r="D1389" s="236"/>
    </row>
    <row r="1390" spans="2:4" ht="12.75" customHeight="1" x14ac:dyDescent="0.2">
      <c r="B1390" s="236"/>
      <c r="C1390" s="236"/>
      <c r="D1390" s="236"/>
    </row>
    <row r="1391" spans="2:4" ht="12.75" customHeight="1" x14ac:dyDescent="0.2">
      <c r="B1391" s="236"/>
      <c r="C1391" s="236"/>
      <c r="D1391" s="236"/>
    </row>
    <row r="1392" spans="2:4" ht="12.75" customHeight="1" x14ac:dyDescent="0.2">
      <c r="B1392" s="236"/>
      <c r="C1392" s="236"/>
      <c r="D1392" s="236"/>
    </row>
    <row r="1393" spans="2:4" ht="12.75" customHeight="1" x14ac:dyDescent="0.2">
      <c r="B1393" s="236"/>
      <c r="C1393" s="236"/>
      <c r="D1393" s="236"/>
    </row>
    <row r="1394" spans="2:4" ht="12.75" customHeight="1" x14ac:dyDescent="0.2">
      <c r="B1394" s="236"/>
      <c r="C1394" s="236"/>
      <c r="D1394" s="236"/>
    </row>
    <row r="1395" spans="2:4" ht="12.75" customHeight="1" x14ac:dyDescent="0.2">
      <c r="B1395" s="236"/>
      <c r="C1395" s="236"/>
      <c r="D1395" s="236"/>
    </row>
    <row r="1396" spans="2:4" x14ac:dyDescent="0.2">
      <c r="B1396" s="236"/>
      <c r="C1396" s="236"/>
      <c r="D1396" s="236"/>
    </row>
    <row r="1397" spans="2:4" ht="12.75" customHeight="1" x14ac:dyDescent="0.2">
      <c r="B1397" s="236"/>
      <c r="C1397" s="236"/>
      <c r="D1397" s="236"/>
    </row>
    <row r="1398" spans="2:4" x14ac:dyDescent="0.2">
      <c r="B1398" s="236"/>
      <c r="C1398" s="236"/>
      <c r="D1398" s="236"/>
    </row>
    <row r="1399" spans="2:4" x14ac:dyDescent="0.2">
      <c r="B1399" s="236"/>
      <c r="C1399" s="236"/>
      <c r="D1399" s="236"/>
    </row>
    <row r="1400" spans="2:4" ht="12.75" customHeight="1" x14ac:dyDescent="0.2">
      <c r="B1400" s="236"/>
      <c r="C1400" s="236"/>
      <c r="D1400" s="236"/>
    </row>
    <row r="1401" spans="2:4" x14ac:dyDescent="0.2">
      <c r="B1401" s="236"/>
      <c r="C1401" s="236"/>
      <c r="D1401" s="236"/>
    </row>
    <row r="1402" spans="2:4" ht="12.75" customHeight="1" x14ac:dyDescent="0.2">
      <c r="B1402" s="236"/>
      <c r="C1402" s="236"/>
      <c r="D1402" s="236"/>
    </row>
    <row r="1403" spans="2:4" ht="12.75" customHeight="1" x14ac:dyDescent="0.2">
      <c r="B1403" s="236"/>
      <c r="C1403" s="236"/>
      <c r="D1403" s="236"/>
    </row>
    <row r="1404" spans="2:4" ht="12.75" customHeight="1" x14ac:dyDescent="0.2">
      <c r="B1404" s="236"/>
      <c r="C1404" s="236"/>
      <c r="D1404" s="236"/>
    </row>
    <row r="1405" spans="2:4" ht="12.75" customHeight="1" x14ac:dyDescent="0.2">
      <c r="B1405" s="236"/>
      <c r="C1405" s="236"/>
      <c r="D1405" s="236"/>
    </row>
    <row r="1406" spans="2:4" ht="12.75" customHeight="1" x14ac:dyDescent="0.2">
      <c r="B1406" s="236"/>
      <c r="C1406" s="236"/>
      <c r="D1406" s="236"/>
    </row>
    <row r="1407" spans="2:4" ht="12.75" customHeight="1" x14ac:dyDescent="0.2">
      <c r="B1407" s="236"/>
      <c r="C1407" s="236"/>
      <c r="D1407" s="236"/>
    </row>
    <row r="1408" spans="2:4" ht="12.75" customHeight="1" x14ac:dyDescent="0.2">
      <c r="B1408" s="236"/>
      <c r="C1408" s="236"/>
      <c r="D1408" s="236"/>
    </row>
    <row r="1409" spans="2:4" ht="12.75" customHeight="1" x14ac:dyDescent="0.2">
      <c r="B1409" s="236"/>
      <c r="C1409" s="236"/>
      <c r="D1409" s="236"/>
    </row>
    <row r="1410" spans="2:4" ht="12.75" customHeight="1" x14ac:dyDescent="0.2">
      <c r="B1410" s="236"/>
      <c r="C1410" s="236"/>
      <c r="D1410" s="236"/>
    </row>
    <row r="1411" spans="2:4" x14ac:dyDescent="0.2">
      <c r="B1411" s="236"/>
      <c r="C1411" s="236"/>
      <c r="D1411" s="236"/>
    </row>
    <row r="1412" spans="2:4" x14ac:dyDescent="0.2">
      <c r="B1412" s="236"/>
      <c r="C1412" s="236"/>
      <c r="D1412" s="236"/>
    </row>
    <row r="1413" spans="2:4" x14ac:dyDescent="0.2">
      <c r="B1413" s="236"/>
      <c r="C1413" s="236"/>
      <c r="D1413" s="236"/>
    </row>
    <row r="1414" spans="2:4" ht="12.75" customHeight="1" x14ac:dyDescent="0.2">
      <c r="B1414" s="236"/>
      <c r="C1414" s="236"/>
      <c r="D1414" s="236"/>
    </row>
    <row r="1415" spans="2:4" ht="12.75" customHeight="1" x14ac:dyDescent="0.2">
      <c r="B1415" s="236"/>
      <c r="C1415" s="236"/>
      <c r="D1415" s="236"/>
    </row>
    <row r="1416" spans="2:4" ht="12.75" customHeight="1" x14ac:dyDescent="0.2">
      <c r="B1416" s="236"/>
      <c r="C1416" s="236"/>
      <c r="D1416" s="236"/>
    </row>
    <row r="1417" spans="2:4" ht="12.75" customHeight="1" x14ac:dyDescent="0.2">
      <c r="B1417" s="236"/>
      <c r="C1417" s="236"/>
      <c r="D1417" s="236"/>
    </row>
    <row r="1418" spans="2:4" ht="12.75" customHeight="1" x14ac:dyDescent="0.2">
      <c r="B1418" s="236"/>
      <c r="C1418" s="236"/>
      <c r="D1418" s="236"/>
    </row>
    <row r="1419" spans="2:4" x14ac:dyDescent="0.2">
      <c r="B1419" s="236"/>
      <c r="C1419" s="236"/>
      <c r="D1419" s="236"/>
    </row>
    <row r="1420" spans="2:4" ht="12.75" customHeight="1" x14ac:dyDescent="0.2">
      <c r="B1420" s="236"/>
      <c r="C1420" s="236"/>
      <c r="D1420" s="236"/>
    </row>
    <row r="1421" spans="2:4" ht="12.75" customHeight="1" x14ac:dyDescent="0.2">
      <c r="B1421" s="236"/>
      <c r="C1421" s="236"/>
      <c r="D1421" s="236"/>
    </row>
    <row r="1422" spans="2:4" ht="12.75" customHeight="1" x14ac:dyDescent="0.2">
      <c r="B1422" s="236"/>
      <c r="C1422" s="236"/>
      <c r="D1422" s="236"/>
    </row>
    <row r="1423" spans="2:4" ht="12.75" customHeight="1" x14ac:dyDescent="0.2">
      <c r="B1423" s="236"/>
      <c r="C1423" s="236"/>
      <c r="D1423" s="236"/>
    </row>
    <row r="1424" spans="2:4" x14ac:dyDescent="0.2">
      <c r="B1424" s="236"/>
      <c r="C1424" s="236"/>
      <c r="D1424" s="236"/>
    </row>
    <row r="1425" spans="2:4" ht="12.75" customHeight="1" x14ac:dyDescent="0.2">
      <c r="B1425" s="236"/>
      <c r="C1425" s="236"/>
      <c r="D1425" s="236"/>
    </row>
    <row r="1426" spans="2:4" x14ac:dyDescent="0.2">
      <c r="B1426" s="236"/>
      <c r="C1426" s="236"/>
      <c r="D1426" s="236"/>
    </row>
    <row r="1427" spans="2:4" ht="12.75" customHeight="1" x14ac:dyDescent="0.2">
      <c r="B1427" s="236"/>
      <c r="C1427" s="236"/>
      <c r="D1427" s="236"/>
    </row>
    <row r="1428" spans="2:4" ht="12.75" customHeight="1" x14ac:dyDescent="0.2">
      <c r="B1428" s="236"/>
      <c r="C1428" s="236"/>
      <c r="D1428" s="236"/>
    </row>
    <row r="1429" spans="2:4" ht="12.75" customHeight="1" x14ac:dyDescent="0.2">
      <c r="B1429" s="236"/>
      <c r="C1429" s="236"/>
      <c r="D1429" s="236"/>
    </row>
    <row r="1430" spans="2:4" ht="12.75" customHeight="1" x14ac:dyDescent="0.2">
      <c r="B1430" s="236"/>
      <c r="C1430" s="236"/>
      <c r="D1430" s="236"/>
    </row>
    <row r="1431" spans="2:4" x14ac:dyDescent="0.2">
      <c r="B1431" s="236"/>
      <c r="C1431" s="236"/>
      <c r="D1431" s="236"/>
    </row>
    <row r="1432" spans="2:4" ht="12.75" customHeight="1" x14ac:dyDescent="0.2">
      <c r="B1432" s="236"/>
      <c r="C1432" s="236"/>
      <c r="D1432" s="236"/>
    </row>
    <row r="1433" spans="2:4" ht="12.75" customHeight="1" x14ac:dyDescent="0.2">
      <c r="B1433" s="236"/>
      <c r="C1433" s="236"/>
      <c r="D1433" s="236"/>
    </row>
    <row r="1434" spans="2:4" ht="12.75" customHeight="1" x14ac:dyDescent="0.2">
      <c r="B1434" s="236"/>
      <c r="C1434" s="236"/>
      <c r="D1434" s="236"/>
    </row>
    <row r="1435" spans="2:4" x14ac:dyDescent="0.2">
      <c r="B1435" s="236"/>
      <c r="C1435" s="236"/>
      <c r="D1435" s="236"/>
    </row>
    <row r="1436" spans="2:4" ht="12.75" customHeight="1" x14ac:dyDescent="0.2">
      <c r="B1436" s="236"/>
      <c r="C1436" s="236"/>
      <c r="D1436" s="236"/>
    </row>
    <row r="1437" spans="2:4" ht="12.75" customHeight="1" x14ac:dyDescent="0.2">
      <c r="B1437" s="236"/>
      <c r="C1437" s="236"/>
      <c r="D1437" s="236"/>
    </row>
    <row r="1438" spans="2:4" x14ac:dyDescent="0.2">
      <c r="B1438" s="236"/>
      <c r="C1438" s="236"/>
      <c r="D1438" s="236"/>
    </row>
    <row r="1439" spans="2:4" ht="12.75" customHeight="1" x14ac:dyDescent="0.2">
      <c r="B1439" s="236"/>
      <c r="C1439" s="236"/>
      <c r="D1439" s="236"/>
    </row>
    <row r="1440" spans="2:4" ht="12.75" customHeight="1" x14ac:dyDescent="0.2">
      <c r="B1440" s="236"/>
      <c r="C1440" s="236"/>
      <c r="D1440" s="236"/>
    </row>
    <row r="1441" spans="2:4" ht="12.75" customHeight="1" x14ac:dyDescent="0.2">
      <c r="B1441" s="236"/>
      <c r="C1441" s="236"/>
      <c r="D1441" s="236"/>
    </row>
    <row r="1442" spans="2:4" ht="12.75" customHeight="1" x14ac:dyDescent="0.2">
      <c r="B1442" s="236"/>
      <c r="C1442" s="236"/>
      <c r="D1442" s="236"/>
    </row>
    <row r="1443" spans="2:4" x14ac:dyDescent="0.2">
      <c r="B1443" s="236"/>
      <c r="C1443" s="236"/>
      <c r="D1443" s="236"/>
    </row>
    <row r="1444" spans="2:4" ht="12.75" customHeight="1" x14ac:dyDescent="0.2">
      <c r="B1444" s="236"/>
      <c r="C1444" s="236"/>
      <c r="D1444" s="236"/>
    </row>
    <row r="1445" spans="2:4" ht="12.75" customHeight="1" x14ac:dyDescent="0.2">
      <c r="B1445" s="236"/>
      <c r="C1445" s="236"/>
      <c r="D1445" s="236"/>
    </row>
    <row r="1446" spans="2:4" ht="12.75" customHeight="1" x14ac:dyDescent="0.2">
      <c r="B1446" s="236"/>
      <c r="C1446" s="236"/>
      <c r="D1446" s="236"/>
    </row>
    <row r="1447" spans="2:4" ht="12.75" customHeight="1" x14ac:dyDescent="0.2">
      <c r="B1447" s="236"/>
      <c r="C1447" s="236"/>
      <c r="D1447" s="236"/>
    </row>
    <row r="1448" spans="2:4" x14ac:dyDescent="0.2">
      <c r="B1448" s="236"/>
      <c r="C1448" s="236"/>
      <c r="D1448" s="236"/>
    </row>
    <row r="1449" spans="2:4" ht="12.75" customHeight="1" x14ac:dyDescent="0.2">
      <c r="B1449" s="236"/>
      <c r="C1449" s="236"/>
      <c r="D1449" s="236"/>
    </row>
    <row r="1450" spans="2:4" ht="12.75" customHeight="1" x14ac:dyDescent="0.2">
      <c r="B1450" s="236"/>
      <c r="C1450" s="236"/>
      <c r="D1450" s="236"/>
    </row>
    <row r="1451" spans="2:4" ht="12.75" customHeight="1" x14ac:dyDescent="0.2">
      <c r="B1451" s="236"/>
      <c r="C1451" s="236"/>
      <c r="D1451" s="236"/>
    </row>
    <row r="1452" spans="2:4" x14ac:dyDescent="0.2">
      <c r="B1452" s="236"/>
      <c r="C1452" s="236"/>
      <c r="D1452" s="236"/>
    </row>
    <row r="1453" spans="2:4" ht="12.75" customHeight="1" x14ac:dyDescent="0.2">
      <c r="B1453" s="236"/>
      <c r="C1453" s="236"/>
      <c r="D1453" s="236"/>
    </row>
    <row r="1454" spans="2:4" ht="12.75" customHeight="1" x14ac:dyDescent="0.2">
      <c r="B1454" s="236"/>
      <c r="C1454" s="236"/>
      <c r="D1454" s="236"/>
    </row>
    <row r="1455" spans="2:4" ht="12.75" customHeight="1" x14ac:dyDescent="0.2">
      <c r="B1455" s="236"/>
      <c r="C1455" s="236"/>
      <c r="D1455" s="236"/>
    </row>
    <row r="1456" spans="2:4" ht="12.75" customHeight="1" x14ac:dyDescent="0.2">
      <c r="B1456" s="236"/>
      <c r="C1456" s="236"/>
      <c r="D1456" s="236"/>
    </row>
    <row r="1457" spans="2:4" ht="12.75" customHeight="1" x14ac:dyDescent="0.2">
      <c r="B1457" s="236"/>
      <c r="C1457" s="236"/>
      <c r="D1457" s="236"/>
    </row>
    <row r="1458" spans="2:4" x14ac:dyDescent="0.2">
      <c r="B1458" s="236"/>
      <c r="C1458" s="236"/>
      <c r="D1458" s="236"/>
    </row>
    <row r="1459" spans="2:4" ht="12.75" customHeight="1" x14ac:dyDescent="0.2">
      <c r="B1459" s="236"/>
      <c r="C1459" s="236"/>
      <c r="D1459" s="236"/>
    </row>
    <row r="1460" spans="2:4" ht="12.75" customHeight="1" x14ac:dyDescent="0.2">
      <c r="B1460" s="236"/>
      <c r="C1460" s="236"/>
      <c r="D1460" s="236"/>
    </row>
    <row r="1461" spans="2:4" ht="12.75" customHeight="1" x14ac:dyDescent="0.2">
      <c r="B1461" s="236"/>
      <c r="C1461" s="236"/>
      <c r="D1461" s="236"/>
    </row>
    <row r="1462" spans="2:4" ht="12.75" customHeight="1" x14ac:dyDescent="0.2">
      <c r="B1462" s="236"/>
      <c r="C1462" s="236"/>
      <c r="D1462" s="236"/>
    </row>
    <row r="1463" spans="2:4" x14ac:dyDescent="0.2">
      <c r="B1463" s="236"/>
      <c r="C1463" s="236"/>
      <c r="D1463" s="236"/>
    </row>
    <row r="1464" spans="2:4" ht="12.75" customHeight="1" x14ac:dyDescent="0.2">
      <c r="B1464" s="236"/>
      <c r="C1464" s="236"/>
      <c r="D1464" s="236"/>
    </row>
    <row r="1465" spans="2:4" ht="12.75" customHeight="1" x14ac:dyDescent="0.2">
      <c r="B1465" s="236"/>
      <c r="C1465" s="236"/>
      <c r="D1465" s="236"/>
    </row>
    <row r="1466" spans="2:4" ht="12.75" customHeight="1" x14ac:dyDescent="0.2">
      <c r="B1466" s="236"/>
      <c r="C1466" s="236"/>
      <c r="D1466" s="236"/>
    </row>
    <row r="1467" spans="2:4" ht="12.75" customHeight="1" x14ac:dyDescent="0.2">
      <c r="B1467" s="236"/>
      <c r="C1467" s="236"/>
      <c r="D1467" s="236"/>
    </row>
    <row r="1468" spans="2:4" ht="12.75" customHeight="1" x14ac:dyDescent="0.2">
      <c r="B1468" s="236"/>
      <c r="C1468" s="236"/>
      <c r="D1468" s="236"/>
    </row>
    <row r="1469" spans="2:4" ht="12.75" customHeight="1" x14ac:dyDescent="0.2">
      <c r="B1469" s="236"/>
      <c r="C1469" s="236"/>
      <c r="D1469" s="236"/>
    </row>
    <row r="1470" spans="2:4" ht="12.75" customHeight="1" x14ac:dyDescent="0.2">
      <c r="B1470" s="236"/>
      <c r="C1470" s="236"/>
      <c r="D1470" s="236"/>
    </row>
    <row r="1471" spans="2:4" ht="12.75" customHeight="1" x14ac:dyDescent="0.2">
      <c r="B1471" s="236"/>
      <c r="C1471" s="236"/>
      <c r="D1471" s="236"/>
    </row>
    <row r="1472" spans="2:4" ht="12.75" customHeight="1" x14ac:dyDescent="0.2">
      <c r="B1472" s="236"/>
      <c r="C1472" s="236"/>
      <c r="D1472" s="236"/>
    </row>
    <row r="1473" spans="2:4" ht="12.75" customHeight="1" x14ac:dyDescent="0.2">
      <c r="B1473" s="236"/>
      <c r="C1473" s="236"/>
      <c r="D1473" s="236"/>
    </row>
    <row r="1474" spans="2:4" ht="12.75" customHeight="1" x14ac:dyDescent="0.2">
      <c r="B1474" s="236"/>
      <c r="C1474" s="236"/>
      <c r="D1474" s="236"/>
    </row>
    <row r="1475" spans="2:4" ht="12.75" customHeight="1" x14ac:dyDescent="0.2">
      <c r="B1475" s="236"/>
      <c r="C1475" s="236"/>
      <c r="D1475" s="236"/>
    </row>
    <row r="1476" spans="2:4" x14ac:dyDescent="0.2">
      <c r="B1476" s="236"/>
      <c r="C1476" s="236"/>
      <c r="D1476" s="236"/>
    </row>
    <row r="1477" spans="2:4" ht="12.75" customHeight="1" x14ac:dyDescent="0.2">
      <c r="B1477" s="236"/>
      <c r="C1477" s="236"/>
      <c r="D1477" s="236"/>
    </row>
    <row r="1478" spans="2:4" ht="12.75" customHeight="1" x14ac:dyDescent="0.2">
      <c r="B1478" s="236"/>
      <c r="C1478" s="236"/>
      <c r="D1478" s="236"/>
    </row>
    <row r="1479" spans="2:4" ht="12.75" customHeight="1" x14ac:dyDescent="0.2">
      <c r="B1479" s="236"/>
      <c r="C1479" s="236"/>
      <c r="D1479" s="236"/>
    </row>
    <row r="1480" spans="2:4" ht="12.75" customHeight="1" x14ac:dyDescent="0.2">
      <c r="B1480" s="236"/>
      <c r="C1480" s="236"/>
      <c r="D1480" s="236"/>
    </row>
    <row r="1481" spans="2:4" ht="12.75" customHeight="1" x14ac:dyDescent="0.2">
      <c r="B1481" s="236"/>
      <c r="C1481" s="236"/>
      <c r="D1481" s="236"/>
    </row>
    <row r="1482" spans="2:4" x14ac:dyDescent="0.2">
      <c r="B1482" s="236"/>
      <c r="C1482" s="236"/>
      <c r="D1482" s="236"/>
    </row>
    <row r="1483" spans="2:4" ht="12.75" customHeight="1" x14ac:dyDescent="0.2">
      <c r="B1483" s="236"/>
      <c r="C1483" s="236"/>
      <c r="D1483" s="236"/>
    </row>
    <row r="1484" spans="2:4" ht="12.75" customHeight="1" x14ac:dyDescent="0.2">
      <c r="B1484" s="236"/>
      <c r="C1484" s="236"/>
      <c r="D1484" s="236"/>
    </row>
    <row r="1485" spans="2:4" ht="12.75" customHeight="1" x14ac:dyDescent="0.2">
      <c r="B1485" s="236"/>
      <c r="C1485" s="236"/>
      <c r="D1485" s="236"/>
    </row>
    <row r="1486" spans="2:4" ht="12.75" customHeight="1" x14ac:dyDescent="0.2">
      <c r="B1486" s="236"/>
      <c r="C1486" s="236"/>
      <c r="D1486" s="236"/>
    </row>
    <row r="1487" spans="2:4" ht="12.75" customHeight="1" x14ac:dyDescent="0.2">
      <c r="B1487" s="236"/>
      <c r="C1487" s="236"/>
      <c r="D1487" s="236"/>
    </row>
    <row r="1488" spans="2:4" ht="12.75" customHeight="1" x14ac:dyDescent="0.2">
      <c r="B1488" s="236"/>
      <c r="C1488" s="236"/>
      <c r="D1488" s="236"/>
    </row>
    <row r="1489" spans="2:4" ht="12.75" customHeight="1" x14ac:dyDescent="0.2">
      <c r="B1489" s="236"/>
      <c r="C1489" s="236"/>
      <c r="D1489" s="236"/>
    </row>
    <row r="1490" spans="2:4" ht="12.75" customHeight="1" x14ac:dyDescent="0.2">
      <c r="B1490" s="236"/>
      <c r="C1490" s="236"/>
      <c r="D1490" s="236"/>
    </row>
    <row r="1491" spans="2:4" ht="12.75" customHeight="1" x14ac:dyDescent="0.2">
      <c r="B1491" s="236"/>
      <c r="C1491" s="236"/>
      <c r="D1491" s="236"/>
    </row>
    <row r="1492" spans="2:4" ht="12.75" customHeight="1" x14ac:dyDescent="0.2">
      <c r="B1492" s="236"/>
      <c r="C1492" s="236"/>
      <c r="D1492" s="236"/>
    </row>
    <row r="1493" spans="2:4" ht="12.75" customHeight="1" x14ac:dyDescent="0.2">
      <c r="B1493" s="236"/>
      <c r="C1493" s="236"/>
      <c r="D1493" s="236"/>
    </row>
    <row r="1494" spans="2:4" ht="12.75" customHeight="1" x14ac:dyDescent="0.2">
      <c r="B1494" s="236"/>
      <c r="C1494" s="236"/>
      <c r="D1494" s="236"/>
    </row>
    <row r="1495" spans="2:4" ht="12.75" customHeight="1" x14ac:dyDescent="0.2">
      <c r="B1495" s="236"/>
      <c r="C1495" s="236"/>
      <c r="D1495" s="236"/>
    </row>
    <row r="1496" spans="2:4" ht="12.75" customHeight="1" x14ac:dyDescent="0.2">
      <c r="B1496" s="236"/>
      <c r="C1496" s="236"/>
      <c r="D1496" s="236"/>
    </row>
    <row r="1497" spans="2:4" ht="12.75" customHeight="1" x14ac:dyDescent="0.2">
      <c r="B1497" s="236"/>
      <c r="C1497" s="236"/>
      <c r="D1497" s="236"/>
    </row>
    <row r="1498" spans="2:4" ht="12.75" customHeight="1" x14ac:dyDescent="0.2">
      <c r="B1498" s="236"/>
      <c r="C1498" s="236"/>
      <c r="D1498" s="236"/>
    </row>
    <row r="1499" spans="2:4" ht="12.75" customHeight="1" x14ac:dyDescent="0.2">
      <c r="B1499" s="236"/>
      <c r="C1499" s="236"/>
      <c r="D1499" s="236"/>
    </row>
    <row r="1500" spans="2:4" ht="12.75" customHeight="1" x14ac:dyDescent="0.2">
      <c r="B1500" s="236"/>
      <c r="C1500" s="236"/>
      <c r="D1500" s="236"/>
    </row>
    <row r="1501" spans="2:4" x14ac:dyDescent="0.2">
      <c r="B1501" s="236"/>
      <c r="C1501" s="236"/>
      <c r="D1501" s="236"/>
    </row>
    <row r="1502" spans="2:4" x14ac:dyDescent="0.2">
      <c r="B1502" s="236"/>
      <c r="C1502" s="236"/>
      <c r="D1502" s="236"/>
    </row>
    <row r="1503" spans="2:4" ht="12.75" customHeight="1" x14ac:dyDescent="0.2">
      <c r="B1503" s="236"/>
      <c r="C1503" s="236"/>
      <c r="D1503" s="236"/>
    </row>
    <row r="1504" spans="2:4" x14ac:dyDescent="0.2">
      <c r="B1504" s="236"/>
      <c r="C1504" s="236"/>
      <c r="D1504" s="236"/>
    </row>
    <row r="1505" spans="2:4" ht="12.75" customHeight="1" x14ac:dyDescent="0.2">
      <c r="B1505" s="236"/>
      <c r="C1505" s="236"/>
      <c r="D1505" s="236"/>
    </row>
    <row r="1506" spans="2:4" ht="12.75" customHeight="1" x14ac:dyDescent="0.2">
      <c r="B1506" s="236"/>
      <c r="C1506" s="236"/>
      <c r="D1506" s="236"/>
    </row>
    <row r="1507" spans="2:4" ht="12.75" customHeight="1" x14ac:dyDescent="0.2">
      <c r="B1507" s="236"/>
      <c r="C1507" s="236"/>
      <c r="D1507" s="236"/>
    </row>
    <row r="1508" spans="2:4" ht="12.75" customHeight="1" x14ac:dyDescent="0.2">
      <c r="B1508" s="236"/>
      <c r="C1508" s="236"/>
      <c r="D1508" s="236"/>
    </row>
    <row r="1509" spans="2:4" x14ac:dyDescent="0.2">
      <c r="B1509" s="236"/>
      <c r="C1509" s="236"/>
      <c r="D1509" s="236"/>
    </row>
    <row r="1510" spans="2:4" ht="12.75" customHeight="1" x14ac:dyDescent="0.2">
      <c r="B1510" s="236"/>
      <c r="C1510" s="236"/>
      <c r="D1510" s="236"/>
    </row>
    <row r="1511" spans="2:4" x14ac:dyDescent="0.2">
      <c r="B1511" s="236"/>
      <c r="C1511" s="236"/>
      <c r="D1511" s="236"/>
    </row>
    <row r="1512" spans="2:4" x14ac:dyDescent="0.2">
      <c r="B1512" s="236"/>
      <c r="C1512" s="236"/>
      <c r="D1512" s="236"/>
    </row>
    <row r="1513" spans="2:4" ht="12.75" customHeight="1" x14ac:dyDescent="0.2">
      <c r="B1513" s="236"/>
      <c r="C1513" s="236"/>
      <c r="D1513" s="236"/>
    </row>
    <row r="1514" spans="2:4" x14ac:dyDescent="0.2">
      <c r="B1514" s="236"/>
      <c r="C1514" s="236"/>
      <c r="D1514" s="236"/>
    </row>
    <row r="1515" spans="2:4" x14ac:dyDescent="0.2">
      <c r="B1515" s="236"/>
      <c r="C1515" s="236"/>
      <c r="D1515" s="236"/>
    </row>
    <row r="1516" spans="2:4" ht="12.75" customHeight="1" x14ac:dyDescent="0.2">
      <c r="B1516" s="236"/>
      <c r="C1516" s="236"/>
      <c r="D1516" s="236"/>
    </row>
    <row r="1517" spans="2:4" ht="12.75" customHeight="1" x14ac:dyDescent="0.2">
      <c r="B1517" s="236"/>
      <c r="C1517" s="236"/>
      <c r="D1517" s="236"/>
    </row>
    <row r="1518" spans="2:4" x14ac:dyDescent="0.2">
      <c r="B1518" s="236"/>
      <c r="C1518" s="236"/>
      <c r="D1518" s="236"/>
    </row>
    <row r="1519" spans="2:4" x14ac:dyDescent="0.2">
      <c r="B1519" s="236"/>
      <c r="C1519" s="236"/>
      <c r="D1519" s="236"/>
    </row>
    <row r="1520" spans="2:4" ht="12.75" customHeight="1" x14ac:dyDescent="0.2">
      <c r="B1520" s="236"/>
      <c r="C1520" s="236"/>
      <c r="D1520" s="236"/>
    </row>
    <row r="1521" spans="2:4" x14ac:dyDescent="0.2">
      <c r="B1521" s="236"/>
      <c r="C1521" s="236"/>
      <c r="D1521" s="236"/>
    </row>
    <row r="1522" spans="2:4" x14ac:dyDescent="0.2">
      <c r="B1522" s="236"/>
      <c r="C1522" s="236"/>
      <c r="D1522" s="236"/>
    </row>
    <row r="1523" spans="2:4" ht="12.75" customHeight="1" x14ac:dyDescent="0.2">
      <c r="B1523" s="236"/>
      <c r="C1523" s="236"/>
      <c r="D1523" s="236"/>
    </row>
    <row r="1524" spans="2:4" x14ac:dyDescent="0.2">
      <c r="B1524" s="236"/>
      <c r="C1524" s="236"/>
      <c r="D1524" s="236"/>
    </row>
    <row r="1525" spans="2:4" x14ac:dyDescent="0.2">
      <c r="B1525" s="236"/>
      <c r="C1525" s="236"/>
      <c r="D1525" s="236"/>
    </row>
    <row r="1526" spans="2:4" ht="12.75" customHeight="1" x14ac:dyDescent="0.2">
      <c r="B1526" s="236"/>
      <c r="C1526" s="236"/>
      <c r="D1526" s="236"/>
    </row>
    <row r="1527" spans="2:4" x14ac:dyDescent="0.2">
      <c r="B1527" s="236"/>
      <c r="C1527" s="236"/>
      <c r="D1527" s="236"/>
    </row>
    <row r="1528" spans="2:4" ht="12.75" customHeight="1" x14ac:dyDescent="0.2">
      <c r="B1528" s="236"/>
      <c r="C1528" s="236"/>
      <c r="D1528" s="236"/>
    </row>
    <row r="1529" spans="2:4" ht="12.75" customHeight="1" x14ac:dyDescent="0.2">
      <c r="B1529" s="236"/>
      <c r="C1529" s="236"/>
      <c r="D1529" s="236"/>
    </row>
    <row r="1530" spans="2:4" x14ac:dyDescent="0.2">
      <c r="B1530" s="236"/>
      <c r="C1530" s="236"/>
      <c r="D1530" s="236"/>
    </row>
    <row r="1531" spans="2:4" ht="12.75" customHeight="1" x14ac:dyDescent="0.2">
      <c r="B1531" s="236"/>
      <c r="C1531" s="236"/>
      <c r="D1531" s="236"/>
    </row>
    <row r="1532" spans="2:4" ht="12.75" customHeight="1" x14ac:dyDescent="0.2">
      <c r="B1532" s="236"/>
      <c r="C1532" s="236"/>
      <c r="D1532" s="236"/>
    </row>
    <row r="1533" spans="2:4" ht="12.75" customHeight="1" x14ac:dyDescent="0.2">
      <c r="B1533" s="236"/>
      <c r="C1533" s="236"/>
      <c r="D1533" s="236"/>
    </row>
    <row r="1534" spans="2:4" ht="12.75" customHeight="1" x14ac:dyDescent="0.2">
      <c r="B1534" s="236"/>
      <c r="C1534" s="236"/>
      <c r="D1534" s="236"/>
    </row>
    <row r="1535" spans="2:4" x14ac:dyDescent="0.2">
      <c r="B1535" s="236"/>
      <c r="C1535" s="236"/>
      <c r="D1535" s="236"/>
    </row>
    <row r="1536" spans="2:4" x14ac:dyDescent="0.2">
      <c r="B1536" s="236"/>
      <c r="C1536" s="236"/>
      <c r="D1536" s="236"/>
    </row>
    <row r="1537" spans="2:4" ht="12.75" customHeight="1" x14ac:dyDescent="0.2">
      <c r="B1537" s="236"/>
      <c r="C1537" s="236"/>
      <c r="D1537" s="236"/>
    </row>
    <row r="1538" spans="2:4" ht="12.75" customHeight="1" x14ac:dyDescent="0.2">
      <c r="B1538" s="236"/>
      <c r="C1538" s="236"/>
      <c r="D1538" s="236"/>
    </row>
    <row r="1539" spans="2:4" ht="12.75" customHeight="1" x14ac:dyDescent="0.2">
      <c r="B1539" s="236"/>
      <c r="C1539" s="236"/>
      <c r="D1539" s="236"/>
    </row>
    <row r="1540" spans="2:4" ht="12.75" customHeight="1" x14ac:dyDescent="0.2">
      <c r="B1540" s="236"/>
      <c r="C1540" s="236"/>
      <c r="D1540" s="236"/>
    </row>
    <row r="1541" spans="2:4" ht="12.75" customHeight="1" x14ac:dyDescent="0.2">
      <c r="B1541" s="236"/>
      <c r="C1541" s="236"/>
      <c r="D1541" s="236"/>
    </row>
    <row r="1542" spans="2:4" ht="12.75" customHeight="1" x14ac:dyDescent="0.2">
      <c r="B1542" s="236"/>
      <c r="C1542" s="236"/>
      <c r="D1542" s="236"/>
    </row>
    <row r="1543" spans="2:4" ht="12.75" customHeight="1" x14ac:dyDescent="0.2">
      <c r="B1543" s="236"/>
      <c r="C1543" s="236"/>
      <c r="D1543" s="236"/>
    </row>
    <row r="1544" spans="2:4" ht="12.75" customHeight="1" x14ac:dyDescent="0.2">
      <c r="B1544" s="236"/>
      <c r="C1544" s="236"/>
      <c r="D1544" s="236"/>
    </row>
    <row r="1545" spans="2:4" ht="12.75" customHeight="1" x14ac:dyDescent="0.2">
      <c r="B1545" s="236"/>
      <c r="C1545" s="236"/>
      <c r="D1545" s="236"/>
    </row>
    <row r="1546" spans="2:4" x14ac:dyDescent="0.2">
      <c r="B1546" s="236"/>
      <c r="C1546" s="236"/>
      <c r="D1546" s="236"/>
    </row>
    <row r="1547" spans="2:4" ht="12.75" customHeight="1" x14ac:dyDescent="0.2">
      <c r="B1547" s="236"/>
      <c r="C1547" s="236"/>
      <c r="D1547" s="236"/>
    </row>
    <row r="1548" spans="2:4" ht="12.75" customHeight="1" x14ac:dyDescent="0.2">
      <c r="B1548" s="236"/>
      <c r="C1548" s="236"/>
      <c r="D1548" s="236"/>
    </row>
    <row r="1549" spans="2:4" ht="12.75" customHeight="1" x14ac:dyDescent="0.2">
      <c r="B1549" s="236"/>
      <c r="C1549" s="236"/>
      <c r="D1549" s="236"/>
    </row>
    <row r="1550" spans="2:4" ht="12.75" customHeight="1" x14ac:dyDescent="0.2">
      <c r="B1550" s="236"/>
      <c r="C1550" s="236"/>
      <c r="D1550" s="236"/>
    </row>
    <row r="1551" spans="2:4" x14ac:dyDescent="0.2">
      <c r="B1551" s="236"/>
      <c r="C1551" s="236"/>
      <c r="D1551" s="236"/>
    </row>
    <row r="1552" spans="2:4" ht="12.75" customHeight="1" x14ac:dyDescent="0.2">
      <c r="B1552" s="236"/>
      <c r="C1552" s="236"/>
      <c r="D1552" s="236"/>
    </row>
    <row r="1553" spans="2:4" ht="12.75" customHeight="1" x14ac:dyDescent="0.2">
      <c r="B1553" s="236"/>
      <c r="C1553" s="236"/>
      <c r="D1553" s="236"/>
    </row>
    <row r="1554" spans="2:4" ht="12.75" customHeight="1" x14ac:dyDescent="0.2">
      <c r="B1554" s="236"/>
      <c r="C1554" s="236"/>
      <c r="D1554" s="236"/>
    </row>
    <row r="1555" spans="2:4" ht="12.75" customHeight="1" x14ac:dyDescent="0.2">
      <c r="B1555" s="236"/>
      <c r="C1555" s="236"/>
      <c r="D1555" s="236"/>
    </row>
    <row r="1556" spans="2:4" x14ac:dyDescent="0.2">
      <c r="B1556" s="236"/>
      <c r="C1556" s="236"/>
      <c r="D1556" s="236"/>
    </row>
    <row r="1557" spans="2:4" ht="12.75" customHeight="1" x14ac:dyDescent="0.2">
      <c r="B1557" s="236"/>
      <c r="C1557" s="236"/>
      <c r="D1557" s="236"/>
    </row>
    <row r="1558" spans="2:4" ht="12.75" customHeight="1" x14ac:dyDescent="0.2">
      <c r="B1558" s="236"/>
      <c r="C1558" s="236"/>
      <c r="D1558" s="236"/>
    </row>
    <row r="1559" spans="2:4" ht="12.75" customHeight="1" x14ac:dyDescent="0.2">
      <c r="B1559" s="236"/>
      <c r="C1559" s="236"/>
      <c r="D1559" s="236"/>
    </row>
    <row r="1560" spans="2:4" ht="12.75" customHeight="1" x14ac:dyDescent="0.2">
      <c r="B1560" s="236"/>
      <c r="C1560" s="236"/>
      <c r="D1560" s="236"/>
    </row>
    <row r="1561" spans="2:4" x14ac:dyDescent="0.2">
      <c r="B1561" s="236"/>
      <c r="C1561" s="236"/>
      <c r="D1561" s="236"/>
    </row>
    <row r="1562" spans="2:4" ht="12.75" customHeight="1" x14ac:dyDescent="0.2">
      <c r="B1562" s="236"/>
      <c r="C1562" s="236"/>
      <c r="D1562" s="236"/>
    </row>
    <row r="1563" spans="2:4" ht="12.75" customHeight="1" x14ac:dyDescent="0.2">
      <c r="B1563" s="236"/>
      <c r="C1563" s="236"/>
      <c r="D1563" s="236"/>
    </row>
    <row r="1564" spans="2:4" ht="12.75" customHeight="1" x14ac:dyDescent="0.2">
      <c r="B1564" s="236"/>
      <c r="C1564" s="236"/>
      <c r="D1564" s="236"/>
    </row>
    <row r="1565" spans="2:4" ht="12.75" customHeight="1" x14ac:dyDescent="0.2">
      <c r="B1565" s="236"/>
      <c r="C1565" s="236"/>
      <c r="D1565" s="236"/>
    </row>
    <row r="1566" spans="2:4" x14ac:dyDescent="0.2">
      <c r="B1566" s="236"/>
      <c r="C1566" s="236"/>
      <c r="D1566" s="236"/>
    </row>
    <row r="1567" spans="2:4" ht="12.75" customHeight="1" x14ac:dyDescent="0.2">
      <c r="B1567" s="236"/>
      <c r="C1567" s="236"/>
      <c r="D1567" s="236"/>
    </row>
    <row r="1568" spans="2:4" ht="12.75" customHeight="1" x14ac:dyDescent="0.2">
      <c r="B1568" s="236"/>
      <c r="C1568" s="236"/>
      <c r="D1568" s="236"/>
    </row>
    <row r="1569" spans="2:4" ht="12.75" customHeight="1" x14ac:dyDescent="0.2">
      <c r="B1569" s="236"/>
      <c r="C1569" s="236"/>
      <c r="D1569" s="236"/>
    </row>
    <row r="1570" spans="2:4" ht="12.75" customHeight="1" x14ac:dyDescent="0.2">
      <c r="B1570" s="236"/>
      <c r="C1570" s="236"/>
      <c r="D1570" s="236"/>
    </row>
    <row r="1571" spans="2:4" x14ac:dyDescent="0.2">
      <c r="B1571" s="236"/>
      <c r="C1571" s="236"/>
      <c r="D1571" s="236"/>
    </row>
    <row r="1572" spans="2:4" ht="12.75" customHeight="1" x14ac:dyDescent="0.2">
      <c r="B1572" s="236"/>
      <c r="C1572" s="236"/>
      <c r="D1572" s="236"/>
    </row>
    <row r="1573" spans="2:4" ht="12.75" customHeight="1" x14ac:dyDescent="0.2">
      <c r="B1573" s="236"/>
      <c r="C1573" s="236"/>
      <c r="D1573" s="236"/>
    </row>
    <row r="1574" spans="2:4" ht="12.75" customHeight="1" x14ac:dyDescent="0.2">
      <c r="B1574" s="236"/>
      <c r="C1574" s="236"/>
      <c r="D1574" s="236"/>
    </row>
    <row r="1575" spans="2:4" ht="12.75" customHeight="1" x14ac:dyDescent="0.2">
      <c r="B1575" s="236"/>
      <c r="C1575" s="236"/>
      <c r="D1575" s="236"/>
    </row>
    <row r="1576" spans="2:4" ht="12.75" customHeight="1" x14ac:dyDescent="0.2">
      <c r="B1576" s="236"/>
      <c r="C1576" s="236"/>
      <c r="D1576" s="236"/>
    </row>
    <row r="1577" spans="2:4" ht="12.75" customHeight="1" x14ac:dyDescent="0.2">
      <c r="B1577" s="236"/>
      <c r="C1577" s="236"/>
      <c r="D1577" s="236"/>
    </row>
    <row r="1578" spans="2:4" ht="12.75" customHeight="1" x14ac:dyDescent="0.2">
      <c r="B1578" s="236"/>
      <c r="C1578" s="236"/>
      <c r="D1578" s="236"/>
    </row>
    <row r="1579" spans="2:4" x14ac:dyDescent="0.2">
      <c r="B1579" s="236"/>
      <c r="C1579" s="236"/>
      <c r="D1579" s="236"/>
    </row>
    <row r="1580" spans="2:4" ht="12.75" customHeight="1" x14ac:dyDescent="0.2">
      <c r="B1580" s="236"/>
      <c r="C1580" s="236"/>
      <c r="D1580" s="236"/>
    </row>
    <row r="1581" spans="2:4" ht="12.75" customHeight="1" x14ac:dyDescent="0.2">
      <c r="B1581" s="236"/>
      <c r="C1581" s="236"/>
      <c r="D1581" s="236"/>
    </row>
    <row r="1582" spans="2:4" ht="12.75" customHeight="1" x14ac:dyDescent="0.2">
      <c r="B1582" s="236"/>
      <c r="C1582" s="236"/>
      <c r="D1582" s="236"/>
    </row>
    <row r="1583" spans="2:4" ht="12.75" customHeight="1" x14ac:dyDescent="0.2">
      <c r="B1583" s="236"/>
      <c r="C1583" s="236"/>
      <c r="D1583" s="236"/>
    </row>
    <row r="1584" spans="2:4" ht="12.75" customHeight="1" x14ac:dyDescent="0.2">
      <c r="B1584" s="236"/>
      <c r="C1584" s="236"/>
      <c r="D1584" s="236"/>
    </row>
    <row r="1585" spans="2:4" ht="12.75" customHeight="1" x14ac:dyDescent="0.2">
      <c r="B1585" s="236"/>
      <c r="C1585" s="236"/>
      <c r="D1585" s="236"/>
    </row>
    <row r="1586" spans="2:4" x14ac:dyDescent="0.2">
      <c r="B1586" s="236"/>
      <c r="C1586" s="236"/>
      <c r="D1586" s="236"/>
    </row>
    <row r="1587" spans="2:4" ht="12.75" customHeight="1" x14ac:dyDescent="0.2">
      <c r="B1587" s="236"/>
      <c r="C1587" s="236"/>
      <c r="D1587" s="236"/>
    </row>
    <row r="1588" spans="2:4" ht="12.75" customHeight="1" x14ac:dyDescent="0.2">
      <c r="B1588" s="236"/>
      <c r="C1588" s="236"/>
      <c r="D1588" s="236"/>
    </row>
    <row r="1589" spans="2:4" ht="12.75" customHeight="1" x14ac:dyDescent="0.2">
      <c r="B1589" s="236"/>
      <c r="C1589" s="236"/>
      <c r="D1589" s="236"/>
    </row>
    <row r="1590" spans="2:4" ht="12.75" customHeight="1" x14ac:dyDescent="0.2">
      <c r="B1590" s="236"/>
      <c r="C1590" s="236"/>
      <c r="D1590" s="236"/>
    </row>
    <row r="1591" spans="2:4" ht="12.75" customHeight="1" x14ac:dyDescent="0.2">
      <c r="B1591" s="236"/>
      <c r="C1591" s="236"/>
      <c r="D1591" s="236"/>
    </row>
    <row r="1592" spans="2:4" ht="12.75" customHeight="1" x14ac:dyDescent="0.2">
      <c r="B1592" s="236"/>
      <c r="C1592" s="236"/>
      <c r="D1592" s="236"/>
    </row>
    <row r="1593" spans="2:4" ht="12.75" customHeight="1" x14ac:dyDescent="0.2">
      <c r="B1593" s="236"/>
      <c r="C1593" s="236"/>
      <c r="D1593" s="236"/>
    </row>
    <row r="1594" spans="2:4" x14ac:dyDescent="0.2">
      <c r="B1594" s="236"/>
      <c r="C1594" s="236"/>
      <c r="D1594" s="236"/>
    </row>
    <row r="1595" spans="2:4" ht="12.75" customHeight="1" x14ac:dyDescent="0.2">
      <c r="B1595" s="236"/>
      <c r="C1595" s="236"/>
      <c r="D1595" s="236"/>
    </row>
    <row r="1596" spans="2:4" ht="12.75" customHeight="1" x14ac:dyDescent="0.2">
      <c r="B1596" s="236"/>
      <c r="C1596" s="236"/>
      <c r="D1596" s="236"/>
    </row>
    <row r="1597" spans="2:4" ht="12.75" customHeight="1" x14ac:dyDescent="0.2">
      <c r="B1597" s="236"/>
      <c r="C1597" s="236"/>
      <c r="D1597" s="236"/>
    </row>
    <row r="1598" spans="2:4" ht="12.75" customHeight="1" x14ac:dyDescent="0.2">
      <c r="B1598" s="236"/>
      <c r="C1598" s="236"/>
      <c r="D1598" s="236"/>
    </row>
    <row r="1599" spans="2:4" x14ac:dyDescent="0.2">
      <c r="B1599" s="236"/>
      <c r="C1599" s="236"/>
      <c r="D1599" s="236"/>
    </row>
    <row r="1600" spans="2:4" ht="12.75" customHeight="1" x14ac:dyDescent="0.2">
      <c r="B1600" s="236"/>
      <c r="C1600" s="236"/>
      <c r="D1600" s="236"/>
    </row>
    <row r="1601" spans="2:4" ht="12.75" customHeight="1" x14ac:dyDescent="0.2">
      <c r="B1601" s="236"/>
      <c r="C1601" s="236"/>
      <c r="D1601" s="236"/>
    </row>
    <row r="1602" spans="2:4" ht="12.75" customHeight="1" x14ac:dyDescent="0.2">
      <c r="B1602" s="236"/>
      <c r="C1602" s="236"/>
      <c r="D1602" s="236"/>
    </row>
    <row r="1603" spans="2:4" ht="12.75" customHeight="1" x14ac:dyDescent="0.2">
      <c r="B1603" s="236"/>
      <c r="C1603" s="236"/>
      <c r="D1603" s="236"/>
    </row>
    <row r="1604" spans="2:4" x14ac:dyDescent="0.2">
      <c r="B1604" s="236"/>
      <c r="C1604" s="236"/>
      <c r="D1604" s="236"/>
    </row>
    <row r="1605" spans="2:4" ht="12.75" customHeight="1" x14ac:dyDescent="0.2">
      <c r="B1605" s="236"/>
      <c r="C1605" s="236"/>
      <c r="D1605" s="236"/>
    </row>
    <row r="1606" spans="2:4" ht="12.75" customHeight="1" x14ac:dyDescent="0.2">
      <c r="B1606" s="236"/>
      <c r="C1606" s="236"/>
      <c r="D1606" s="236"/>
    </row>
    <row r="1607" spans="2:4" ht="12.75" customHeight="1" x14ac:dyDescent="0.2">
      <c r="B1607" s="236"/>
      <c r="C1607" s="236"/>
      <c r="D1607" s="236"/>
    </row>
    <row r="1608" spans="2:4" ht="12.75" customHeight="1" x14ac:dyDescent="0.2">
      <c r="B1608" s="236"/>
      <c r="C1608" s="236"/>
      <c r="D1608" s="236"/>
    </row>
    <row r="1609" spans="2:4" x14ac:dyDescent="0.2">
      <c r="B1609" s="236"/>
      <c r="C1609" s="236"/>
      <c r="D1609" s="236"/>
    </row>
    <row r="1610" spans="2:4" ht="12.75" customHeight="1" x14ac:dyDescent="0.2">
      <c r="B1610" s="236"/>
      <c r="C1610" s="236"/>
      <c r="D1610" s="236"/>
    </row>
    <row r="1611" spans="2:4" ht="12.75" customHeight="1" x14ac:dyDescent="0.2">
      <c r="B1611" s="236"/>
      <c r="C1611" s="236"/>
      <c r="D1611" s="236"/>
    </row>
    <row r="1612" spans="2:4" ht="12.75" customHeight="1" x14ac:dyDescent="0.2">
      <c r="B1612" s="236"/>
      <c r="C1612" s="236"/>
      <c r="D1612" s="236"/>
    </row>
    <row r="1613" spans="2:4" ht="12.75" customHeight="1" x14ac:dyDescent="0.2">
      <c r="B1613" s="236"/>
      <c r="C1613" s="236"/>
      <c r="D1613" s="236"/>
    </row>
    <row r="1614" spans="2:4" x14ac:dyDescent="0.2">
      <c r="B1614" s="236"/>
      <c r="C1614" s="236"/>
      <c r="D1614" s="236"/>
    </row>
    <row r="1615" spans="2:4" ht="12.75" customHeight="1" x14ac:dyDescent="0.2">
      <c r="B1615" s="236"/>
      <c r="C1615" s="236"/>
      <c r="D1615" s="236"/>
    </row>
    <row r="1616" spans="2:4" ht="12.75" customHeight="1" x14ac:dyDescent="0.2">
      <c r="B1616" s="236"/>
      <c r="C1616" s="236"/>
      <c r="D1616" s="236"/>
    </row>
    <row r="1617" spans="2:4" ht="12.75" customHeight="1" x14ac:dyDescent="0.2">
      <c r="B1617" s="236"/>
      <c r="C1617" s="236"/>
      <c r="D1617" s="236"/>
    </row>
    <row r="1618" spans="2:4" ht="12.75" customHeight="1" x14ac:dyDescent="0.2">
      <c r="B1618" s="236"/>
      <c r="C1618" s="236"/>
      <c r="D1618" s="236"/>
    </row>
    <row r="1619" spans="2:4" x14ac:dyDescent="0.2">
      <c r="B1619" s="236"/>
      <c r="C1619" s="236"/>
      <c r="D1619" s="236"/>
    </row>
    <row r="1620" spans="2:4" ht="12.75" customHeight="1" x14ac:dyDescent="0.2">
      <c r="B1620" s="236"/>
      <c r="C1620" s="236"/>
      <c r="D1620" s="236"/>
    </row>
    <row r="1621" spans="2:4" ht="12.75" customHeight="1" x14ac:dyDescent="0.2">
      <c r="B1621" s="236"/>
      <c r="C1621" s="236"/>
      <c r="D1621" s="236"/>
    </row>
    <row r="1622" spans="2:4" ht="12.75" customHeight="1" x14ac:dyDescent="0.2">
      <c r="B1622" s="236"/>
      <c r="C1622" s="236"/>
      <c r="D1622" s="236"/>
    </row>
    <row r="1623" spans="2:4" ht="12.75" customHeight="1" x14ac:dyDescent="0.2">
      <c r="B1623" s="236"/>
      <c r="C1623" s="236"/>
      <c r="D1623" s="236"/>
    </row>
    <row r="1624" spans="2:4" x14ac:dyDescent="0.2">
      <c r="B1624" s="236"/>
      <c r="C1624" s="236"/>
      <c r="D1624" s="236"/>
    </row>
    <row r="1625" spans="2:4" ht="12.75" customHeight="1" x14ac:dyDescent="0.2">
      <c r="B1625" s="236"/>
      <c r="C1625" s="236"/>
      <c r="D1625" s="236"/>
    </row>
    <row r="1626" spans="2:4" ht="12.75" customHeight="1" x14ac:dyDescent="0.2">
      <c r="B1626" s="236"/>
      <c r="C1626" s="236"/>
      <c r="D1626" s="236"/>
    </row>
    <row r="1627" spans="2:4" ht="12.75" customHeight="1" x14ac:dyDescent="0.2">
      <c r="B1627" s="236"/>
      <c r="C1627" s="236"/>
      <c r="D1627" s="236"/>
    </row>
    <row r="1628" spans="2:4" ht="12.75" customHeight="1" x14ac:dyDescent="0.2">
      <c r="B1628" s="236"/>
      <c r="C1628" s="236"/>
      <c r="D1628" s="236"/>
    </row>
    <row r="1629" spans="2:4" x14ac:dyDescent="0.2">
      <c r="B1629" s="236"/>
      <c r="C1629" s="236"/>
      <c r="D1629" s="236"/>
    </row>
    <row r="1630" spans="2:4" ht="12.75" customHeight="1" x14ac:dyDescent="0.2">
      <c r="B1630" s="236"/>
      <c r="C1630" s="236"/>
      <c r="D1630" s="236"/>
    </row>
    <row r="1631" spans="2:4" ht="12.75" customHeight="1" x14ac:dyDescent="0.2">
      <c r="B1631" s="236"/>
      <c r="C1631" s="236"/>
      <c r="D1631" s="236"/>
    </row>
    <row r="1632" spans="2:4" ht="12.75" customHeight="1" x14ac:dyDescent="0.2">
      <c r="B1632" s="236"/>
      <c r="C1632" s="236"/>
      <c r="D1632" s="236"/>
    </row>
    <row r="1633" spans="2:4" x14ac:dyDescent="0.2">
      <c r="B1633" s="236"/>
      <c r="C1633" s="236"/>
      <c r="D1633" s="236"/>
    </row>
    <row r="1634" spans="2:4" ht="12.75" customHeight="1" x14ac:dyDescent="0.2">
      <c r="B1634" s="236"/>
      <c r="C1634" s="236"/>
      <c r="D1634" s="236"/>
    </row>
    <row r="1635" spans="2:4" ht="12.75" customHeight="1" x14ac:dyDescent="0.2">
      <c r="B1635" s="236"/>
      <c r="C1635" s="236"/>
      <c r="D1635" s="236"/>
    </row>
    <row r="1636" spans="2:4" x14ac:dyDescent="0.2">
      <c r="B1636" s="236"/>
      <c r="C1636" s="236"/>
      <c r="D1636" s="236"/>
    </row>
    <row r="1637" spans="2:4" ht="12.75" customHeight="1" x14ac:dyDescent="0.2">
      <c r="B1637" s="236"/>
      <c r="C1637" s="236"/>
      <c r="D1637" s="236"/>
    </row>
    <row r="1638" spans="2:4" x14ac:dyDescent="0.2">
      <c r="B1638" s="236"/>
      <c r="C1638" s="236"/>
      <c r="D1638" s="236"/>
    </row>
    <row r="1639" spans="2:4" ht="12.75" customHeight="1" x14ac:dyDescent="0.2">
      <c r="B1639" s="236"/>
      <c r="C1639" s="236"/>
      <c r="D1639" s="236"/>
    </row>
    <row r="1640" spans="2:4" x14ac:dyDescent="0.2">
      <c r="B1640" s="236"/>
      <c r="C1640" s="236"/>
      <c r="D1640" s="236"/>
    </row>
    <row r="1641" spans="2:4" ht="12.75" customHeight="1" x14ac:dyDescent="0.2">
      <c r="B1641" s="236"/>
      <c r="C1641" s="236"/>
      <c r="D1641" s="236"/>
    </row>
    <row r="1642" spans="2:4" x14ac:dyDescent="0.2">
      <c r="B1642" s="236"/>
      <c r="C1642" s="236"/>
      <c r="D1642" s="236"/>
    </row>
    <row r="1643" spans="2:4" ht="12.75" customHeight="1" x14ac:dyDescent="0.2">
      <c r="B1643" s="236"/>
      <c r="C1643" s="236"/>
      <c r="D1643" s="236"/>
    </row>
    <row r="1644" spans="2:4" x14ac:dyDescent="0.2">
      <c r="B1644" s="236"/>
      <c r="C1644" s="236"/>
      <c r="D1644" s="236"/>
    </row>
    <row r="1645" spans="2:4" ht="12.75" customHeight="1" x14ac:dyDescent="0.2">
      <c r="B1645" s="236"/>
      <c r="C1645" s="236"/>
      <c r="D1645" s="236"/>
    </row>
    <row r="1646" spans="2:4" x14ac:dyDescent="0.2">
      <c r="B1646" s="236"/>
      <c r="C1646" s="236"/>
      <c r="D1646" s="236"/>
    </row>
    <row r="1647" spans="2:4" ht="12.75" customHeight="1" x14ac:dyDescent="0.2">
      <c r="B1647" s="236"/>
      <c r="C1647" s="236"/>
      <c r="D1647" s="236"/>
    </row>
    <row r="1648" spans="2:4" x14ac:dyDescent="0.2">
      <c r="B1648" s="236"/>
      <c r="C1648" s="236"/>
      <c r="D1648" s="236"/>
    </row>
    <row r="1649" spans="2:4" ht="12.75" customHeight="1" x14ac:dyDescent="0.2">
      <c r="B1649" s="236"/>
      <c r="C1649" s="236"/>
      <c r="D1649" s="236"/>
    </row>
    <row r="1650" spans="2:4" x14ac:dyDescent="0.2">
      <c r="B1650" s="236"/>
      <c r="C1650" s="236"/>
      <c r="D1650" s="236"/>
    </row>
    <row r="1651" spans="2:4" ht="12.75" customHeight="1" x14ac:dyDescent="0.2">
      <c r="B1651" s="236"/>
      <c r="C1651" s="236"/>
      <c r="D1651" s="236"/>
    </row>
    <row r="1652" spans="2:4" x14ac:dyDescent="0.2">
      <c r="B1652" s="236"/>
      <c r="C1652" s="236"/>
      <c r="D1652" s="236"/>
    </row>
    <row r="1653" spans="2:4" ht="12.75" customHeight="1" x14ac:dyDescent="0.2">
      <c r="B1653" s="236"/>
      <c r="C1653" s="236"/>
      <c r="D1653" s="236"/>
    </row>
    <row r="1654" spans="2:4" ht="12.75" customHeight="1" x14ac:dyDescent="0.2">
      <c r="B1654" s="236"/>
      <c r="C1654" s="236"/>
      <c r="D1654" s="236"/>
    </row>
    <row r="1655" spans="2:4" x14ac:dyDescent="0.2">
      <c r="B1655" s="236"/>
      <c r="C1655" s="236"/>
      <c r="D1655" s="236"/>
    </row>
    <row r="1656" spans="2:4" ht="12.75" customHeight="1" x14ac:dyDescent="0.2">
      <c r="B1656" s="236"/>
      <c r="C1656" s="236"/>
      <c r="D1656" s="236"/>
    </row>
    <row r="1657" spans="2:4" ht="12.75" customHeight="1" x14ac:dyDescent="0.2">
      <c r="B1657" s="236"/>
      <c r="C1657" s="236"/>
      <c r="D1657" s="236"/>
    </row>
    <row r="1658" spans="2:4" x14ac:dyDescent="0.2">
      <c r="B1658" s="236"/>
      <c r="C1658" s="236"/>
      <c r="D1658" s="236"/>
    </row>
    <row r="1659" spans="2:4" ht="12.75" customHeight="1" x14ac:dyDescent="0.2">
      <c r="B1659" s="236"/>
      <c r="C1659" s="236"/>
      <c r="D1659" s="236"/>
    </row>
    <row r="1660" spans="2:4" ht="12.75" customHeight="1" x14ac:dyDescent="0.2">
      <c r="B1660" s="236"/>
      <c r="C1660" s="236"/>
      <c r="D1660" s="236"/>
    </row>
    <row r="1661" spans="2:4" x14ac:dyDescent="0.2">
      <c r="B1661" s="236"/>
      <c r="C1661" s="236"/>
      <c r="D1661" s="236"/>
    </row>
    <row r="1662" spans="2:4" ht="12.75" customHeight="1" x14ac:dyDescent="0.2">
      <c r="B1662" s="236"/>
      <c r="C1662" s="236"/>
      <c r="D1662" s="236"/>
    </row>
    <row r="1663" spans="2:4" ht="12.75" customHeight="1" x14ac:dyDescent="0.2">
      <c r="B1663" s="236"/>
      <c r="C1663" s="236"/>
      <c r="D1663" s="236"/>
    </row>
    <row r="1664" spans="2:4" x14ac:dyDescent="0.2">
      <c r="B1664" s="236"/>
      <c r="C1664" s="236"/>
      <c r="D1664" s="236"/>
    </row>
    <row r="1665" spans="2:4" ht="12.75" customHeight="1" x14ac:dyDescent="0.2">
      <c r="B1665" s="236"/>
      <c r="C1665" s="236"/>
      <c r="D1665" s="236"/>
    </row>
    <row r="1666" spans="2:4" ht="12.75" customHeight="1" x14ac:dyDescent="0.2">
      <c r="B1666" s="236"/>
      <c r="C1666" s="236"/>
      <c r="D1666" s="236"/>
    </row>
    <row r="1667" spans="2:4" x14ac:dyDescent="0.2">
      <c r="B1667" s="236"/>
      <c r="C1667" s="236"/>
      <c r="D1667" s="236"/>
    </row>
    <row r="1668" spans="2:4" ht="12.75" customHeight="1" x14ac:dyDescent="0.2">
      <c r="B1668" s="236"/>
      <c r="C1668" s="236"/>
      <c r="D1668" s="236"/>
    </row>
    <row r="1669" spans="2:4" ht="12.75" customHeight="1" x14ac:dyDescent="0.2">
      <c r="B1669" s="236"/>
      <c r="C1669" s="236"/>
      <c r="D1669" s="236"/>
    </row>
    <row r="1670" spans="2:4" x14ac:dyDescent="0.2">
      <c r="B1670" s="236"/>
      <c r="C1670" s="236"/>
      <c r="D1670" s="236"/>
    </row>
    <row r="1671" spans="2:4" ht="12.75" customHeight="1" x14ac:dyDescent="0.2">
      <c r="B1671" s="236"/>
      <c r="C1671" s="236"/>
      <c r="D1671" s="236"/>
    </row>
    <row r="1672" spans="2:4" ht="12.75" customHeight="1" x14ac:dyDescent="0.2">
      <c r="B1672" s="236"/>
      <c r="C1672" s="236"/>
      <c r="D1672" s="236"/>
    </row>
    <row r="1673" spans="2:4" x14ac:dyDescent="0.2">
      <c r="B1673" s="236"/>
      <c r="C1673" s="236"/>
      <c r="D1673" s="236"/>
    </row>
    <row r="1674" spans="2:4" ht="12.75" customHeight="1" x14ac:dyDescent="0.2">
      <c r="B1674" s="236"/>
      <c r="C1674" s="236"/>
      <c r="D1674" s="236"/>
    </row>
    <row r="1675" spans="2:4" ht="12.75" customHeight="1" x14ac:dyDescent="0.2">
      <c r="B1675" s="236"/>
      <c r="C1675" s="236"/>
      <c r="D1675" s="236"/>
    </row>
    <row r="1676" spans="2:4" ht="12.75" customHeight="1" x14ac:dyDescent="0.2">
      <c r="B1676" s="236"/>
      <c r="C1676" s="236"/>
      <c r="D1676" s="236"/>
    </row>
    <row r="1677" spans="2:4" ht="12.75" customHeight="1" x14ac:dyDescent="0.2">
      <c r="B1677" s="236"/>
      <c r="C1677" s="236"/>
      <c r="D1677" s="236"/>
    </row>
    <row r="1678" spans="2:4" ht="12.75" customHeight="1" x14ac:dyDescent="0.2">
      <c r="B1678" s="236"/>
      <c r="C1678" s="236"/>
      <c r="D1678" s="236"/>
    </row>
    <row r="1679" spans="2:4" x14ac:dyDescent="0.2">
      <c r="B1679" s="236"/>
      <c r="C1679" s="236"/>
      <c r="D1679" s="236"/>
    </row>
    <row r="1680" spans="2:4" ht="12.75" customHeight="1" x14ac:dyDescent="0.2">
      <c r="B1680" s="236"/>
      <c r="C1680" s="236"/>
      <c r="D1680" s="236"/>
    </row>
    <row r="1681" spans="2:4" ht="12.75" customHeight="1" x14ac:dyDescent="0.2">
      <c r="B1681" s="236"/>
      <c r="C1681" s="236"/>
      <c r="D1681" s="236"/>
    </row>
    <row r="1682" spans="2:4" ht="12.75" customHeight="1" x14ac:dyDescent="0.2">
      <c r="B1682" s="236"/>
      <c r="C1682" s="236"/>
      <c r="D1682" s="236"/>
    </row>
    <row r="1683" spans="2:4" ht="12.75" customHeight="1" x14ac:dyDescent="0.2">
      <c r="B1683" s="236"/>
      <c r="C1683" s="236"/>
      <c r="D1683" s="236"/>
    </row>
    <row r="1684" spans="2:4" x14ac:dyDescent="0.2">
      <c r="B1684" s="236"/>
      <c r="C1684" s="236"/>
      <c r="D1684" s="236"/>
    </row>
    <row r="1685" spans="2:4" ht="12.75" customHeight="1" x14ac:dyDescent="0.2">
      <c r="B1685" s="236"/>
      <c r="C1685" s="236"/>
      <c r="D1685" s="236"/>
    </row>
    <row r="1686" spans="2:4" x14ac:dyDescent="0.2">
      <c r="B1686" s="236"/>
      <c r="C1686" s="236"/>
      <c r="D1686" s="236"/>
    </row>
    <row r="1687" spans="2:4" x14ac:dyDescent="0.2">
      <c r="B1687" s="236"/>
      <c r="C1687" s="236"/>
      <c r="D1687" s="236"/>
    </row>
    <row r="1688" spans="2:4" x14ac:dyDescent="0.2">
      <c r="B1688" s="236"/>
      <c r="C1688" s="236"/>
      <c r="D1688" s="236"/>
    </row>
    <row r="1689" spans="2:4" ht="12.75" customHeight="1" x14ac:dyDescent="0.2">
      <c r="B1689" s="236"/>
      <c r="C1689" s="236"/>
      <c r="D1689" s="236"/>
    </row>
    <row r="1690" spans="2:4" x14ac:dyDescent="0.2">
      <c r="B1690" s="236"/>
      <c r="C1690" s="236"/>
      <c r="D1690" s="236"/>
    </row>
    <row r="1691" spans="2:4" ht="12.75" customHeight="1" x14ac:dyDescent="0.2">
      <c r="B1691" s="236"/>
      <c r="C1691" s="236"/>
      <c r="D1691" s="236"/>
    </row>
    <row r="1692" spans="2:4" ht="12.75" customHeight="1" x14ac:dyDescent="0.2">
      <c r="B1692" s="236"/>
      <c r="C1692" s="236"/>
      <c r="D1692" s="236"/>
    </row>
    <row r="1693" spans="2:4" ht="12.75" customHeight="1" x14ac:dyDescent="0.2">
      <c r="B1693" s="236"/>
      <c r="C1693" s="236"/>
      <c r="D1693" s="236"/>
    </row>
    <row r="1694" spans="2:4" ht="12.75" customHeight="1" x14ac:dyDescent="0.2">
      <c r="B1694" s="236"/>
      <c r="C1694" s="236"/>
      <c r="D1694" s="236"/>
    </row>
    <row r="1695" spans="2:4" ht="12.75" customHeight="1" x14ac:dyDescent="0.2">
      <c r="B1695" s="236"/>
      <c r="C1695" s="236"/>
      <c r="D1695" s="236"/>
    </row>
    <row r="1696" spans="2:4" ht="12.75" customHeight="1" x14ac:dyDescent="0.2">
      <c r="B1696" s="236"/>
      <c r="C1696" s="236"/>
      <c r="D1696" s="236"/>
    </row>
    <row r="1697" spans="2:4" ht="12.75" customHeight="1" x14ac:dyDescent="0.2">
      <c r="B1697" s="236"/>
      <c r="C1697" s="236"/>
      <c r="D1697" s="236"/>
    </row>
    <row r="1698" spans="2:4" ht="12.75" customHeight="1" x14ac:dyDescent="0.2">
      <c r="B1698" s="236"/>
      <c r="C1698" s="236"/>
      <c r="D1698" s="236"/>
    </row>
    <row r="1699" spans="2:4" ht="12.75" customHeight="1" x14ac:dyDescent="0.2">
      <c r="B1699" s="236"/>
      <c r="C1699" s="236"/>
      <c r="D1699" s="236"/>
    </row>
    <row r="1700" spans="2:4" x14ac:dyDescent="0.2">
      <c r="B1700" s="236"/>
      <c r="C1700" s="236"/>
      <c r="D1700" s="236"/>
    </row>
    <row r="1701" spans="2:4" ht="12.75" customHeight="1" x14ac:dyDescent="0.2">
      <c r="B1701" s="236"/>
      <c r="C1701" s="236"/>
      <c r="D1701" s="236"/>
    </row>
    <row r="1702" spans="2:4" x14ac:dyDescent="0.2">
      <c r="B1702" s="236"/>
      <c r="C1702" s="236"/>
      <c r="D1702" s="236"/>
    </row>
    <row r="1703" spans="2:4" x14ac:dyDescent="0.2">
      <c r="B1703" s="236"/>
      <c r="C1703" s="236"/>
      <c r="D1703" s="236"/>
    </row>
    <row r="1704" spans="2:4" ht="12.75" customHeight="1" x14ac:dyDescent="0.2">
      <c r="B1704" s="236"/>
      <c r="C1704" s="236"/>
      <c r="D1704" s="236"/>
    </row>
    <row r="1705" spans="2:4" x14ac:dyDescent="0.2">
      <c r="B1705" s="236"/>
      <c r="C1705" s="236"/>
      <c r="D1705" s="236"/>
    </row>
    <row r="1706" spans="2:4" ht="12.75" customHeight="1" x14ac:dyDescent="0.2">
      <c r="B1706" s="236"/>
      <c r="C1706" s="236"/>
      <c r="D1706" s="236"/>
    </row>
    <row r="1707" spans="2:4" ht="12.75" customHeight="1" x14ac:dyDescent="0.2">
      <c r="B1707" s="236"/>
      <c r="C1707" s="236"/>
      <c r="D1707" s="236"/>
    </row>
    <row r="1708" spans="2:4" ht="12.75" customHeight="1" x14ac:dyDescent="0.2">
      <c r="B1708" s="236"/>
      <c r="C1708" s="236"/>
      <c r="D1708" s="236"/>
    </row>
    <row r="1709" spans="2:4" ht="12.75" customHeight="1" x14ac:dyDescent="0.2">
      <c r="B1709" s="236"/>
      <c r="C1709" s="236"/>
      <c r="D1709" s="236"/>
    </row>
    <row r="1710" spans="2:4" ht="12.75" customHeight="1" x14ac:dyDescent="0.2">
      <c r="B1710" s="236"/>
      <c r="C1710" s="236"/>
      <c r="D1710" s="236"/>
    </row>
    <row r="1711" spans="2:4" ht="12.75" customHeight="1" x14ac:dyDescent="0.2">
      <c r="B1711" s="236"/>
      <c r="C1711" s="236"/>
      <c r="D1711" s="236"/>
    </row>
    <row r="1712" spans="2:4" ht="12.75" customHeight="1" x14ac:dyDescent="0.2">
      <c r="B1712" s="236"/>
      <c r="C1712" s="236"/>
      <c r="D1712" s="236"/>
    </row>
    <row r="1713" spans="2:4" ht="12.75" customHeight="1" x14ac:dyDescent="0.2">
      <c r="B1713" s="236"/>
      <c r="C1713" s="236"/>
      <c r="D1713" s="236"/>
    </row>
    <row r="1714" spans="2:4" ht="12.75" customHeight="1" x14ac:dyDescent="0.2">
      <c r="B1714" s="236"/>
      <c r="C1714" s="236"/>
      <c r="D1714" s="236"/>
    </row>
    <row r="1715" spans="2:4" ht="12.75" customHeight="1" x14ac:dyDescent="0.2">
      <c r="B1715" s="236"/>
      <c r="C1715" s="236"/>
      <c r="D1715" s="236"/>
    </row>
    <row r="1716" spans="2:4" ht="12.75" customHeight="1" x14ac:dyDescent="0.2">
      <c r="B1716" s="236"/>
      <c r="C1716" s="236"/>
      <c r="D1716" s="236"/>
    </row>
    <row r="1717" spans="2:4" ht="12.75" customHeight="1" x14ac:dyDescent="0.2">
      <c r="B1717" s="236"/>
      <c r="C1717" s="236"/>
      <c r="D1717" s="236"/>
    </row>
    <row r="1718" spans="2:4" ht="12.75" customHeight="1" x14ac:dyDescent="0.2">
      <c r="B1718" s="236"/>
      <c r="C1718" s="236"/>
      <c r="D1718" s="236"/>
    </row>
    <row r="1719" spans="2:4" x14ac:dyDescent="0.2">
      <c r="B1719" s="236"/>
      <c r="C1719" s="236"/>
      <c r="D1719" s="236"/>
    </row>
    <row r="1720" spans="2:4" ht="12.75" customHeight="1" x14ac:dyDescent="0.2">
      <c r="B1720" s="236"/>
      <c r="C1720" s="236"/>
      <c r="D1720" s="236"/>
    </row>
    <row r="1721" spans="2:4" ht="12.75" customHeight="1" x14ac:dyDescent="0.2">
      <c r="B1721" s="236"/>
      <c r="C1721" s="236"/>
      <c r="D1721" s="236"/>
    </row>
    <row r="1722" spans="2:4" ht="12.75" customHeight="1" x14ac:dyDescent="0.2">
      <c r="B1722" s="236"/>
      <c r="C1722" s="236"/>
      <c r="D1722" s="236"/>
    </row>
    <row r="1723" spans="2:4" ht="12.75" customHeight="1" x14ac:dyDescent="0.2">
      <c r="B1723" s="236"/>
      <c r="C1723" s="236"/>
      <c r="D1723" s="236"/>
    </row>
    <row r="1724" spans="2:4" ht="12.75" customHeight="1" x14ac:dyDescent="0.2">
      <c r="B1724" s="236"/>
      <c r="C1724" s="236"/>
      <c r="D1724" s="236"/>
    </row>
    <row r="1725" spans="2:4" ht="12.75" customHeight="1" x14ac:dyDescent="0.2">
      <c r="B1725" s="236"/>
      <c r="C1725" s="236"/>
      <c r="D1725" s="236"/>
    </row>
    <row r="1726" spans="2:4" ht="12.75" customHeight="1" x14ac:dyDescent="0.2">
      <c r="B1726" s="236"/>
      <c r="C1726" s="236"/>
      <c r="D1726" s="236"/>
    </row>
    <row r="1727" spans="2:4" ht="12.75" customHeight="1" x14ac:dyDescent="0.2">
      <c r="B1727" s="236"/>
      <c r="C1727" s="236"/>
      <c r="D1727" s="236"/>
    </row>
    <row r="1728" spans="2:4" ht="12.75" customHeight="1" x14ac:dyDescent="0.2">
      <c r="B1728" s="236"/>
      <c r="C1728" s="236"/>
      <c r="D1728" s="236"/>
    </row>
    <row r="1729" spans="2:4" ht="12.75" customHeight="1" x14ac:dyDescent="0.2">
      <c r="B1729" s="236"/>
      <c r="C1729" s="236"/>
      <c r="D1729" s="236"/>
    </row>
    <row r="1730" spans="2:4" ht="12.75" customHeight="1" x14ac:dyDescent="0.2">
      <c r="B1730" s="236"/>
      <c r="C1730" s="236"/>
      <c r="D1730" s="236"/>
    </row>
    <row r="1731" spans="2:4" ht="12.75" customHeight="1" x14ac:dyDescent="0.2">
      <c r="B1731" s="236"/>
      <c r="C1731" s="236"/>
      <c r="D1731" s="236"/>
    </row>
    <row r="1732" spans="2:4" ht="12.75" customHeight="1" x14ac:dyDescent="0.2">
      <c r="B1732" s="236"/>
      <c r="C1732" s="236"/>
      <c r="D1732" s="236"/>
    </row>
    <row r="1733" spans="2:4" ht="12.75" customHeight="1" x14ac:dyDescent="0.2">
      <c r="B1733" s="236"/>
      <c r="C1733" s="236"/>
      <c r="D1733" s="236"/>
    </row>
    <row r="1734" spans="2:4" ht="12.75" customHeight="1" x14ac:dyDescent="0.2">
      <c r="B1734" s="236"/>
      <c r="C1734" s="236"/>
      <c r="D1734" s="236"/>
    </row>
    <row r="1735" spans="2:4" ht="12.75" customHeight="1" x14ac:dyDescent="0.2">
      <c r="B1735" s="236"/>
      <c r="C1735" s="236"/>
      <c r="D1735" s="236"/>
    </row>
    <row r="1736" spans="2:4" ht="12.75" customHeight="1" x14ac:dyDescent="0.2">
      <c r="B1736" s="236"/>
      <c r="C1736" s="236"/>
      <c r="D1736" s="236"/>
    </row>
    <row r="1737" spans="2:4" ht="12.75" customHeight="1" x14ac:dyDescent="0.2">
      <c r="B1737" s="236"/>
      <c r="C1737" s="236"/>
      <c r="D1737" s="236"/>
    </row>
    <row r="1738" spans="2:4" x14ac:dyDescent="0.2">
      <c r="B1738" s="236"/>
      <c r="C1738" s="236"/>
      <c r="D1738" s="236"/>
    </row>
    <row r="1739" spans="2:4" ht="12.75" customHeight="1" x14ac:dyDescent="0.2">
      <c r="B1739" s="236"/>
      <c r="C1739" s="236"/>
      <c r="D1739" s="236"/>
    </row>
    <row r="1740" spans="2:4" ht="12.75" customHeight="1" x14ac:dyDescent="0.2">
      <c r="B1740" s="236"/>
      <c r="C1740" s="236"/>
      <c r="D1740" s="236"/>
    </row>
    <row r="1741" spans="2:4" ht="12.75" customHeight="1" x14ac:dyDescent="0.2">
      <c r="B1741" s="236"/>
      <c r="C1741" s="236"/>
      <c r="D1741" s="236"/>
    </row>
    <row r="1742" spans="2:4" ht="12.75" customHeight="1" x14ac:dyDescent="0.2">
      <c r="B1742" s="236"/>
      <c r="C1742" s="236"/>
      <c r="D1742" s="236"/>
    </row>
    <row r="1743" spans="2:4" ht="12.75" customHeight="1" x14ac:dyDescent="0.2">
      <c r="B1743" s="236"/>
      <c r="C1743" s="236"/>
      <c r="D1743" s="236"/>
    </row>
    <row r="1744" spans="2:4" ht="12.75" customHeight="1" x14ac:dyDescent="0.2">
      <c r="B1744" s="236"/>
      <c r="C1744" s="236"/>
      <c r="D1744" s="236"/>
    </row>
    <row r="1745" spans="2:4" ht="12.75" customHeight="1" x14ac:dyDescent="0.2">
      <c r="B1745" s="236"/>
      <c r="C1745" s="236"/>
      <c r="D1745" s="236"/>
    </row>
    <row r="1746" spans="2:4" ht="12.75" customHeight="1" x14ac:dyDescent="0.2">
      <c r="B1746" s="236"/>
      <c r="C1746" s="236"/>
      <c r="D1746" s="236"/>
    </row>
    <row r="1747" spans="2:4" ht="12.75" customHeight="1" x14ac:dyDescent="0.2">
      <c r="B1747" s="236"/>
      <c r="C1747" s="236"/>
      <c r="D1747" s="236"/>
    </row>
    <row r="1748" spans="2:4" ht="12.75" customHeight="1" x14ac:dyDescent="0.2">
      <c r="B1748" s="236"/>
      <c r="C1748" s="236"/>
      <c r="D1748" s="236"/>
    </row>
    <row r="1749" spans="2:4" ht="12.75" customHeight="1" x14ac:dyDescent="0.2">
      <c r="B1749" s="236"/>
      <c r="C1749" s="236"/>
      <c r="D1749" s="236"/>
    </row>
    <row r="1750" spans="2:4" x14ac:dyDescent="0.2">
      <c r="B1750" s="236"/>
      <c r="C1750" s="236"/>
      <c r="D1750" s="236"/>
    </row>
    <row r="1751" spans="2:4" ht="12.75" customHeight="1" x14ac:dyDescent="0.2">
      <c r="B1751" s="236"/>
      <c r="C1751" s="236"/>
      <c r="D1751" s="236"/>
    </row>
    <row r="1752" spans="2:4" ht="12.75" customHeight="1" x14ac:dyDescent="0.2">
      <c r="B1752" s="236"/>
      <c r="C1752" s="236"/>
      <c r="D1752" s="236"/>
    </row>
    <row r="1753" spans="2:4" ht="12.75" customHeight="1" x14ac:dyDescent="0.2">
      <c r="B1753" s="236"/>
      <c r="C1753" s="236"/>
      <c r="D1753" s="236"/>
    </row>
    <row r="1754" spans="2:4" x14ac:dyDescent="0.2">
      <c r="B1754" s="236"/>
      <c r="C1754" s="236"/>
      <c r="D1754" s="236"/>
    </row>
    <row r="1755" spans="2:4" ht="12.75" customHeight="1" x14ac:dyDescent="0.2">
      <c r="B1755" s="236"/>
      <c r="C1755" s="236"/>
      <c r="D1755" s="236"/>
    </row>
    <row r="1756" spans="2:4" ht="12.75" customHeight="1" x14ac:dyDescent="0.2">
      <c r="B1756" s="236"/>
      <c r="C1756" s="236"/>
      <c r="D1756" s="236"/>
    </row>
    <row r="1757" spans="2:4" ht="12.75" customHeight="1" x14ac:dyDescent="0.2">
      <c r="B1757" s="236"/>
      <c r="C1757" s="236"/>
      <c r="D1757" s="236"/>
    </row>
    <row r="1758" spans="2:4" x14ac:dyDescent="0.2">
      <c r="B1758" s="236"/>
      <c r="C1758" s="236"/>
      <c r="D1758" s="236"/>
    </row>
    <row r="1759" spans="2:4" ht="12.75" customHeight="1" x14ac:dyDescent="0.2">
      <c r="B1759" s="236"/>
      <c r="C1759" s="236"/>
      <c r="D1759" s="236"/>
    </row>
    <row r="1760" spans="2:4" x14ac:dyDescent="0.2">
      <c r="B1760" s="236"/>
      <c r="C1760" s="236"/>
      <c r="D1760" s="236"/>
    </row>
    <row r="1761" spans="2:4" ht="12.75" customHeight="1" x14ac:dyDescent="0.2">
      <c r="B1761" s="236"/>
      <c r="C1761" s="236"/>
      <c r="D1761" s="236"/>
    </row>
    <row r="1762" spans="2:4" ht="12.75" customHeight="1" x14ac:dyDescent="0.2">
      <c r="B1762" s="236"/>
      <c r="C1762" s="236"/>
      <c r="D1762" s="236"/>
    </row>
    <row r="1763" spans="2:4" ht="12.75" customHeight="1" x14ac:dyDescent="0.2">
      <c r="B1763" s="236"/>
      <c r="C1763" s="236"/>
      <c r="D1763" s="236"/>
    </row>
    <row r="1764" spans="2:4" ht="12.75" customHeight="1" x14ac:dyDescent="0.2">
      <c r="B1764" s="236"/>
      <c r="C1764" s="236"/>
      <c r="D1764" s="236"/>
    </row>
    <row r="1765" spans="2:4" ht="12.75" customHeight="1" x14ac:dyDescent="0.2">
      <c r="B1765" s="236"/>
      <c r="C1765" s="236"/>
      <c r="D1765" s="236"/>
    </row>
    <row r="1766" spans="2:4" ht="12.75" customHeight="1" x14ac:dyDescent="0.2">
      <c r="B1766" s="236"/>
      <c r="C1766" s="236"/>
      <c r="D1766" s="236"/>
    </row>
    <row r="1767" spans="2:4" ht="12.75" customHeight="1" x14ac:dyDescent="0.2">
      <c r="B1767" s="236"/>
      <c r="C1767" s="236"/>
      <c r="D1767" s="236"/>
    </row>
    <row r="1768" spans="2:4" ht="12.75" customHeight="1" x14ac:dyDescent="0.2">
      <c r="B1768" s="236"/>
      <c r="C1768" s="236"/>
      <c r="D1768" s="236"/>
    </row>
    <row r="1769" spans="2:4" ht="12.75" customHeight="1" x14ac:dyDescent="0.2">
      <c r="B1769" s="236"/>
      <c r="C1769" s="236"/>
      <c r="D1769" s="236"/>
    </row>
    <row r="1770" spans="2:4" ht="12.75" customHeight="1" x14ac:dyDescent="0.2">
      <c r="B1770" s="236"/>
      <c r="C1770" s="236"/>
      <c r="D1770" s="236"/>
    </row>
    <row r="1771" spans="2:4" ht="12.75" customHeight="1" x14ac:dyDescent="0.2">
      <c r="B1771" s="236"/>
      <c r="C1771" s="236"/>
      <c r="D1771" s="236"/>
    </row>
    <row r="1772" spans="2:4" ht="12.75" customHeight="1" x14ac:dyDescent="0.2">
      <c r="B1772" s="236"/>
      <c r="C1772" s="236"/>
      <c r="D1772" s="236"/>
    </row>
    <row r="1773" spans="2:4" ht="12.75" customHeight="1" x14ac:dyDescent="0.2">
      <c r="B1773" s="236"/>
      <c r="C1773" s="236"/>
      <c r="D1773" s="236"/>
    </row>
    <row r="1774" spans="2:4" x14ac:dyDescent="0.2">
      <c r="B1774" s="236"/>
      <c r="C1774" s="236"/>
      <c r="D1774" s="236"/>
    </row>
    <row r="1775" spans="2:4" ht="12.75" customHeight="1" x14ac:dyDescent="0.2">
      <c r="B1775" s="236"/>
      <c r="C1775" s="236"/>
      <c r="D1775" s="236"/>
    </row>
    <row r="1776" spans="2:4" ht="12.75" customHeight="1" x14ac:dyDescent="0.2">
      <c r="B1776" s="236"/>
      <c r="C1776" s="236"/>
      <c r="D1776" s="236"/>
    </row>
    <row r="1777" spans="2:4" x14ac:dyDescent="0.2">
      <c r="B1777" s="236"/>
      <c r="C1777" s="236"/>
      <c r="D1777" s="236"/>
    </row>
    <row r="1778" spans="2:4" ht="12.75" customHeight="1" x14ac:dyDescent="0.2">
      <c r="B1778" s="236"/>
      <c r="C1778" s="236"/>
      <c r="D1778" s="236"/>
    </row>
    <row r="1779" spans="2:4" ht="12.75" customHeight="1" x14ac:dyDescent="0.2">
      <c r="B1779" s="236"/>
      <c r="C1779" s="236"/>
      <c r="D1779" s="236"/>
    </row>
    <row r="1780" spans="2:4" x14ac:dyDescent="0.2">
      <c r="B1780" s="236"/>
      <c r="C1780" s="236"/>
      <c r="D1780" s="236"/>
    </row>
    <row r="1781" spans="2:4" ht="12.75" customHeight="1" x14ac:dyDescent="0.2">
      <c r="B1781" s="236"/>
      <c r="C1781" s="236"/>
      <c r="D1781" s="236"/>
    </row>
    <row r="1782" spans="2:4" x14ac:dyDescent="0.2">
      <c r="B1782" s="236"/>
      <c r="C1782" s="236"/>
      <c r="D1782" s="236"/>
    </row>
    <row r="1783" spans="2:4" ht="12.75" customHeight="1" x14ac:dyDescent="0.2">
      <c r="B1783" s="236"/>
      <c r="C1783" s="236"/>
      <c r="D1783" s="236"/>
    </row>
    <row r="1784" spans="2:4" x14ac:dyDescent="0.2">
      <c r="B1784" s="236"/>
      <c r="C1784" s="236"/>
      <c r="D1784" s="236"/>
    </row>
    <row r="1785" spans="2:4" ht="12.75" customHeight="1" x14ac:dyDescent="0.2">
      <c r="B1785" s="236"/>
      <c r="C1785" s="236"/>
      <c r="D1785" s="236"/>
    </row>
    <row r="1786" spans="2:4" ht="12.75" customHeight="1" x14ac:dyDescent="0.2">
      <c r="B1786" s="236"/>
      <c r="C1786" s="236"/>
      <c r="D1786" s="236"/>
    </row>
    <row r="1787" spans="2:4" x14ac:dyDescent="0.2">
      <c r="B1787" s="236"/>
      <c r="C1787" s="236"/>
      <c r="D1787" s="236"/>
    </row>
    <row r="1788" spans="2:4" ht="12.75" customHeight="1" x14ac:dyDescent="0.2">
      <c r="B1788" s="236"/>
      <c r="C1788" s="236"/>
      <c r="D1788" s="236"/>
    </row>
    <row r="1789" spans="2:4" x14ac:dyDescent="0.2">
      <c r="B1789" s="236"/>
      <c r="C1789" s="236"/>
      <c r="D1789" s="236"/>
    </row>
    <row r="1790" spans="2:4" ht="12.75" customHeight="1" x14ac:dyDescent="0.2">
      <c r="B1790" s="236"/>
      <c r="C1790" s="236"/>
      <c r="D1790" s="236"/>
    </row>
    <row r="1791" spans="2:4" x14ac:dyDescent="0.2">
      <c r="B1791" s="236"/>
      <c r="C1791" s="236"/>
      <c r="D1791" s="236"/>
    </row>
    <row r="1792" spans="2:4" ht="12.75" customHeight="1" x14ac:dyDescent="0.2">
      <c r="B1792" s="236"/>
      <c r="C1792" s="236"/>
      <c r="D1792" s="236"/>
    </row>
    <row r="1793" spans="2:4" x14ac:dyDescent="0.2">
      <c r="B1793" s="236"/>
      <c r="C1793" s="236"/>
      <c r="D1793" s="236"/>
    </row>
    <row r="1794" spans="2:4" ht="12.75" customHeight="1" x14ac:dyDescent="0.2">
      <c r="B1794" s="236"/>
      <c r="C1794" s="236"/>
      <c r="D1794" s="236"/>
    </row>
    <row r="1795" spans="2:4" x14ac:dyDescent="0.2">
      <c r="B1795" s="236"/>
      <c r="C1795" s="236"/>
      <c r="D1795" s="236"/>
    </row>
    <row r="1796" spans="2:4" ht="12.75" customHeight="1" x14ac:dyDescent="0.2">
      <c r="B1796" s="236"/>
      <c r="C1796" s="236"/>
      <c r="D1796" s="236"/>
    </row>
    <row r="1797" spans="2:4" x14ac:dyDescent="0.2">
      <c r="B1797" s="236"/>
      <c r="C1797" s="236"/>
      <c r="D1797" s="236"/>
    </row>
    <row r="1798" spans="2:4" ht="12.75" customHeight="1" x14ac:dyDescent="0.2">
      <c r="B1798" s="236"/>
      <c r="C1798" s="236"/>
      <c r="D1798" s="236"/>
    </row>
    <row r="1799" spans="2:4" x14ac:dyDescent="0.2">
      <c r="B1799" s="236"/>
      <c r="C1799" s="236"/>
      <c r="D1799" s="236"/>
    </row>
    <row r="1800" spans="2:4" ht="12.75" customHeight="1" x14ac:dyDescent="0.2">
      <c r="B1800" s="236"/>
      <c r="C1800" s="236"/>
      <c r="D1800" s="236"/>
    </row>
    <row r="1801" spans="2:4" x14ac:dyDescent="0.2">
      <c r="B1801" s="236"/>
      <c r="C1801" s="236"/>
      <c r="D1801" s="236"/>
    </row>
    <row r="1802" spans="2:4" ht="12.75" customHeight="1" x14ac:dyDescent="0.2">
      <c r="B1802" s="236"/>
      <c r="C1802" s="236"/>
      <c r="D1802" s="236"/>
    </row>
    <row r="1803" spans="2:4" x14ac:dyDescent="0.2">
      <c r="B1803" s="236"/>
      <c r="C1803" s="236"/>
      <c r="D1803" s="236"/>
    </row>
    <row r="1804" spans="2:4" ht="12.75" customHeight="1" x14ac:dyDescent="0.2">
      <c r="B1804" s="236"/>
      <c r="C1804" s="236"/>
      <c r="D1804" s="236"/>
    </row>
    <row r="1805" spans="2:4" x14ac:dyDescent="0.2">
      <c r="B1805" s="236"/>
      <c r="C1805" s="236"/>
      <c r="D1805" s="236"/>
    </row>
    <row r="1806" spans="2:4" ht="12.75" customHeight="1" x14ac:dyDescent="0.2">
      <c r="B1806" s="236"/>
      <c r="C1806" s="236"/>
      <c r="D1806" s="236"/>
    </row>
    <row r="1807" spans="2:4" x14ac:dyDescent="0.2">
      <c r="B1807" s="236"/>
      <c r="C1807" s="236"/>
      <c r="D1807" s="236"/>
    </row>
    <row r="1808" spans="2:4" ht="12.75" customHeight="1" x14ac:dyDescent="0.2">
      <c r="B1808" s="236"/>
      <c r="C1808" s="236"/>
      <c r="D1808" s="236"/>
    </row>
    <row r="1809" spans="2:4" x14ac:dyDescent="0.2">
      <c r="B1809" s="236"/>
      <c r="C1809" s="236"/>
      <c r="D1809" s="236"/>
    </row>
    <row r="1810" spans="2:4" ht="12.75" customHeight="1" x14ac:dyDescent="0.2">
      <c r="B1810" s="236"/>
      <c r="C1810" s="236"/>
      <c r="D1810" s="236"/>
    </row>
    <row r="1811" spans="2:4" x14ac:dyDescent="0.2">
      <c r="B1811" s="236"/>
      <c r="C1811" s="236"/>
      <c r="D1811" s="236"/>
    </row>
    <row r="1812" spans="2:4" ht="12.75" customHeight="1" x14ac:dyDescent="0.2">
      <c r="B1812" s="236"/>
      <c r="C1812" s="236"/>
      <c r="D1812" s="236"/>
    </row>
    <row r="1813" spans="2:4" ht="12.75" customHeight="1" x14ac:dyDescent="0.2">
      <c r="B1813" s="236"/>
      <c r="C1813" s="236"/>
      <c r="D1813" s="236"/>
    </row>
    <row r="1814" spans="2:4" ht="12.75" customHeight="1" x14ac:dyDescent="0.2">
      <c r="B1814" s="236"/>
      <c r="C1814" s="236"/>
      <c r="D1814" s="236"/>
    </row>
    <row r="1815" spans="2:4" ht="12.75" customHeight="1" x14ac:dyDescent="0.2">
      <c r="B1815" s="236"/>
      <c r="C1815" s="236"/>
      <c r="D1815" s="236"/>
    </row>
    <row r="1816" spans="2:4" ht="12.75" customHeight="1" x14ac:dyDescent="0.2">
      <c r="B1816" s="236"/>
      <c r="C1816" s="236"/>
      <c r="D1816" s="236"/>
    </row>
    <row r="1817" spans="2:4" ht="12.75" customHeight="1" x14ac:dyDescent="0.2">
      <c r="B1817" s="236"/>
      <c r="C1817" s="236"/>
      <c r="D1817" s="236"/>
    </row>
    <row r="1818" spans="2:4" x14ac:dyDescent="0.2">
      <c r="B1818" s="236"/>
      <c r="C1818" s="236"/>
      <c r="D1818" s="236"/>
    </row>
    <row r="1819" spans="2:4" ht="12.75" customHeight="1" x14ac:dyDescent="0.2">
      <c r="B1819" s="236"/>
      <c r="C1819" s="236"/>
      <c r="D1819" s="236"/>
    </row>
    <row r="1820" spans="2:4" ht="12.75" customHeight="1" x14ac:dyDescent="0.2">
      <c r="B1820" s="236"/>
      <c r="C1820" s="236"/>
      <c r="D1820" s="236"/>
    </row>
    <row r="1821" spans="2:4" ht="12.75" customHeight="1" x14ac:dyDescent="0.2">
      <c r="B1821" s="236"/>
      <c r="C1821" s="236"/>
      <c r="D1821" s="236"/>
    </row>
    <row r="1822" spans="2:4" ht="12.75" customHeight="1" x14ac:dyDescent="0.2">
      <c r="B1822" s="236"/>
      <c r="C1822" s="236"/>
      <c r="D1822" s="236"/>
    </row>
    <row r="1823" spans="2:4" ht="12.75" customHeight="1" x14ac:dyDescent="0.2">
      <c r="B1823" s="236"/>
      <c r="C1823" s="236"/>
      <c r="D1823" s="236"/>
    </row>
    <row r="1824" spans="2:4" ht="12.75" customHeight="1" x14ac:dyDescent="0.2">
      <c r="B1824" s="236"/>
      <c r="C1824" s="236"/>
      <c r="D1824" s="236"/>
    </row>
    <row r="1825" spans="2:4" ht="12.75" customHeight="1" x14ac:dyDescent="0.2">
      <c r="B1825" s="236"/>
      <c r="C1825" s="236"/>
      <c r="D1825" s="236"/>
    </row>
    <row r="1826" spans="2:4" x14ac:dyDescent="0.2">
      <c r="B1826" s="236"/>
      <c r="C1826" s="236"/>
      <c r="D1826" s="236"/>
    </row>
    <row r="1827" spans="2:4" ht="12.75" customHeight="1" x14ac:dyDescent="0.2">
      <c r="B1827" s="236"/>
      <c r="C1827" s="236"/>
      <c r="D1827" s="236"/>
    </row>
    <row r="1828" spans="2:4" ht="12.75" customHeight="1" x14ac:dyDescent="0.2">
      <c r="B1828" s="236"/>
      <c r="C1828" s="236"/>
      <c r="D1828" s="236"/>
    </row>
    <row r="1829" spans="2:4" ht="12.75" customHeight="1" x14ac:dyDescent="0.2">
      <c r="B1829" s="236"/>
      <c r="C1829" s="236"/>
      <c r="D1829" s="236"/>
    </row>
    <row r="1830" spans="2:4" ht="12.75" customHeight="1" x14ac:dyDescent="0.2">
      <c r="B1830" s="236"/>
      <c r="C1830" s="236"/>
      <c r="D1830" s="236"/>
    </row>
    <row r="1831" spans="2:4" x14ac:dyDescent="0.2">
      <c r="B1831" s="236"/>
      <c r="C1831" s="236"/>
      <c r="D1831" s="236"/>
    </row>
    <row r="1832" spans="2:4" ht="12.75" customHeight="1" x14ac:dyDescent="0.2">
      <c r="B1832" s="236"/>
      <c r="C1832" s="236"/>
      <c r="D1832" s="236"/>
    </row>
    <row r="1833" spans="2:4" ht="12.75" customHeight="1" x14ac:dyDescent="0.2">
      <c r="B1833" s="236"/>
      <c r="C1833" s="236"/>
      <c r="D1833" s="236"/>
    </row>
    <row r="1834" spans="2:4" x14ac:dyDescent="0.2">
      <c r="B1834" s="236"/>
      <c r="C1834" s="236"/>
      <c r="D1834" s="236"/>
    </row>
    <row r="1835" spans="2:4" ht="12.75" customHeight="1" x14ac:dyDescent="0.2">
      <c r="B1835" s="236"/>
      <c r="C1835" s="236"/>
      <c r="D1835" s="236"/>
    </row>
    <row r="1836" spans="2:4" x14ac:dyDescent="0.2">
      <c r="B1836" s="236"/>
      <c r="C1836" s="236"/>
      <c r="D1836" s="236"/>
    </row>
    <row r="1837" spans="2:4" ht="12.75" customHeight="1" x14ac:dyDescent="0.2">
      <c r="B1837" s="236"/>
      <c r="C1837" s="236"/>
      <c r="D1837" s="236"/>
    </row>
    <row r="1838" spans="2:4" x14ac:dyDescent="0.2">
      <c r="B1838" s="236"/>
      <c r="C1838" s="236"/>
      <c r="D1838" s="236"/>
    </row>
    <row r="1839" spans="2:4" ht="12.75" customHeight="1" x14ac:dyDescent="0.2">
      <c r="B1839" s="236"/>
      <c r="C1839" s="236"/>
      <c r="D1839" s="236"/>
    </row>
    <row r="1840" spans="2:4" x14ac:dyDescent="0.2">
      <c r="B1840" s="236"/>
      <c r="C1840" s="236"/>
      <c r="D1840" s="236"/>
    </row>
    <row r="1841" spans="2:4" ht="12.75" customHeight="1" x14ac:dyDescent="0.2">
      <c r="B1841" s="236"/>
      <c r="C1841" s="236"/>
      <c r="D1841" s="236"/>
    </row>
    <row r="1842" spans="2:4" x14ac:dyDescent="0.2">
      <c r="B1842" s="236"/>
      <c r="C1842" s="236"/>
      <c r="D1842" s="236"/>
    </row>
    <row r="1843" spans="2:4" ht="12.75" customHeight="1" x14ac:dyDescent="0.2">
      <c r="B1843" s="236"/>
      <c r="C1843" s="236"/>
      <c r="D1843" s="236"/>
    </row>
    <row r="1844" spans="2:4" x14ac:dyDescent="0.2">
      <c r="B1844" s="236"/>
      <c r="C1844" s="236"/>
      <c r="D1844" s="236"/>
    </row>
    <row r="1845" spans="2:4" ht="12.75" customHeight="1" x14ac:dyDescent="0.2">
      <c r="B1845" s="236"/>
      <c r="C1845" s="236"/>
      <c r="D1845" s="236"/>
    </row>
    <row r="1846" spans="2:4" x14ac:dyDescent="0.2">
      <c r="B1846" s="236"/>
      <c r="C1846" s="236"/>
      <c r="D1846" s="236"/>
    </row>
    <row r="1847" spans="2:4" ht="12.75" customHeight="1" x14ac:dyDescent="0.2">
      <c r="B1847" s="236"/>
      <c r="C1847" s="236"/>
      <c r="D1847" s="236"/>
    </row>
    <row r="1848" spans="2:4" x14ac:dyDescent="0.2">
      <c r="B1848" s="236"/>
      <c r="C1848" s="236"/>
      <c r="D1848" s="236"/>
    </row>
    <row r="1849" spans="2:4" ht="12.75" customHeight="1" x14ac:dyDescent="0.2">
      <c r="B1849" s="236"/>
      <c r="C1849" s="236"/>
      <c r="D1849" s="236"/>
    </row>
    <row r="1850" spans="2:4" x14ac:dyDescent="0.2">
      <c r="B1850" s="236"/>
      <c r="C1850" s="236"/>
      <c r="D1850" s="236"/>
    </row>
    <row r="1851" spans="2:4" ht="12.75" customHeight="1" x14ac:dyDescent="0.2">
      <c r="B1851" s="236"/>
      <c r="C1851" s="236"/>
      <c r="D1851" s="236"/>
    </row>
    <row r="1852" spans="2:4" x14ac:dyDescent="0.2">
      <c r="B1852" s="236"/>
      <c r="C1852" s="236"/>
      <c r="D1852" s="236"/>
    </row>
    <row r="1853" spans="2:4" ht="12.75" customHeight="1" x14ac:dyDescent="0.2">
      <c r="B1853" s="236"/>
      <c r="C1853" s="236"/>
      <c r="D1853" s="236"/>
    </row>
    <row r="1854" spans="2:4" x14ac:dyDescent="0.2">
      <c r="B1854" s="236"/>
      <c r="C1854" s="236"/>
      <c r="D1854" s="236"/>
    </row>
    <row r="1855" spans="2:4" ht="12.75" customHeight="1" x14ac:dyDescent="0.2">
      <c r="B1855" s="236"/>
      <c r="C1855" s="236"/>
      <c r="D1855" s="236"/>
    </row>
    <row r="1856" spans="2:4" x14ac:dyDescent="0.2">
      <c r="B1856" s="236"/>
      <c r="C1856" s="236"/>
      <c r="D1856" s="236"/>
    </row>
    <row r="1857" spans="2:4" ht="12.75" customHeight="1" x14ac:dyDescent="0.2">
      <c r="B1857" s="236"/>
      <c r="C1857" s="236"/>
      <c r="D1857" s="236"/>
    </row>
    <row r="1858" spans="2:4" x14ac:dyDescent="0.2">
      <c r="B1858" s="236"/>
      <c r="C1858" s="236"/>
      <c r="D1858" s="236"/>
    </row>
    <row r="1859" spans="2:4" ht="12.75" customHeight="1" x14ac:dyDescent="0.2">
      <c r="B1859" s="236"/>
      <c r="C1859" s="236"/>
      <c r="D1859" s="236"/>
    </row>
    <row r="1860" spans="2:4" x14ac:dyDescent="0.2">
      <c r="B1860" s="236"/>
      <c r="C1860" s="236"/>
      <c r="D1860" s="236"/>
    </row>
    <row r="1861" spans="2:4" ht="12.75" customHeight="1" x14ac:dyDescent="0.2">
      <c r="B1861" s="236"/>
      <c r="C1861" s="236"/>
      <c r="D1861" s="236"/>
    </row>
    <row r="1862" spans="2:4" x14ac:dyDescent="0.2">
      <c r="B1862" s="236"/>
      <c r="C1862" s="236"/>
      <c r="D1862" s="236"/>
    </row>
    <row r="1863" spans="2:4" ht="12.75" customHeight="1" x14ac:dyDescent="0.2">
      <c r="B1863" s="236"/>
      <c r="C1863" s="236"/>
      <c r="D1863" s="236"/>
    </row>
    <row r="1864" spans="2:4" ht="12.75" customHeight="1" x14ac:dyDescent="0.2">
      <c r="B1864" s="236"/>
      <c r="C1864" s="236"/>
      <c r="D1864" s="236"/>
    </row>
    <row r="1865" spans="2:4" x14ac:dyDescent="0.2">
      <c r="B1865" s="236"/>
      <c r="C1865" s="236"/>
      <c r="D1865" s="236"/>
    </row>
    <row r="1866" spans="2:4" ht="12.75" customHeight="1" x14ac:dyDescent="0.2">
      <c r="B1866" s="236"/>
      <c r="C1866" s="236"/>
      <c r="D1866" s="236"/>
    </row>
    <row r="1867" spans="2:4" ht="12.75" customHeight="1" x14ac:dyDescent="0.2">
      <c r="B1867" s="236"/>
      <c r="C1867" s="236"/>
      <c r="D1867" s="236"/>
    </row>
    <row r="1868" spans="2:4" x14ac:dyDescent="0.2">
      <c r="B1868" s="236"/>
      <c r="C1868" s="236"/>
      <c r="D1868" s="236"/>
    </row>
    <row r="1869" spans="2:4" ht="12.75" customHeight="1" x14ac:dyDescent="0.2">
      <c r="B1869" s="236"/>
      <c r="C1869" s="236"/>
      <c r="D1869" s="236"/>
    </row>
    <row r="1870" spans="2:4" x14ac:dyDescent="0.2">
      <c r="B1870" s="236"/>
      <c r="C1870" s="236"/>
      <c r="D1870" s="236"/>
    </row>
    <row r="1871" spans="2:4" ht="12.75" customHeight="1" x14ac:dyDescent="0.2">
      <c r="B1871" s="236"/>
      <c r="C1871" s="236"/>
      <c r="D1871" s="236"/>
    </row>
    <row r="1872" spans="2:4" ht="12.75" customHeight="1" x14ac:dyDescent="0.2">
      <c r="B1872" s="236"/>
      <c r="C1872" s="236"/>
      <c r="D1872" s="236"/>
    </row>
    <row r="1873" spans="2:4" x14ac:dyDescent="0.2">
      <c r="B1873" s="236"/>
      <c r="C1873" s="236"/>
      <c r="D1873" s="236"/>
    </row>
    <row r="1874" spans="2:4" ht="12.75" customHeight="1" x14ac:dyDescent="0.2">
      <c r="B1874" s="236"/>
      <c r="C1874" s="236"/>
      <c r="D1874" s="236"/>
    </row>
    <row r="1875" spans="2:4" ht="12.75" customHeight="1" x14ac:dyDescent="0.2">
      <c r="B1875" s="236"/>
      <c r="C1875" s="236"/>
      <c r="D1875" s="236"/>
    </row>
    <row r="1876" spans="2:4" ht="12.75" customHeight="1" x14ac:dyDescent="0.2">
      <c r="B1876" s="236"/>
      <c r="C1876" s="236"/>
      <c r="D1876" s="236"/>
    </row>
    <row r="1877" spans="2:4" ht="12.75" customHeight="1" x14ac:dyDescent="0.2">
      <c r="B1877" s="236"/>
      <c r="C1877" s="236"/>
      <c r="D1877" s="236"/>
    </row>
    <row r="1878" spans="2:4" ht="12.75" customHeight="1" x14ac:dyDescent="0.2">
      <c r="B1878" s="236"/>
      <c r="C1878" s="236"/>
      <c r="D1878" s="236"/>
    </row>
    <row r="1879" spans="2:4" x14ac:dyDescent="0.2">
      <c r="B1879" s="236"/>
      <c r="C1879" s="236"/>
      <c r="D1879" s="236"/>
    </row>
    <row r="1880" spans="2:4" ht="12.75" customHeight="1" x14ac:dyDescent="0.2">
      <c r="B1880" s="236"/>
      <c r="C1880" s="236"/>
      <c r="D1880" s="236"/>
    </row>
    <row r="1881" spans="2:4" ht="12.75" customHeight="1" x14ac:dyDescent="0.2">
      <c r="B1881" s="236"/>
      <c r="C1881" s="236"/>
      <c r="D1881" s="236"/>
    </row>
    <row r="1882" spans="2:4" ht="12.75" customHeight="1" x14ac:dyDescent="0.2">
      <c r="B1882" s="236"/>
      <c r="C1882" s="236"/>
      <c r="D1882" s="236"/>
    </row>
    <row r="1883" spans="2:4" ht="12.75" customHeight="1" x14ac:dyDescent="0.2">
      <c r="B1883" s="236"/>
      <c r="C1883" s="236"/>
      <c r="D1883" s="236"/>
    </row>
    <row r="1884" spans="2:4" ht="12.75" customHeight="1" x14ac:dyDescent="0.2">
      <c r="B1884" s="236"/>
      <c r="C1884" s="236"/>
      <c r="D1884" s="236"/>
    </row>
    <row r="1885" spans="2:4" ht="12.75" customHeight="1" x14ac:dyDescent="0.2">
      <c r="B1885" s="236"/>
      <c r="C1885" s="236"/>
      <c r="D1885" s="236"/>
    </row>
    <row r="1886" spans="2:4" ht="12.75" customHeight="1" x14ac:dyDescent="0.2">
      <c r="B1886" s="236"/>
      <c r="C1886" s="236"/>
      <c r="D1886" s="236"/>
    </row>
    <row r="1887" spans="2:4" ht="12.75" customHeight="1" x14ac:dyDescent="0.2">
      <c r="B1887" s="236"/>
      <c r="C1887" s="236"/>
      <c r="D1887" s="236"/>
    </row>
    <row r="1888" spans="2:4" ht="12.75" customHeight="1" x14ac:dyDescent="0.2">
      <c r="B1888" s="236"/>
      <c r="C1888" s="236"/>
      <c r="D1888" s="236"/>
    </row>
    <row r="1889" spans="2:4" x14ac:dyDescent="0.2">
      <c r="B1889" s="236"/>
      <c r="C1889" s="236"/>
      <c r="D1889" s="236"/>
    </row>
    <row r="1890" spans="2:4" ht="12.75" customHeight="1" x14ac:dyDescent="0.2">
      <c r="B1890" s="236"/>
      <c r="C1890" s="236"/>
      <c r="D1890" s="236"/>
    </row>
    <row r="1891" spans="2:4" ht="12.75" customHeight="1" x14ac:dyDescent="0.2">
      <c r="B1891" s="236"/>
      <c r="C1891" s="236"/>
      <c r="D1891" s="236"/>
    </row>
    <row r="1892" spans="2:4" ht="12.75" customHeight="1" x14ac:dyDescent="0.2">
      <c r="B1892" s="236"/>
      <c r="C1892" s="236"/>
      <c r="D1892" s="236"/>
    </row>
    <row r="1893" spans="2:4" ht="12.75" customHeight="1" x14ac:dyDescent="0.2">
      <c r="B1893" s="236"/>
      <c r="C1893" s="236"/>
      <c r="D1893" s="236"/>
    </row>
    <row r="1894" spans="2:4" ht="12.75" customHeight="1" x14ac:dyDescent="0.2">
      <c r="B1894" s="236"/>
      <c r="C1894" s="236"/>
      <c r="D1894" s="236"/>
    </row>
    <row r="1895" spans="2:4" ht="12.75" customHeight="1" x14ac:dyDescent="0.2">
      <c r="B1895" s="236"/>
      <c r="C1895" s="236"/>
      <c r="D1895" s="236"/>
    </row>
    <row r="1896" spans="2:4" ht="12.75" customHeight="1" x14ac:dyDescent="0.2">
      <c r="B1896" s="236"/>
      <c r="C1896" s="236"/>
      <c r="D1896" s="236"/>
    </row>
    <row r="1897" spans="2:4" ht="12.75" customHeight="1" x14ac:dyDescent="0.2">
      <c r="B1897" s="236"/>
      <c r="C1897" s="236"/>
      <c r="D1897" s="236"/>
    </row>
    <row r="1898" spans="2:4" x14ac:dyDescent="0.2">
      <c r="B1898" s="236"/>
      <c r="C1898" s="236"/>
      <c r="D1898" s="236"/>
    </row>
    <row r="1899" spans="2:4" ht="12.75" customHeight="1" x14ac:dyDescent="0.2">
      <c r="B1899" s="236"/>
      <c r="C1899" s="236"/>
      <c r="D1899" s="236"/>
    </row>
    <row r="1900" spans="2:4" ht="12.75" customHeight="1" x14ac:dyDescent="0.2">
      <c r="B1900" s="236"/>
      <c r="C1900" s="236"/>
      <c r="D1900" s="236"/>
    </row>
    <row r="1901" spans="2:4" ht="12.75" customHeight="1" x14ac:dyDescent="0.2">
      <c r="B1901" s="236"/>
      <c r="C1901" s="236"/>
      <c r="D1901" s="236"/>
    </row>
    <row r="1902" spans="2:4" x14ac:dyDescent="0.2">
      <c r="B1902" s="236"/>
      <c r="C1902" s="236"/>
      <c r="D1902" s="236"/>
    </row>
    <row r="1903" spans="2:4" x14ac:dyDescent="0.2">
      <c r="B1903" s="236"/>
      <c r="C1903" s="236"/>
      <c r="D1903" s="236"/>
    </row>
    <row r="1904" spans="2:4" ht="12.75" customHeight="1" x14ac:dyDescent="0.2">
      <c r="B1904" s="236"/>
      <c r="C1904" s="236"/>
      <c r="D1904" s="236"/>
    </row>
    <row r="1905" spans="2:4" ht="12.75" customHeight="1" x14ac:dyDescent="0.2">
      <c r="B1905" s="236"/>
      <c r="C1905" s="236"/>
      <c r="D1905" s="236"/>
    </row>
    <row r="1906" spans="2:4" ht="12.75" customHeight="1" x14ac:dyDescent="0.2">
      <c r="B1906" s="236"/>
      <c r="C1906" s="236"/>
      <c r="D1906" s="236"/>
    </row>
    <row r="1907" spans="2:4" ht="12.75" customHeight="1" x14ac:dyDescent="0.2">
      <c r="B1907" s="236"/>
      <c r="C1907" s="236"/>
      <c r="D1907" s="236"/>
    </row>
    <row r="1908" spans="2:4" ht="12.75" customHeight="1" x14ac:dyDescent="0.2">
      <c r="B1908" s="236"/>
      <c r="C1908" s="236"/>
      <c r="D1908" s="236"/>
    </row>
    <row r="1909" spans="2:4" ht="12.75" customHeight="1" x14ac:dyDescent="0.2">
      <c r="B1909" s="236"/>
      <c r="C1909" s="236"/>
      <c r="D1909" s="236"/>
    </row>
    <row r="1910" spans="2:4" ht="12.75" customHeight="1" x14ac:dyDescent="0.2">
      <c r="B1910" s="236"/>
      <c r="C1910" s="236"/>
      <c r="D1910" s="236"/>
    </row>
    <row r="1911" spans="2:4" ht="12.75" customHeight="1" x14ac:dyDescent="0.2">
      <c r="B1911" s="236"/>
      <c r="C1911" s="236"/>
      <c r="D1911" s="236"/>
    </row>
    <row r="1912" spans="2:4" ht="12.75" customHeight="1" x14ac:dyDescent="0.2">
      <c r="B1912" s="236"/>
      <c r="C1912" s="236"/>
      <c r="D1912" s="236"/>
    </row>
    <row r="1913" spans="2:4" ht="12.75" customHeight="1" x14ac:dyDescent="0.2">
      <c r="B1913" s="236"/>
      <c r="C1913" s="236"/>
      <c r="D1913" s="236"/>
    </row>
    <row r="1914" spans="2:4" ht="12.75" customHeight="1" x14ac:dyDescent="0.2">
      <c r="B1914" s="236"/>
      <c r="C1914" s="236"/>
      <c r="D1914" s="236"/>
    </row>
    <row r="1915" spans="2:4" ht="12.75" customHeight="1" x14ac:dyDescent="0.2">
      <c r="B1915" s="236"/>
      <c r="C1915" s="236"/>
      <c r="D1915" s="236"/>
    </row>
    <row r="1916" spans="2:4" ht="12.75" customHeight="1" x14ac:dyDescent="0.2">
      <c r="B1916" s="236"/>
      <c r="C1916" s="236"/>
      <c r="D1916" s="236"/>
    </row>
    <row r="1917" spans="2:4" x14ac:dyDescent="0.2">
      <c r="B1917" s="236"/>
      <c r="C1917" s="236"/>
      <c r="D1917" s="236"/>
    </row>
    <row r="1918" spans="2:4" ht="12.75" customHeight="1" x14ac:dyDescent="0.2">
      <c r="B1918" s="236"/>
      <c r="C1918" s="236"/>
      <c r="D1918" s="236"/>
    </row>
    <row r="1919" spans="2:4" ht="12.75" customHeight="1" x14ac:dyDescent="0.2">
      <c r="B1919" s="236"/>
      <c r="C1919" s="236"/>
      <c r="D1919" s="236"/>
    </row>
    <row r="1920" spans="2:4" x14ac:dyDescent="0.2">
      <c r="B1920" s="236"/>
      <c r="C1920" s="236"/>
      <c r="D1920" s="236"/>
    </row>
    <row r="1921" spans="2:4" ht="12.75" customHeight="1" x14ac:dyDescent="0.2">
      <c r="B1921" s="236"/>
      <c r="C1921" s="236"/>
      <c r="D1921" s="236"/>
    </row>
    <row r="1922" spans="2:4" ht="12.75" customHeight="1" x14ac:dyDescent="0.2">
      <c r="B1922" s="236"/>
      <c r="C1922" s="236"/>
      <c r="D1922" s="236"/>
    </row>
    <row r="1923" spans="2:4" ht="12.75" customHeight="1" x14ac:dyDescent="0.2">
      <c r="B1923" s="236"/>
      <c r="C1923" s="236"/>
      <c r="D1923" s="236"/>
    </row>
    <row r="1924" spans="2:4" ht="12.75" customHeight="1" x14ac:dyDescent="0.2">
      <c r="B1924" s="236"/>
      <c r="C1924" s="236"/>
      <c r="D1924" s="236"/>
    </row>
    <row r="1925" spans="2:4" x14ac:dyDescent="0.2">
      <c r="B1925" s="236"/>
      <c r="C1925" s="236"/>
      <c r="D1925" s="236"/>
    </row>
    <row r="1926" spans="2:4" ht="12.75" customHeight="1" x14ac:dyDescent="0.2">
      <c r="B1926" s="236"/>
      <c r="C1926" s="236"/>
      <c r="D1926" s="236"/>
    </row>
    <row r="1927" spans="2:4" ht="12.75" customHeight="1" x14ac:dyDescent="0.2">
      <c r="B1927" s="236"/>
      <c r="C1927" s="236"/>
      <c r="D1927" s="236"/>
    </row>
    <row r="1928" spans="2:4" ht="12.75" customHeight="1" x14ac:dyDescent="0.2">
      <c r="B1928" s="236"/>
      <c r="C1928" s="236"/>
      <c r="D1928" s="236"/>
    </row>
    <row r="1929" spans="2:4" ht="12.75" customHeight="1" x14ac:dyDescent="0.2">
      <c r="B1929" s="236"/>
      <c r="C1929" s="236"/>
      <c r="D1929" s="236"/>
    </row>
    <row r="1930" spans="2:4" x14ac:dyDescent="0.2">
      <c r="B1930" s="236"/>
      <c r="C1930" s="236"/>
      <c r="D1930" s="236"/>
    </row>
    <row r="1931" spans="2:4" ht="12.75" customHeight="1" x14ac:dyDescent="0.2">
      <c r="B1931" s="236"/>
      <c r="C1931" s="236"/>
      <c r="D1931" s="236"/>
    </row>
    <row r="1932" spans="2:4" ht="12.75" customHeight="1" x14ac:dyDescent="0.2">
      <c r="B1932" s="236"/>
      <c r="C1932" s="236"/>
      <c r="D1932" s="236"/>
    </row>
    <row r="1933" spans="2:4" ht="12.75" customHeight="1" x14ac:dyDescent="0.2">
      <c r="B1933" s="236"/>
      <c r="C1933" s="236"/>
      <c r="D1933" s="236"/>
    </row>
    <row r="1934" spans="2:4" ht="12.75" customHeight="1" x14ac:dyDescent="0.2">
      <c r="B1934" s="236"/>
      <c r="C1934" s="236"/>
      <c r="D1934" s="236"/>
    </row>
    <row r="1935" spans="2:4" x14ac:dyDescent="0.2">
      <c r="B1935" s="236"/>
      <c r="C1935" s="236"/>
      <c r="D1935" s="236"/>
    </row>
    <row r="1936" spans="2:4" ht="12.75" customHeight="1" x14ac:dyDescent="0.2">
      <c r="B1936" s="236"/>
      <c r="C1936" s="236"/>
      <c r="D1936" s="236"/>
    </row>
    <row r="1937" spans="2:4" x14ac:dyDescent="0.2">
      <c r="B1937" s="236"/>
      <c r="C1937" s="236"/>
      <c r="D1937" s="236"/>
    </row>
    <row r="1938" spans="2:4" ht="12.75" customHeight="1" x14ac:dyDescent="0.2">
      <c r="B1938" s="236"/>
      <c r="C1938" s="236"/>
      <c r="D1938" s="236"/>
    </row>
    <row r="1939" spans="2:4" x14ac:dyDescent="0.2">
      <c r="B1939" s="236"/>
      <c r="C1939" s="236"/>
      <c r="D1939" s="236"/>
    </row>
    <row r="1940" spans="2:4" x14ac:dyDescent="0.2">
      <c r="B1940" s="236"/>
      <c r="C1940" s="236"/>
      <c r="D1940" s="236"/>
    </row>
    <row r="1941" spans="2:4" ht="12.75" customHeight="1" x14ac:dyDescent="0.2">
      <c r="B1941" s="236"/>
      <c r="C1941" s="236"/>
      <c r="D1941" s="236"/>
    </row>
    <row r="1942" spans="2:4" x14ac:dyDescent="0.2">
      <c r="B1942" s="236"/>
      <c r="C1942" s="236"/>
      <c r="D1942" s="236"/>
    </row>
    <row r="1943" spans="2:4" ht="12.75" customHeight="1" x14ac:dyDescent="0.2">
      <c r="B1943" s="236"/>
      <c r="C1943" s="236"/>
      <c r="D1943" s="236"/>
    </row>
    <row r="1944" spans="2:4" x14ac:dyDescent="0.2">
      <c r="B1944" s="236"/>
      <c r="C1944" s="236"/>
      <c r="D1944" s="236"/>
    </row>
    <row r="1945" spans="2:4" ht="12.75" customHeight="1" x14ac:dyDescent="0.2">
      <c r="B1945" s="236"/>
      <c r="C1945" s="236"/>
      <c r="D1945" s="236"/>
    </row>
    <row r="1946" spans="2:4" x14ac:dyDescent="0.2">
      <c r="B1946" s="236"/>
      <c r="C1946" s="236"/>
      <c r="D1946" s="236"/>
    </row>
    <row r="1947" spans="2:4" x14ac:dyDescent="0.2">
      <c r="B1947" s="236"/>
      <c r="C1947" s="236"/>
      <c r="D1947" s="236"/>
    </row>
    <row r="1948" spans="2:4" ht="12.75" customHeight="1" x14ac:dyDescent="0.2">
      <c r="B1948" s="236"/>
      <c r="C1948" s="236"/>
      <c r="D1948" s="236"/>
    </row>
    <row r="1949" spans="2:4" ht="12.75" customHeight="1" x14ac:dyDescent="0.2">
      <c r="B1949" s="236"/>
      <c r="C1949" s="236"/>
      <c r="D1949" s="236"/>
    </row>
    <row r="1950" spans="2:4" x14ac:dyDescent="0.2">
      <c r="B1950" s="236"/>
      <c r="C1950" s="236"/>
      <c r="D1950" s="236"/>
    </row>
    <row r="1951" spans="2:4" ht="12.75" customHeight="1" x14ac:dyDescent="0.2">
      <c r="B1951" s="236"/>
      <c r="C1951" s="236"/>
      <c r="D1951" s="236"/>
    </row>
    <row r="1952" spans="2:4" x14ac:dyDescent="0.2">
      <c r="B1952" s="236"/>
      <c r="C1952" s="236"/>
      <c r="D1952" s="236"/>
    </row>
    <row r="1953" spans="2:4" ht="12.75" customHeight="1" x14ac:dyDescent="0.2">
      <c r="B1953" s="236"/>
      <c r="C1953" s="236"/>
      <c r="D1953" s="236"/>
    </row>
    <row r="1954" spans="2:4" x14ac:dyDescent="0.2">
      <c r="B1954" s="236"/>
      <c r="C1954" s="236"/>
      <c r="D1954" s="236"/>
    </row>
    <row r="1955" spans="2:4" ht="12.75" customHeight="1" x14ac:dyDescent="0.2">
      <c r="B1955" s="236"/>
      <c r="C1955" s="236"/>
      <c r="D1955" s="236"/>
    </row>
    <row r="1956" spans="2:4" x14ac:dyDescent="0.2">
      <c r="B1956" s="236"/>
      <c r="C1956" s="236"/>
      <c r="D1956" s="236"/>
    </row>
    <row r="1957" spans="2:4" ht="12.75" customHeight="1" x14ac:dyDescent="0.2">
      <c r="B1957" s="236"/>
      <c r="C1957" s="236"/>
      <c r="D1957" s="236"/>
    </row>
    <row r="1958" spans="2:4" x14ac:dyDescent="0.2">
      <c r="B1958" s="236"/>
      <c r="C1958" s="236"/>
      <c r="D1958" s="236"/>
    </row>
    <row r="1959" spans="2:4" ht="12.75" customHeight="1" x14ac:dyDescent="0.2">
      <c r="B1959" s="236"/>
      <c r="C1959" s="236"/>
      <c r="D1959" s="236"/>
    </row>
    <row r="1960" spans="2:4" x14ac:dyDescent="0.2">
      <c r="B1960" s="236"/>
      <c r="C1960" s="236"/>
      <c r="D1960" s="236"/>
    </row>
    <row r="1961" spans="2:4" ht="12.75" customHeight="1" x14ac:dyDescent="0.2">
      <c r="B1961" s="236"/>
      <c r="C1961" s="236"/>
      <c r="D1961" s="236"/>
    </row>
    <row r="1962" spans="2:4" x14ac:dyDescent="0.2">
      <c r="B1962" s="236"/>
      <c r="C1962" s="236"/>
      <c r="D1962" s="236"/>
    </row>
    <row r="1963" spans="2:4" ht="12.75" customHeight="1" x14ac:dyDescent="0.2">
      <c r="B1963" s="236"/>
      <c r="C1963" s="236"/>
      <c r="D1963" s="236"/>
    </row>
    <row r="1964" spans="2:4" x14ac:dyDescent="0.2">
      <c r="B1964" s="236"/>
      <c r="C1964" s="236"/>
      <c r="D1964" s="236"/>
    </row>
    <row r="1965" spans="2:4" ht="12.75" customHeight="1" x14ac:dyDescent="0.2">
      <c r="B1965" s="236"/>
      <c r="C1965" s="236"/>
      <c r="D1965" s="236"/>
    </row>
    <row r="1966" spans="2:4" ht="12.75" customHeight="1" x14ac:dyDescent="0.2">
      <c r="B1966" s="236"/>
      <c r="C1966" s="236"/>
      <c r="D1966" s="236"/>
    </row>
    <row r="1967" spans="2:4" ht="12.75" customHeight="1" x14ac:dyDescent="0.2">
      <c r="B1967" s="236"/>
      <c r="C1967" s="236"/>
      <c r="D1967" s="236"/>
    </row>
    <row r="1968" spans="2:4" ht="12.75" customHeight="1" x14ac:dyDescent="0.2">
      <c r="B1968" s="236"/>
      <c r="C1968" s="236"/>
      <c r="D1968" s="236"/>
    </row>
    <row r="1969" spans="2:4" x14ac:dyDescent="0.2">
      <c r="B1969" s="236"/>
      <c r="C1969" s="236"/>
      <c r="D1969" s="236"/>
    </row>
    <row r="1970" spans="2:4" ht="12.75" customHeight="1" x14ac:dyDescent="0.2">
      <c r="B1970" s="236"/>
      <c r="C1970" s="236"/>
      <c r="D1970" s="236"/>
    </row>
    <row r="1971" spans="2:4" ht="12.75" customHeight="1" x14ac:dyDescent="0.2">
      <c r="B1971" s="236"/>
      <c r="C1971" s="236"/>
      <c r="D1971" s="236"/>
    </row>
    <row r="1972" spans="2:4" ht="12.75" customHeight="1" x14ac:dyDescent="0.2">
      <c r="B1972" s="236"/>
      <c r="C1972" s="236"/>
      <c r="D1972" s="236"/>
    </row>
    <row r="1973" spans="2:4" ht="12.75" customHeight="1" x14ac:dyDescent="0.2">
      <c r="B1973" s="236"/>
      <c r="C1973" s="236"/>
      <c r="D1973" s="236"/>
    </row>
    <row r="1974" spans="2:4" x14ac:dyDescent="0.2">
      <c r="B1974" s="236"/>
      <c r="C1974" s="236"/>
      <c r="D1974" s="236"/>
    </row>
    <row r="1975" spans="2:4" ht="12.75" customHeight="1" x14ac:dyDescent="0.2">
      <c r="B1975" s="236"/>
      <c r="C1975" s="236"/>
      <c r="D1975" s="236"/>
    </row>
    <row r="1976" spans="2:4" ht="12.75" customHeight="1" x14ac:dyDescent="0.2">
      <c r="B1976" s="236"/>
      <c r="C1976" s="236"/>
      <c r="D1976" s="236"/>
    </row>
    <row r="1977" spans="2:4" ht="12.75" customHeight="1" x14ac:dyDescent="0.2">
      <c r="B1977" s="236"/>
      <c r="C1977" s="236"/>
      <c r="D1977" s="236"/>
    </row>
    <row r="1978" spans="2:4" ht="12.75" customHeight="1" x14ac:dyDescent="0.2">
      <c r="B1978" s="236"/>
      <c r="C1978" s="236"/>
      <c r="D1978" s="236"/>
    </row>
    <row r="1979" spans="2:4" ht="12.75" customHeight="1" x14ac:dyDescent="0.2">
      <c r="B1979" s="236"/>
      <c r="C1979" s="236"/>
      <c r="D1979" s="236"/>
    </row>
    <row r="1980" spans="2:4" ht="12.75" customHeight="1" x14ac:dyDescent="0.2">
      <c r="B1980" s="236"/>
      <c r="C1980" s="236"/>
      <c r="D1980" s="236"/>
    </row>
    <row r="1981" spans="2:4" ht="12.75" customHeight="1" x14ac:dyDescent="0.2">
      <c r="B1981" s="236"/>
      <c r="C1981" s="236"/>
      <c r="D1981" s="236"/>
    </row>
    <row r="1982" spans="2:4" ht="12.75" customHeight="1" x14ac:dyDescent="0.2">
      <c r="B1982" s="236"/>
      <c r="C1982" s="236"/>
      <c r="D1982" s="236"/>
    </row>
    <row r="1983" spans="2:4" ht="12.75" customHeight="1" x14ac:dyDescent="0.2">
      <c r="B1983" s="236"/>
      <c r="C1983" s="236"/>
      <c r="D1983" s="236"/>
    </row>
    <row r="1984" spans="2:4" x14ac:dyDescent="0.2">
      <c r="B1984" s="236"/>
      <c r="C1984" s="236"/>
      <c r="D1984" s="236"/>
    </row>
    <row r="1985" spans="2:4" ht="12.75" customHeight="1" x14ac:dyDescent="0.2">
      <c r="B1985" s="236"/>
      <c r="C1985" s="236"/>
      <c r="D1985" s="236"/>
    </row>
    <row r="1986" spans="2:4" ht="12.75" customHeight="1" x14ac:dyDescent="0.2">
      <c r="B1986" s="236"/>
      <c r="C1986" s="236"/>
      <c r="D1986" s="236"/>
    </row>
    <row r="1987" spans="2:4" ht="12.75" customHeight="1" x14ac:dyDescent="0.2">
      <c r="B1987" s="236"/>
      <c r="C1987" s="236"/>
      <c r="D1987" s="236"/>
    </row>
    <row r="1988" spans="2:4" ht="12.75" customHeight="1" x14ac:dyDescent="0.2">
      <c r="B1988" s="236"/>
      <c r="C1988" s="236"/>
      <c r="D1988" s="236"/>
    </row>
    <row r="1989" spans="2:4" ht="12.75" customHeight="1" x14ac:dyDescent="0.2">
      <c r="B1989" s="236"/>
      <c r="C1989" s="236"/>
      <c r="D1989" s="236"/>
    </row>
    <row r="1990" spans="2:4" x14ac:dyDescent="0.2">
      <c r="B1990" s="236"/>
      <c r="C1990" s="236"/>
      <c r="D1990" s="236"/>
    </row>
    <row r="1991" spans="2:4" x14ac:dyDescent="0.2">
      <c r="B1991" s="236"/>
      <c r="C1991" s="236"/>
      <c r="D1991" s="236"/>
    </row>
    <row r="1992" spans="2:4" x14ac:dyDescent="0.2">
      <c r="B1992" s="236"/>
      <c r="C1992" s="236"/>
      <c r="D1992" s="236"/>
    </row>
    <row r="1993" spans="2:4" x14ac:dyDescent="0.2">
      <c r="B1993" s="236"/>
      <c r="C1993" s="236"/>
      <c r="D1993" s="236"/>
    </row>
    <row r="1994" spans="2:4" x14ac:dyDescent="0.2">
      <c r="B1994" s="236"/>
      <c r="C1994" s="236"/>
      <c r="D1994" s="236"/>
    </row>
    <row r="1995" spans="2:4" x14ac:dyDescent="0.2">
      <c r="B1995" s="236"/>
      <c r="C1995" s="236"/>
      <c r="D1995" s="236"/>
    </row>
    <row r="1996" spans="2:4" ht="12.75" customHeight="1" x14ac:dyDescent="0.2">
      <c r="B1996" s="236"/>
      <c r="C1996" s="236"/>
      <c r="D1996" s="236"/>
    </row>
    <row r="1997" spans="2:4" x14ac:dyDescent="0.2">
      <c r="B1997" s="236"/>
      <c r="C1997" s="236"/>
      <c r="D1997" s="236"/>
    </row>
    <row r="1998" spans="2:4" x14ac:dyDescent="0.2">
      <c r="B1998" s="236"/>
      <c r="C1998" s="236"/>
      <c r="D1998" s="236"/>
    </row>
    <row r="1999" spans="2:4" x14ac:dyDescent="0.2">
      <c r="B1999" s="236"/>
      <c r="C1999" s="236"/>
      <c r="D1999" s="236"/>
    </row>
    <row r="2000" spans="2:4" ht="12.75" customHeight="1" x14ac:dyDescent="0.2">
      <c r="B2000" s="236"/>
      <c r="C2000" s="236"/>
      <c r="D2000" s="236"/>
    </row>
    <row r="2001" spans="2:4" ht="12.75" customHeight="1" x14ac:dyDescent="0.2">
      <c r="B2001" s="236"/>
      <c r="C2001" s="236"/>
      <c r="D2001" s="236"/>
    </row>
    <row r="2002" spans="2:4" ht="12.75" customHeight="1" x14ac:dyDescent="0.2">
      <c r="B2002" s="236"/>
      <c r="C2002" s="236"/>
      <c r="D2002" s="236"/>
    </row>
    <row r="2003" spans="2:4" ht="12.75" customHeight="1" x14ac:dyDescent="0.2">
      <c r="B2003" s="236"/>
      <c r="C2003" s="236"/>
      <c r="D2003" s="236"/>
    </row>
    <row r="2004" spans="2:4" ht="12.75" customHeight="1" x14ac:dyDescent="0.2">
      <c r="B2004" s="236"/>
      <c r="C2004" s="236"/>
      <c r="D2004" s="236"/>
    </row>
    <row r="2005" spans="2:4" ht="12.75" customHeight="1" x14ac:dyDescent="0.2">
      <c r="B2005" s="236"/>
      <c r="C2005" s="236"/>
      <c r="D2005" s="236"/>
    </row>
    <row r="2006" spans="2:4" x14ac:dyDescent="0.2">
      <c r="B2006" s="236"/>
      <c r="C2006" s="236"/>
      <c r="D2006" s="236"/>
    </row>
    <row r="2007" spans="2:4" ht="12.75" customHeight="1" x14ac:dyDescent="0.2">
      <c r="B2007" s="236"/>
      <c r="C2007" s="236"/>
      <c r="D2007" s="236"/>
    </row>
    <row r="2008" spans="2:4" ht="12.75" customHeight="1" x14ac:dyDescent="0.2">
      <c r="B2008" s="236"/>
      <c r="C2008" s="236"/>
      <c r="D2008" s="236"/>
    </row>
    <row r="2009" spans="2:4" ht="12.75" customHeight="1" x14ac:dyDescent="0.2">
      <c r="B2009" s="236"/>
      <c r="C2009" s="236"/>
      <c r="D2009" s="236"/>
    </row>
    <row r="2010" spans="2:4" ht="12.75" customHeight="1" x14ac:dyDescent="0.2">
      <c r="B2010" s="236"/>
      <c r="C2010" s="236"/>
      <c r="D2010" s="236"/>
    </row>
    <row r="2011" spans="2:4" x14ac:dyDescent="0.2">
      <c r="B2011" s="236"/>
      <c r="C2011" s="236"/>
      <c r="D2011" s="236"/>
    </row>
    <row r="2012" spans="2:4" ht="12.75" customHeight="1" x14ac:dyDescent="0.2">
      <c r="B2012" s="236"/>
      <c r="C2012" s="236"/>
      <c r="D2012" s="236"/>
    </row>
    <row r="2013" spans="2:4" ht="12.75" customHeight="1" x14ac:dyDescent="0.2">
      <c r="B2013" s="236"/>
      <c r="C2013" s="236"/>
      <c r="D2013" s="236"/>
    </row>
    <row r="2014" spans="2:4" ht="12.75" customHeight="1" x14ac:dyDescent="0.2">
      <c r="B2014" s="236"/>
      <c r="C2014" s="236"/>
      <c r="D2014" s="236"/>
    </row>
    <row r="2015" spans="2:4" ht="12.75" customHeight="1" x14ac:dyDescent="0.2">
      <c r="B2015" s="236"/>
      <c r="C2015" s="236"/>
      <c r="D2015" s="236"/>
    </row>
    <row r="2016" spans="2:4" x14ac:dyDescent="0.2">
      <c r="B2016" s="236"/>
      <c r="C2016" s="236"/>
      <c r="D2016" s="236"/>
    </row>
    <row r="2017" spans="2:4" ht="12.75" customHeight="1" x14ac:dyDescent="0.2">
      <c r="B2017" s="236"/>
      <c r="C2017" s="236"/>
      <c r="D2017" s="236"/>
    </row>
    <row r="2018" spans="2:4" ht="12.75" customHeight="1" x14ac:dyDescent="0.2">
      <c r="B2018" s="236"/>
      <c r="C2018" s="236"/>
      <c r="D2018" s="236"/>
    </row>
    <row r="2019" spans="2:4" x14ac:dyDescent="0.2">
      <c r="B2019" s="236"/>
      <c r="C2019" s="236"/>
      <c r="D2019" s="236"/>
    </row>
    <row r="2020" spans="2:4" ht="12.75" customHeight="1" x14ac:dyDescent="0.2">
      <c r="B2020" s="236"/>
      <c r="C2020" s="236"/>
      <c r="D2020" s="236"/>
    </row>
    <row r="2021" spans="2:4" ht="12.75" customHeight="1" x14ac:dyDescent="0.2">
      <c r="B2021" s="236"/>
      <c r="C2021" s="236"/>
      <c r="D2021" s="236"/>
    </row>
    <row r="2022" spans="2:4" x14ac:dyDescent="0.2">
      <c r="B2022" s="236"/>
      <c r="C2022" s="236"/>
      <c r="D2022" s="236"/>
    </row>
    <row r="2023" spans="2:4" ht="12.75" customHeight="1" x14ac:dyDescent="0.2">
      <c r="B2023" s="236"/>
      <c r="C2023" s="236"/>
      <c r="D2023" s="236"/>
    </row>
    <row r="2024" spans="2:4" ht="12.75" customHeight="1" x14ac:dyDescent="0.2">
      <c r="B2024" s="236"/>
      <c r="C2024" s="236"/>
      <c r="D2024" s="236"/>
    </row>
    <row r="2025" spans="2:4" ht="12.75" customHeight="1" x14ac:dyDescent="0.2">
      <c r="B2025" s="236"/>
      <c r="C2025" s="236"/>
      <c r="D2025" s="236"/>
    </row>
    <row r="2026" spans="2:4" ht="12.75" customHeight="1" x14ac:dyDescent="0.2">
      <c r="B2026" s="236"/>
      <c r="C2026" s="236"/>
      <c r="D2026" s="236"/>
    </row>
    <row r="2027" spans="2:4" x14ac:dyDescent="0.2">
      <c r="B2027" s="236"/>
      <c r="C2027" s="236"/>
      <c r="D2027" s="236"/>
    </row>
    <row r="2028" spans="2:4" ht="12.75" customHeight="1" x14ac:dyDescent="0.2">
      <c r="B2028" s="236"/>
      <c r="C2028" s="236"/>
      <c r="D2028" s="236"/>
    </row>
    <row r="2029" spans="2:4" ht="12.75" customHeight="1" x14ac:dyDescent="0.2">
      <c r="B2029" s="236"/>
      <c r="C2029" s="236"/>
      <c r="D2029" s="236"/>
    </row>
    <row r="2030" spans="2:4" x14ac:dyDescent="0.2">
      <c r="B2030" s="236"/>
      <c r="C2030" s="236"/>
      <c r="D2030" s="236"/>
    </row>
    <row r="2031" spans="2:4" ht="12.75" customHeight="1" x14ac:dyDescent="0.2">
      <c r="B2031" s="236"/>
      <c r="C2031" s="236"/>
      <c r="D2031" s="236"/>
    </row>
    <row r="2032" spans="2:4" ht="12.75" customHeight="1" x14ac:dyDescent="0.2">
      <c r="B2032" s="236"/>
      <c r="C2032" s="236"/>
      <c r="D2032" s="236"/>
    </row>
    <row r="2033" spans="2:4" ht="12.75" customHeight="1" x14ac:dyDescent="0.2">
      <c r="B2033" s="236"/>
      <c r="C2033" s="236"/>
      <c r="D2033" s="236"/>
    </row>
    <row r="2034" spans="2:4" ht="12.75" customHeight="1" x14ac:dyDescent="0.2">
      <c r="B2034" s="236"/>
      <c r="C2034" s="236"/>
      <c r="D2034" s="236"/>
    </row>
    <row r="2035" spans="2:4" ht="12.75" customHeight="1" x14ac:dyDescent="0.2">
      <c r="B2035" s="236"/>
      <c r="C2035" s="236"/>
      <c r="D2035" s="236"/>
    </row>
    <row r="2036" spans="2:4" ht="12.75" customHeight="1" x14ac:dyDescent="0.2">
      <c r="B2036" s="236"/>
      <c r="C2036" s="236"/>
      <c r="D2036" s="236"/>
    </row>
    <row r="2037" spans="2:4" ht="12.75" customHeight="1" x14ac:dyDescent="0.2">
      <c r="B2037" s="236"/>
      <c r="C2037" s="236"/>
      <c r="D2037" s="236"/>
    </row>
    <row r="2038" spans="2:4" ht="12.75" customHeight="1" x14ac:dyDescent="0.2">
      <c r="B2038" s="236"/>
      <c r="C2038" s="236"/>
      <c r="D2038" s="236"/>
    </row>
    <row r="2039" spans="2:4" ht="12.75" customHeight="1" x14ac:dyDescent="0.2">
      <c r="B2039" s="236"/>
      <c r="C2039" s="236"/>
      <c r="D2039" s="236"/>
    </row>
    <row r="2040" spans="2:4" ht="12.75" customHeight="1" x14ac:dyDescent="0.2">
      <c r="B2040" s="236"/>
      <c r="C2040" s="236"/>
      <c r="D2040" s="236"/>
    </row>
    <row r="2041" spans="2:4" ht="12.75" customHeight="1" x14ac:dyDescent="0.2">
      <c r="B2041" s="236"/>
      <c r="C2041" s="236"/>
      <c r="D2041" s="236"/>
    </row>
    <row r="2042" spans="2:4" ht="12.75" customHeight="1" x14ac:dyDescent="0.2">
      <c r="B2042" s="236"/>
      <c r="C2042" s="236"/>
      <c r="D2042" s="236"/>
    </row>
    <row r="2043" spans="2:4" ht="12.75" customHeight="1" x14ac:dyDescent="0.2">
      <c r="B2043" s="236"/>
      <c r="C2043" s="236"/>
      <c r="D2043" s="236"/>
    </row>
    <row r="2044" spans="2:4" ht="12.75" customHeight="1" x14ac:dyDescent="0.2">
      <c r="B2044" s="236"/>
      <c r="C2044" s="236"/>
      <c r="D2044" s="236"/>
    </row>
    <row r="2045" spans="2:4" ht="12.75" customHeight="1" x14ac:dyDescent="0.2">
      <c r="B2045" s="236"/>
      <c r="C2045" s="236"/>
      <c r="D2045" s="236"/>
    </row>
    <row r="2046" spans="2:4" ht="12.75" customHeight="1" x14ac:dyDescent="0.2">
      <c r="B2046" s="236"/>
      <c r="C2046" s="236"/>
      <c r="D2046" s="236"/>
    </row>
    <row r="2047" spans="2:4" ht="12.75" customHeight="1" x14ac:dyDescent="0.2">
      <c r="B2047" s="236"/>
      <c r="C2047" s="236"/>
      <c r="D2047" s="236"/>
    </row>
    <row r="2048" spans="2:4" ht="12.75" customHeight="1" x14ac:dyDescent="0.2">
      <c r="B2048" s="236"/>
      <c r="C2048" s="236"/>
      <c r="D2048" s="236"/>
    </row>
    <row r="2049" spans="2:4" x14ac:dyDescent="0.2">
      <c r="B2049" s="236"/>
      <c r="C2049" s="236"/>
      <c r="D2049" s="236"/>
    </row>
    <row r="2050" spans="2:4" ht="12.75" customHeight="1" x14ac:dyDescent="0.2">
      <c r="B2050" s="236"/>
      <c r="C2050" s="236"/>
      <c r="D2050" s="236"/>
    </row>
    <row r="2051" spans="2:4" ht="12.75" customHeight="1" x14ac:dyDescent="0.2">
      <c r="B2051" s="236"/>
      <c r="C2051" s="236"/>
      <c r="D2051" s="236"/>
    </row>
    <row r="2052" spans="2:4" ht="12.75" customHeight="1" x14ac:dyDescent="0.2">
      <c r="B2052" s="236"/>
      <c r="C2052" s="236"/>
      <c r="D2052" s="236"/>
    </row>
    <row r="2053" spans="2:4" ht="12.75" customHeight="1" x14ac:dyDescent="0.2">
      <c r="B2053" s="236"/>
      <c r="C2053" s="236"/>
      <c r="D2053" s="236"/>
    </row>
    <row r="2054" spans="2:4" ht="12.75" customHeight="1" x14ac:dyDescent="0.2">
      <c r="B2054" s="236"/>
      <c r="C2054" s="236"/>
      <c r="D2054" s="236"/>
    </row>
    <row r="2055" spans="2:4" ht="12.75" customHeight="1" x14ac:dyDescent="0.2">
      <c r="B2055" s="236"/>
      <c r="C2055" s="236"/>
      <c r="D2055" s="236"/>
    </row>
    <row r="2056" spans="2:4" ht="12.75" customHeight="1" x14ac:dyDescent="0.2">
      <c r="B2056" s="236"/>
      <c r="C2056" s="236"/>
      <c r="D2056" s="236"/>
    </row>
    <row r="2057" spans="2:4" ht="12.75" customHeight="1" x14ac:dyDescent="0.2">
      <c r="B2057" s="236"/>
      <c r="C2057" s="236"/>
      <c r="D2057" s="236"/>
    </row>
    <row r="2058" spans="2:4" ht="12.75" customHeight="1" x14ac:dyDescent="0.2">
      <c r="B2058" s="236"/>
      <c r="C2058" s="236"/>
      <c r="D2058" s="236"/>
    </row>
    <row r="2059" spans="2:4" ht="12.75" customHeight="1" x14ac:dyDescent="0.2">
      <c r="B2059" s="236"/>
      <c r="C2059" s="236"/>
      <c r="D2059" s="236"/>
    </row>
    <row r="2060" spans="2:4" ht="12.75" customHeight="1" x14ac:dyDescent="0.2">
      <c r="B2060" s="236"/>
      <c r="C2060" s="236"/>
      <c r="D2060" s="236"/>
    </row>
    <row r="2061" spans="2:4" x14ac:dyDescent="0.2">
      <c r="B2061" s="236"/>
      <c r="C2061" s="236"/>
      <c r="D2061" s="236"/>
    </row>
    <row r="2062" spans="2:4" ht="12.75" customHeight="1" x14ac:dyDescent="0.2">
      <c r="B2062" s="236"/>
      <c r="C2062" s="236"/>
      <c r="D2062" s="236"/>
    </row>
    <row r="2063" spans="2:4" ht="12.75" customHeight="1" x14ac:dyDescent="0.2">
      <c r="B2063" s="236"/>
      <c r="C2063" s="236"/>
      <c r="D2063" s="236"/>
    </row>
    <row r="2064" spans="2:4" ht="12.75" customHeight="1" x14ac:dyDescent="0.2">
      <c r="B2064" s="236"/>
      <c r="C2064" s="236"/>
      <c r="D2064" s="236"/>
    </row>
    <row r="2065" spans="2:4" ht="12.75" customHeight="1" x14ac:dyDescent="0.2">
      <c r="B2065" s="236"/>
      <c r="C2065" s="236"/>
      <c r="D2065" s="236"/>
    </row>
    <row r="2066" spans="2:4" ht="12.75" customHeight="1" x14ac:dyDescent="0.2">
      <c r="B2066" s="236"/>
      <c r="C2066" s="236"/>
      <c r="D2066" s="236"/>
    </row>
    <row r="2067" spans="2:4" x14ac:dyDescent="0.2">
      <c r="B2067" s="236"/>
      <c r="C2067" s="236"/>
      <c r="D2067" s="236"/>
    </row>
    <row r="2068" spans="2:4" ht="12.75" customHeight="1" x14ac:dyDescent="0.2">
      <c r="B2068" s="236"/>
      <c r="C2068" s="236"/>
      <c r="D2068" s="236"/>
    </row>
    <row r="2069" spans="2:4" ht="12.75" customHeight="1" x14ac:dyDescent="0.2">
      <c r="B2069" s="236"/>
      <c r="C2069" s="236"/>
      <c r="D2069" s="236"/>
    </row>
    <row r="2070" spans="2:4" ht="12.75" customHeight="1" x14ac:dyDescent="0.2">
      <c r="B2070" s="236"/>
      <c r="C2070" s="236"/>
      <c r="D2070" s="236"/>
    </row>
    <row r="2071" spans="2:4" ht="12.75" customHeight="1" x14ac:dyDescent="0.2">
      <c r="B2071" s="236"/>
      <c r="C2071" s="236"/>
      <c r="D2071" s="236"/>
    </row>
    <row r="2072" spans="2:4" ht="12.75" customHeight="1" x14ac:dyDescent="0.2">
      <c r="B2072" s="236"/>
      <c r="C2072" s="236"/>
      <c r="D2072" s="236"/>
    </row>
    <row r="2073" spans="2:4" x14ac:dyDescent="0.2">
      <c r="B2073" s="236"/>
      <c r="C2073" s="236"/>
      <c r="D2073" s="236"/>
    </row>
    <row r="2074" spans="2:4" ht="12.75" customHeight="1" x14ac:dyDescent="0.2">
      <c r="B2074" s="236"/>
      <c r="C2074" s="236"/>
      <c r="D2074" s="236"/>
    </row>
    <row r="2075" spans="2:4" x14ac:dyDescent="0.2">
      <c r="B2075" s="236"/>
      <c r="C2075" s="236"/>
      <c r="D2075" s="236"/>
    </row>
    <row r="2076" spans="2:4" ht="12.75" customHeight="1" x14ac:dyDescent="0.2">
      <c r="B2076" s="236"/>
      <c r="C2076" s="236"/>
      <c r="D2076" s="236"/>
    </row>
    <row r="2077" spans="2:4" ht="12.75" customHeight="1" x14ac:dyDescent="0.2">
      <c r="B2077" s="236"/>
      <c r="C2077" s="236"/>
      <c r="D2077" s="236"/>
    </row>
    <row r="2078" spans="2:4" ht="12.75" customHeight="1" x14ac:dyDescent="0.2">
      <c r="B2078" s="236"/>
      <c r="C2078" s="236"/>
      <c r="D2078" s="236"/>
    </row>
    <row r="2079" spans="2:4" ht="12.75" customHeight="1" x14ac:dyDescent="0.2">
      <c r="B2079" s="236"/>
      <c r="C2079" s="236"/>
      <c r="D2079" s="236"/>
    </row>
    <row r="2080" spans="2:4" ht="12.75" customHeight="1" x14ac:dyDescent="0.2">
      <c r="B2080" s="236"/>
      <c r="C2080" s="236"/>
      <c r="D2080" s="236"/>
    </row>
    <row r="2081" spans="2:4" ht="12.75" customHeight="1" x14ac:dyDescent="0.2">
      <c r="B2081" s="236"/>
      <c r="C2081" s="236"/>
      <c r="D2081" s="236"/>
    </row>
    <row r="2082" spans="2:4" ht="12.75" customHeight="1" x14ac:dyDescent="0.2">
      <c r="B2082" s="236"/>
      <c r="C2082" s="236"/>
      <c r="D2082" s="236"/>
    </row>
    <row r="2083" spans="2:4" ht="12.75" customHeight="1" x14ac:dyDescent="0.2">
      <c r="B2083" s="236"/>
      <c r="C2083" s="236"/>
      <c r="D2083" s="236"/>
    </row>
    <row r="2084" spans="2:4" ht="12.75" customHeight="1" x14ac:dyDescent="0.2">
      <c r="B2084" s="236"/>
      <c r="C2084" s="236"/>
      <c r="D2084" s="236"/>
    </row>
    <row r="2085" spans="2:4" x14ac:dyDescent="0.2">
      <c r="B2085" s="236"/>
      <c r="C2085" s="236"/>
      <c r="D2085" s="236"/>
    </row>
    <row r="2086" spans="2:4" ht="12.75" customHeight="1" x14ac:dyDescent="0.2">
      <c r="B2086" s="236"/>
      <c r="C2086" s="236"/>
      <c r="D2086" s="236"/>
    </row>
    <row r="2087" spans="2:4" x14ac:dyDescent="0.2">
      <c r="B2087" s="236"/>
      <c r="C2087" s="236"/>
      <c r="D2087" s="236"/>
    </row>
    <row r="2088" spans="2:4" ht="12.75" customHeight="1" x14ac:dyDescent="0.2">
      <c r="B2088" s="236"/>
      <c r="C2088" s="236"/>
      <c r="D2088" s="236"/>
    </row>
    <row r="2089" spans="2:4" ht="12.75" customHeight="1" x14ac:dyDescent="0.2">
      <c r="B2089" s="236"/>
      <c r="C2089" s="236"/>
      <c r="D2089" s="236"/>
    </row>
    <row r="2090" spans="2:4" ht="12.75" customHeight="1" x14ac:dyDescent="0.2">
      <c r="B2090" s="236"/>
      <c r="C2090" s="236"/>
      <c r="D2090" s="236"/>
    </row>
    <row r="2091" spans="2:4" ht="12.75" customHeight="1" x14ac:dyDescent="0.2">
      <c r="B2091" s="236"/>
      <c r="C2091" s="236"/>
      <c r="D2091" s="236"/>
    </row>
    <row r="2092" spans="2:4" ht="12.75" customHeight="1" x14ac:dyDescent="0.2">
      <c r="B2092" s="236"/>
      <c r="C2092" s="236"/>
      <c r="D2092" s="236"/>
    </row>
    <row r="2093" spans="2:4" ht="12.75" customHeight="1" x14ac:dyDescent="0.2">
      <c r="B2093" s="236"/>
      <c r="C2093" s="236"/>
      <c r="D2093" s="236"/>
    </row>
    <row r="2094" spans="2:4" ht="12.75" customHeight="1" x14ac:dyDescent="0.2">
      <c r="B2094" s="236"/>
      <c r="C2094" s="236"/>
      <c r="D2094" s="236"/>
    </row>
    <row r="2095" spans="2:4" ht="12.75" customHeight="1" x14ac:dyDescent="0.2">
      <c r="B2095" s="236"/>
      <c r="C2095" s="236"/>
      <c r="D2095" s="236"/>
    </row>
    <row r="2096" spans="2:4" ht="12.75" customHeight="1" x14ac:dyDescent="0.2">
      <c r="B2096" s="236"/>
      <c r="C2096" s="236"/>
      <c r="D2096" s="236"/>
    </row>
    <row r="2097" spans="2:4" ht="12.75" customHeight="1" x14ac:dyDescent="0.2">
      <c r="B2097" s="236"/>
      <c r="C2097" s="236"/>
      <c r="D2097" s="236"/>
    </row>
    <row r="2098" spans="2:4" x14ac:dyDescent="0.2">
      <c r="B2098" s="236"/>
      <c r="C2098" s="236"/>
      <c r="D2098" s="236"/>
    </row>
    <row r="2099" spans="2:4" ht="12.75" customHeight="1" x14ac:dyDescent="0.2">
      <c r="B2099" s="236"/>
      <c r="C2099" s="236"/>
      <c r="D2099" s="236"/>
    </row>
    <row r="2100" spans="2:4" ht="12.75" customHeight="1" x14ac:dyDescent="0.2">
      <c r="B2100" s="236"/>
      <c r="C2100" s="236"/>
      <c r="D2100" s="236"/>
    </row>
    <row r="2101" spans="2:4" ht="12.75" customHeight="1" x14ac:dyDescent="0.2">
      <c r="B2101" s="236"/>
      <c r="C2101" s="236"/>
      <c r="D2101" s="236"/>
    </row>
    <row r="2102" spans="2:4" x14ac:dyDescent="0.2">
      <c r="B2102" s="236"/>
      <c r="C2102" s="236"/>
      <c r="D2102" s="236"/>
    </row>
    <row r="2103" spans="2:4" ht="12.75" customHeight="1" x14ac:dyDescent="0.2">
      <c r="B2103" s="236"/>
      <c r="C2103" s="236"/>
      <c r="D2103" s="236"/>
    </row>
    <row r="2104" spans="2:4" x14ac:dyDescent="0.2">
      <c r="B2104" s="236"/>
      <c r="C2104" s="236"/>
      <c r="D2104" s="236"/>
    </row>
    <row r="2105" spans="2:4" ht="12.75" customHeight="1" x14ac:dyDescent="0.2">
      <c r="B2105" s="236"/>
      <c r="C2105" s="236"/>
      <c r="D2105" s="236"/>
    </row>
    <row r="2106" spans="2:4" x14ac:dyDescent="0.2">
      <c r="B2106" s="236"/>
      <c r="C2106" s="236"/>
      <c r="D2106" s="236"/>
    </row>
    <row r="2107" spans="2:4" ht="12.75" customHeight="1" x14ac:dyDescent="0.2">
      <c r="B2107" s="236"/>
      <c r="C2107" s="236"/>
      <c r="D2107" s="236"/>
    </row>
    <row r="2108" spans="2:4" x14ac:dyDescent="0.2">
      <c r="B2108" s="236"/>
      <c r="C2108" s="236"/>
      <c r="D2108" s="236"/>
    </row>
    <row r="2109" spans="2:4" ht="12.75" customHeight="1" x14ac:dyDescent="0.2">
      <c r="B2109" s="236"/>
      <c r="C2109" s="236"/>
      <c r="D2109" s="236"/>
    </row>
    <row r="2110" spans="2:4" x14ac:dyDescent="0.2">
      <c r="B2110" s="236"/>
      <c r="C2110" s="236"/>
      <c r="D2110" s="236"/>
    </row>
    <row r="2111" spans="2:4" ht="12.75" customHeight="1" x14ac:dyDescent="0.2">
      <c r="B2111" s="236"/>
      <c r="C2111" s="236"/>
      <c r="D2111" s="236"/>
    </row>
    <row r="2112" spans="2:4" x14ac:dyDescent="0.2">
      <c r="B2112" s="236"/>
      <c r="C2112" s="236"/>
      <c r="D2112" s="236"/>
    </row>
    <row r="2113" spans="2:4" ht="12.75" customHeight="1" x14ac:dyDescent="0.2">
      <c r="B2113" s="236"/>
      <c r="C2113" s="236"/>
      <c r="D2113" s="236"/>
    </row>
    <row r="2114" spans="2:4" x14ac:dyDescent="0.2">
      <c r="B2114" s="236"/>
      <c r="C2114" s="236"/>
      <c r="D2114" s="236"/>
    </row>
    <row r="2115" spans="2:4" ht="12.75" customHeight="1" x14ac:dyDescent="0.2">
      <c r="B2115" s="236"/>
      <c r="C2115" s="236"/>
      <c r="D2115" s="236"/>
    </row>
    <row r="2116" spans="2:4" x14ac:dyDescent="0.2">
      <c r="B2116" s="236"/>
      <c r="C2116" s="236"/>
      <c r="D2116" s="236"/>
    </row>
    <row r="2117" spans="2:4" ht="12.75" customHeight="1" x14ac:dyDescent="0.2">
      <c r="B2117" s="236"/>
      <c r="C2117" s="236"/>
      <c r="D2117" s="236"/>
    </row>
    <row r="2118" spans="2:4" x14ac:dyDescent="0.2">
      <c r="B2118" s="236"/>
      <c r="C2118" s="236"/>
      <c r="D2118" s="236"/>
    </row>
    <row r="2119" spans="2:4" ht="12.75" customHeight="1" x14ac:dyDescent="0.2">
      <c r="B2119" s="236"/>
      <c r="C2119" s="236"/>
      <c r="D2119" s="236"/>
    </row>
    <row r="2120" spans="2:4" x14ac:dyDescent="0.2">
      <c r="B2120" s="236"/>
      <c r="C2120" s="236"/>
      <c r="D2120" s="236"/>
    </row>
    <row r="2121" spans="2:4" ht="12.75" customHeight="1" x14ac:dyDescent="0.2">
      <c r="B2121" s="236"/>
      <c r="C2121" s="236"/>
      <c r="D2121" s="236"/>
    </row>
    <row r="2122" spans="2:4" x14ac:dyDescent="0.2">
      <c r="B2122" s="236"/>
      <c r="C2122" s="236"/>
      <c r="D2122" s="236"/>
    </row>
    <row r="2123" spans="2:4" ht="12.75" customHeight="1" x14ac:dyDescent="0.2">
      <c r="B2123" s="236"/>
      <c r="C2123" s="236"/>
      <c r="D2123" s="236"/>
    </row>
    <row r="2124" spans="2:4" ht="12.75" customHeight="1" x14ac:dyDescent="0.2">
      <c r="B2124" s="236"/>
      <c r="C2124" s="236"/>
      <c r="D2124" s="236"/>
    </row>
    <row r="2125" spans="2:4" ht="12.75" customHeight="1" x14ac:dyDescent="0.2">
      <c r="B2125" s="236"/>
      <c r="C2125" s="236"/>
      <c r="D2125" s="236"/>
    </row>
    <row r="2126" spans="2:4" x14ac:dyDescent="0.2">
      <c r="B2126" s="236"/>
      <c r="C2126" s="236"/>
      <c r="D2126" s="236"/>
    </row>
    <row r="2127" spans="2:4" ht="12.75" customHeight="1" x14ac:dyDescent="0.2">
      <c r="B2127" s="236"/>
      <c r="C2127" s="236"/>
      <c r="D2127" s="236"/>
    </row>
    <row r="2128" spans="2:4" ht="12.75" customHeight="1" x14ac:dyDescent="0.2">
      <c r="B2128" s="236"/>
      <c r="C2128" s="236"/>
      <c r="D2128" s="236"/>
    </row>
    <row r="2129" spans="2:4" ht="12.75" customHeight="1" x14ac:dyDescent="0.2">
      <c r="B2129" s="236"/>
      <c r="C2129" s="236"/>
      <c r="D2129" s="236"/>
    </row>
    <row r="2130" spans="2:4" ht="12.75" customHeight="1" x14ac:dyDescent="0.2">
      <c r="B2130" s="236"/>
      <c r="C2130" s="236"/>
      <c r="D2130" s="236"/>
    </row>
    <row r="2131" spans="2:4" ht="12.75" customHeight="1" x14ac:dyDescent="0.2">
      <c r="B2131" s="236"/>
      <c r="C2131" s="236"/>
      <c r="D2131" s="236"/>
    </row>
    <row r="2132" spans="2:4" ht="12.75" customHeight="1" x14ac:dyDescent="0.2">
      <c r="B2132" s="236"/>
      <c r="C2132" s="236"/>
      <c r="D2132" s="236"/>
    </row>
    <row r="2133" spans="2:4" x14ac:dyDescent="0.2">
      <c r="B2133" s="236"/>
      <c r="C2133" s="236"/>
      <c r="D2133" s="236"/>
    </row>
    <row r="2134" spans="2:4" ht="12.75" customHeight="1" x14ac:dyDescent="0.2">
      <c r="B2134" s="236"/>
      <c r="C2134" s="236"/>
      <c r="D2134" s="236"/>
    </row>
    <row r="2135" spans="2:4" ht="12.75" customHeight="1" x14ac:dyDescent="0.2">
      <c r="B2135" s="236"/>
      <c r="C2135" s="236"/>
      <c r="D2135" s="236"/>
    </row>
    <row r="2136" spans="2:4" ht="12.75" customHeight="1" x14ac:dyDescent="0.2">
      <c r="B2136" s="236"/>
      <c r="C2136" s="236"/>
      <c r="D2136" s="236"/>
    </row>
    <row r="2137" spans="2:4" ht="12.75" customHeight="1" x14ac:dyDescent="0.2">
      <c r="B2137" s="236"/>
      <c r="C2137" s="236"/>
      <c r="D2137" s="236"/>
    </row>
    <row r="2138" spans="2:4" ht="12.75" customHeight="1" x14ac:dyDescent="0.2">
      <c r="B2138" s="236"/>
      <c r="C2138" s="236"/>
      <c r="D2138" s="236"/>
    </row>
    <row r="2139" spans="2:4" ht="12.75" customHeight="1" x14ac:dyDescent="0.2">
      <c r="B2139" s="236"/>
      <c r="C2139" s="236"/>
      <c r="D2139" s="236"/>
    </row>
    <row r="2140" spans="2:4" ht="12.75" customHeight="1" x14ac:dyDescent="0.2">
      <c r="B2140" s="236"/>
      <c r="C2140" s="236"/>
      <c r="D2140" s="236"/>
    </row>
    <row r="2141" spans="2:4" ht="12.75" customHeight="1" x14ac:dyDescent="0.2">
      <c r="B2141" s="236"/>
      <c r="C2141" s="236"/>
      <c r="D2141" s="236"/>
    </row>
    <row r="2142" spans="2:4" ht="12.75" customHeight="1" x14ac:dyDescent="0.2">
      <c r="B2142" s="236"/>
      <c r="C2142" s="236"/>
      <c r="D2142" s="236"/>
    </row>
    <row r="2143" spans="2:4" ht="12.75" customHeight="1" x14ac:dyDescent="0.2">
      <c r="B2143" s="236"/>
      <c r="C2143" s="236"/>
      <c r="D2143" s="236"/>
    </row>
    <row r="2144" spans="2:4" ht="12.75" customHeight="1" x14ac:dyDescent="0.2">
      <c r="B2144" s="236"/>
      <c r="C2144" s="236"/>
      <c r="D2144" s="236"/>
    </row>
    <row r="2145" spans="2:4" ht="12.75" customHeight="1" x14ac:dyDescent="0.2">
      <c r="B2145" s="236"/>
      <c r="C2145" s="236"/>
      <c r="D2145" s="236"/>
    </row>
    <row r="2146" spans="2:4" ht="12.75" customHeight="1" x14ac:dyDescent="0.2">
      <c r="B2146" s="236"/>
      <c r="C2146" s="236"/>
      <c r="D2146" s="236"/>
    </row>
    <row r="2147" spans="2:4" ht="12.75" customHeight="1" x14ac:dyDescent="0.2">
      <c r="B2147" s="236"/>
      <c r="C2147" s="236"/>
      <c r="D2147" s="236"/>
    </row>
    <row r="2148" spans="2:4" ht="12.75" customHeight="1" x14ac:dyDescent="0.2">
      <c r="B2148" s="236"/>
      <c r="C2148" s="236"/>
      <c r="D2148" s="236"/>
    </row>
    <row r="2149" spans="2:4" ht="12.75" customHeight="1" x14ac:dyDescent="0.2">
      <c r="B2149" s="236"/>
      <c r="C2149" s="236"/>
      <c r="D2149" s="236"/>
    </row>
    <row r="2150" spans="2:4" x14ac:dyDescent="0.2">
      <c r="B2150" s="236"/>
      <c r="C2150" s="236"/>
      <c r="D2150" s="236"/>
    </row>
    <row r="2151" spans="2:4" ht="12.75" customHeight="1" x14ac:dyDescent="0.2">
      <c r="B2151" s="236"/>
      <c r="C2151" s="236"/>
      <c r="D2151" s="236"/>
    </row>
    <row r="2152" spans="2:4" ht="12.75" customHeight="1" x14ac:dyDescent="0.2">
      <c r="B2152" s="236"/>
      <c r="C2152" s="236"/>
      <c r="D2152" s="236"/>
    </row>
    <row r="2153" spans="2:4" ht="12.75" customHeight="1" x14ac:dyDescent="0.2">
      <c r="B2153" s="236"/>
      <c r="C2153" s="236"/>
      <c r="D2153" s="236"/>
    </row>
    <row r="2154" spans="2:4" ht="12.75" customHeight="1" x14ac:dyDescent="0.2">
      <c r="B2154" s="236"/>
      <c r="C2154" s="236"/>
      <c r="D2154" s="236"/>
    </row>
    <row r="2155" spans="2:4" x14ac:dyDescent="0.2">
      <c r="B2155" s="236"/>
      <c r="C2155" s="236"/>
      <c r="D2155" s="236"/>
    </row>
    <row r="2156" spans="2:4" ht="12.75" customHeight="1" x14ac:dyDescent="0.2">
      <c r="B2156" s="236"/>
      <c r="C2156" s="236"/>
      <c r="D2156" s="236"/>
    </row>
    <row r="2157" spans="2:4" x14ac:dyDescent="0.2">
      <c r="B2157" s="236"/>
      <c r="C2157" s="236"/>
      <c r="D2157" s="236"/>
    </row>
    <row r="2158" spans="2:4" ht="12.75" customHeight="1" x14ac:dyDescent="0.2">
      <c r="B2158" s="236"/>
      <c r="C2158" s="236"/>
      <c r="D2158" s="236"/>
    </row>
    <row r="2159" spans="2:4" x14ac:dyDescent="0.2">
      <c r="B2159" s="236"/>
      <c r="C2159" s="236"/>
      <c r="D2159" s="236"/>
    </row>
    <row r="2160" spans="2:4" ht="12.75" customHeight="1" x14ac:dyDescent="0.2">
      <c r="B2160" s="236"/>
      <c r="C2160" s="236"/>
      <c r="D2160" s="236"/>
    </row>
    <row r="2161" spans="2:4" x14ac:dyDescent="0.2">
      <c r="B2161" s="236"/>
      <c r="C2161" s="236"/>
      <c r="D2161" s="236"/>
    </row>
    <row r="2162" spans="2:4" ht="12.75" customHeight="1" x14ac:dyDescent="0.2">
      <c r="B2162" s="236"/>
      <c r="C2162" s="236"/>
      <c r="D2162" s="236"/>
    </row>
    <row r="2163" spans="2:4" ht="12.75" customHeight="1" x14ac:dyDescent="0.2">
      <c r="B2163" s="236"/>
      <c r="C2163" s="236"/>
      <c r="D2163" s="236"/>
    </row>
    <row r="2164" spans="2:4" ht="12.75" customHeight="1" x14ac:dyDescent="0.2">
      <c r="B2164" s="236"/>
      <c r="C2164" s="236"/>
      <c r="D2164" s="236"/>
    </row>
    <row r="2165" spans="2:4" ht="12.75" customHeight="1" x14ac:dyDescent="0.2">
      <c r="B2165" s="236"/>
      <c r="C2165" s="236"/>
      <c r="D2165" s="236"/>
    </row>
    <row r="2166" spans="2:4" x14ac:dyDescent="0.2">
      <c r="B2166" s="236"/>
      <c r="C2166" s="236"/>
      <c r="D2166" s="236"/>
    </row>
    <row r="2167" spans="2:4" ht="12.75" customHeight="1" x14ac:dyDescent="0.2">
      <c r="B2167" s="236"/>
      <c r="C2167" s="236"/>
      <c r="D2167" s="236"/>
    </row>
    <row r="2168" spans="2:4" ht="12.75" customHeight="1" x14ac:dyDescent="0.2">
      <c r="B2168" s="236"/>
      <c r="C2168" s="236"/>
      <c r="D2168" s="236"/>
    </row>
    <row r="2169" spans="2:4" ht="12.75" customHeight="1" x14ac:dyDescent="0.2">
      <c r="B2169" s="236"/>
      <c r="C2169" s="236"/>
      <c r="D2169" s="236"/>
    </row>
    <row r="2170" spans="2:4" ht="12.75" customHeight="1" x14ac:dyDescent="0.2">
      <c r="B2170" s="236"/>
      <c r="C2170" s="236"/>
      <c r="D2170" s="236"/>
    </row>
    <row r="2171" spans="2:4" ht="12.75" customHeight="1" x14ac:dyDescent="0.2">
      <c r="B2171" s="236"/>
      <c r="C2171" s="236"/>
      <c r="D2171" s="236"/>
    </row>
    <row r="2172" spans="2:4" ht="12.75" customHeight="1" x14ac:dyDescent="0.2">
      <c r="B2172" s="236"/>
      <c r="C2172" s="236"/>
      <c r="D2172" s="236"/>
    </row>
    <row r="2173" spans="2:4" ht="12.75" customHeight="1" x14ac:dyDescent="0.2">
      <c r="B2173" s="236"/>
      <c r="C2173" s="236"/>
      <c r="D2173" s="236"/>
    </row>
    <row r="2174" spans="2:4" ht="12.75" customHeight="1" x14ac:dyDescent="0.2">
      <c r="B2174" s="236"/>
      <c r="C2174" s="236"/>
      <c r="D2174" s="236"/>
    </row>
    <row r="2175" spans="2:4" ht="12.75" customHeight="1" x14ac:dyDescent="0.2">
      <c r="B2175" s="236"/>
      <c r="C2175" s="236"/>
      <c r="D2175" s="236"/>
    </row>
    <row r="2176" spans="2:4" ht="12.75" customHeight="1" x14ac:dyDescent="0.2">
      <c r="B2176" s="236"/>
      <c r="C2176" s="236"/>
      <c r="D2176" s="236"/>
    </row>
    <row r="2177" spans="2:4" ht="12.75" customHeight="1" x14ac:dyDescent="0.2">
      <c r="B2177" s="236"/>
      <c r="C2177" s="236"/>
      <c r="D2177" s="236"/>
    </row>
    <row r="2178" spans="2:4" ht="12.75" customHeight="1" x14ac:dyDescent="0.2">
      <c r="B2178" s="236"/>
      <c r="C2178" s="236"/>
      <c r="D2178" s="236"/>
    </row>
    <row r="2179" spans="2:4" ht="12.75" customHeight="1" x14ac:dyDescent="0.2">
      <c r="B2179" s="236"/>
      <c r="C2179" s="236"/>
      <c r="D2179" s="236"/>
    </row>
    <row r="2180" spans="2:4" ht="12.75" customHeight="1" x14ac:dyDescent="0.2">
      <c r="B2180" s="236"/>
      <c r="C2180" s="236"/>
      <c r="D2180" s="236"/>
    </row>
    <row r="2181" spans="2:4" ht="12.75" customHeight="1" x14ac:dyDescent="0.2">
      <c r="B2181" s="236"/>
      <c r="C2181" s="236"/>
      <c r="D2181" s="236"/>
    </row>
    <row r="2182" spans="2:4" ht="12.75" customHeight="1" x14ac:dyDescent="0.2">
      <c r="B2182" s="236"/>
      <c r="C2182" s="236"/>
      <c r="D2182" s="236"/>
    </row>
    <row r="2183" spans="2:4" ht="12.75" customHeight="1" x14ac:dyDescent="0.2">
      <c r="B2183" s="236"/>
      <c r="C2183" s="236"/>
      <c r="D2183" s="236"/>
    </row>
    <row r="2184" spans="2:4" ht="12.75" customHeight="1" x14ac:dyDescent="0.2">
      <c r="B2184" s="236"/>
      <c r="C2184" s="236"/>
      <c r="D2184" s="236"/>
    </row>
    <row r="2185" spans="2:4" ht="12.75" customHeight="1" x14ac:dyDescent="0.2">
      <c r="B2185" s="236"/>
      <c r="C2185" s="236"/>
      <c r="D2185" s="236"/>
    </row>
    <row r="2186" spans="2:4" ht="12.75" customHeight="1" x14ac:dyDescent="0.2">
      <c r="B2186" s="236"/>
      <c r="C2186" s="236"/>
      <c r="D2186" s="236"/>
    </row>
    <row r="2187" spans="2:4" x14ac:dyDescent="0.2">
      <c r="B2187" s="236"/>
      <c r="C2187" s="236"/>
      <c r="D2187" s="236"/>
    </row>
    <row r="2188" spans="2:4" ht="12.75" customHeight="1" x14ac:dyDescent="0.2">
      <c r="B2188" s="236"/>
      <c r="C2188" s="236"/>
      <c r="D2188" s="236"/>
    </row>
    <row r="2189" spans="2:4" x14ac:dyDescent="0.2">
      <c r="B2189" s="236"/>
      <c r="C2189" s="236"/>
      <c r="D2189" s="236"/>
    </row>
    <row r="2190" spans="2:4" x14ac:dyDescent="0.2">
      <c r="B2190" s="236"/>
      <c r="C2190" s="236"/>
      <c r="D2190" s="236"/>
    </row>
    <row r="2191" spans="2:4" x14ac:dyDescent="0.2">
      <c r="B2191" s="236"/>
      <c r="C2191" s="236"/>
      <c r="D2191" s="236"/>
    </row>
    <row r="2192" spans="2:4" ht="12.75" customHeight="1" x14ac:dyDescent="0.2">
      <c r="B2192" s="236"/>
      <c r="C2192" s="236"/>
      <c r="D2192" s="236"/>
    </row>
    <row r="2193" spans="2:4" x14ac:dyDescent="0.2">
      <c r="B2193" s="236"/>
      <c r="C2193" s="236"/>
      <c r="D2193" s="236"/>
    </row>
    <row r="2194" spans="2:4" x14ac:dyDescent="0.2">
      <c r="B2194" s="236"/>
      <c r="C2194" s="236"/>
      <c r="D2194" s="236"/>
    </row>
    <row r="2195" spans="2:4" ht="12.75" customHeight="1" x14ac:dyDescent="0.2">
      <c r="B2195" s="236"/>
      <c r="C2195" s="236"/>
      <c r="D2195" s="236"/>
    </row>
    <row r="2196" spans="2:4" ht="12.75" customHeight="1" x14ac:dyDescent="0.2">
      <c r="B2196" s="236"/>
      <c r="C2196" s="236"/>
      <c r="D2196" s="236"/>
    </row>
    <row r="2197" spans="2:4" ht="12.75" customHeight="1" x14ac:dyDescent="0.2">
      <c r="B2197" s="236"/>
      <c r="C2197" s="236"/>
      <c r="D2197" s="236"/>
    </row>
    <row r="2198" spans="2:4" ht="12.75" customHeight="1" x14ac:dyDescent="0.2">
      <c r="B2198" s="236"/>
      <c r="C2198" s="236"/>
      <c r="D2198" s="236"/>
    </row>
    <row r="2199" spans="2:4" ht="12.75" customHeight="1" x14ac:dyDescent="0.2">
      <c r="B2199" s="236"/>
      <c r="C2199" s="236"/>
      <c r="D2199" s="236"/>
    </row>
    <row r="2200" spans="2:4" ht="12.75" customHeight="1" x14ac:dyDescent="0.2">
      <c r="B2200" s="236"/>
      <c r="C2200" s="236"/>
      <c r="D2200" s="236"/>
    </row>
    <row r="2201" spans="2:4" ht="12.75" customHeight="1" x14ac:dyDescent="0.2">
      <c r="B2201" s="236"/>
      <c r="C2201" s="236"/>
      <c r="D2201" s="236"/>
    </row>
    <row r="2202" spans="2:4" ht="12.75" customHeight="1" x14ac:dyDescent="0.2">
      <c r="B2202" s="236"/>
      <c r="C2202" s="236"/>
      <c r="D2202" s="236"/>
    </row>
    <row r="2203" spans="2:4" ht="12.75" customHeight="1" x14ac:dyDescent="0.2">
      <c r="B2203" s="236"/>
      <c r="C2203" s="236"/>
      <c r="D2203" s="236"/>
    </row>
    <row r="2204" spans="2:4" ht="12.75" customHeight="1" x14ac:dyDescent="0.2">
      <c r="B2204" s="236"/>
      <c r="C2204" s="236"/>
      <c r="D2204" s="236"/>
    </row>
    <row r="2205" spans="2:4" ht="12.75" customHeight="1" x14ac:dyDescent="0.2">
      <c r="B2205" s="236"/>
      <c r="C2205" s="236"/>
      <c r="D2205" s="236"/>
    </row>
    <row r="2206" spans="2:4" ht="12.75" customHeight="1" x14ac:dyDescent="0.2">
      <c r="B2206" s="236"/>
      <c r="C2206" s="236"/>
      <c r="D2206" s="236"/>
    </row>
    <row r="2207" spans="2:4" ht="12.75" customHeight="1" x14ac:dyDescent="0.2">
      <c r="B2207" s="236"/>
      <c r="C2207" s="236"/>
      <c r="D2207" s="236"/>
    </row>
    <row r="2208" spans="2:4" ht="12.75" customHeight="1" x14ac:dyDescent="0.2">
      <c r="B2208" s="236"/>
      <c r="C2208" s="236"/>
      <c r="D2208" s="236"/>
    </row>
    <row r="2209" spans="2:4" ht="12.75" customHeight="1" x14ac:dyDescent="0.2">
      <c r="B2209" s="236"/>
      <c r="C2209" s="236"/>
      <c r="D2209" s="236"/>
    </row>
    <row r="2210" spans="2:4" ht="12.75" customHeight="1" x14ac:dyDescent="0.2">
      <c r="B2210" s="236"/>
      <c r="C2210" s="236"/>
      <c r="D2210" s="236"/>
    </row>
    <row r="2211" spans="2:4" ht="12.75" customHeight="1" x14ac:dyDescent="0.2">
      <c r="B2211" s="236"/>
      <c r="C2211" s="236"/>
      <c r="D2211" s="236"/>
    </row>
    <row r="2212" spans="2:4" ht="12.75" customHeight="1" x14ac:dyDescent="0.2">
      <c r="B2212" s="236"/>
      <c r="C2212" s="236"/>
      <c r="D2212" s="236"/>
    </row>
    <row r="2213" spans="2:4" ht="12.75" customHeight="1" x14ac:dyDescent="0.2">
      <c r="B2213" s="236"/>
      <c r="C2213" s="236"/>
      <c r="D2213" s="236"/>
    </row>
    <row r="2214" spans="2:4" ht="12.75" customHeight="1" x14ac:dyDescent="0.2">
      <c r="B2214" s="236"/>
      <c r="C2214" s="236"/>
      <c r="D2214" s="236"/>
    </row>
    <row r="2215" spans="2:4" ht="12.75" customHeight="1" x14ac:dyDescent="0.2">
      <c r="B2215" s="236"/>
      <c r="C2215" s="236"/>
      <c r="D2215" s="236"/>
    </row>
    <row r="2216" spans="2:4" ht="12.75" customHeight="1" x14ac:dyDescent="0.2">
      <c r="B2216" s="236"/>
      <c r="C2216" s="236"/>
      <c r="D2216" s="236"/>
    </row>
    <row r="2217" spans="2:4" ht="12.75" customHeight="1" x14ac:dyDescent="0.2">
      <c r="B2217" s="236"/>
      <c r="C2217" s="236"/>
      <c r="D2217" s="236"/>
    </row>
    <row r="2218" spans="2:4" x14ac:dyDescent="0.2">
      <c r="B2218" s="236"/>
      <c r="C2218" s="236"/>
      <c r="D2218" s="236"/>
    </row>
    <row r="2219" spans="2:4" ht="12.75" customHeight="1" x14ac:dyDescent="0.2">
      <c r="B2219" s="236"/>
      <c r="C2219" s="236"/>
      <c r="D2219" s="236"/>
    </row>
    <row r="2220" spans="2:4" x14ac:dyDescent="0.2">
      <c r="B2220" s="236"/>
      <c r="C2220" s="236"/>
      <c r="D2220" s="236"/>
    </row>
    <row r="2221" spans="2:4" ht="12.75" customHeight="1" x14ac:dyDescent="0.2">
      <c r="B2221" s="236"/>
      <c r="C2221" s="236"/>
      <c r="D2221" s="236"/>
    </row>
    <row r="2222" spans="2:4" ht="12.75" customHeight="1" x14ac:dyDescent="0.2">
      <c r="B2222" s="236"/>
      <c r="C2222" s="236"/>
      <c r="D2222" s="236"/>
    </row>
    <row r="2223" spans="2:4" ht="12.75" customHeight="1" x14ac:dyDescent="0.2">
      <c r="B2223" s="236"/>
      <c r="C2223" s="236"/>
      <c r="D2223" s="236"/>
    </row>
    <row r="2224" spans="2:4" ht="12.75" customHeight="1" x14ac:dyDescent="0.2">
      <c r="B2224" s="236"/>
      <c r="C2224" s="236"/>
      <c r="D2224" s="236"/>
    </row>
    <row r="2225" spans="2:4" x14ac:dyDescent="0.2">
      <c r="B2225" s="236"/>
      <c r="C2225" s="236"/>
      <c r="D2225" s="236"/>
    </row>
    <row r="2226" spans="2:4" ht="12.75" customHeight="1" x14ac:dyDescent="0.2">
      <c r="B2226" s="236"/>
      <c r="C2226" s="236"/>
      <c r="D2226" s="236"/>
    </row>
    <row r="2227" spans="2:4" x14ac:dyDescent="0.2">
      <c r="B2227" s="236"/>
      <c r="C2227" s="236"/>
      <c r="D2227" s="236"/>
    </row>
    <row r="2228" spans="2:4" ht="12.75" customHeight="1" x14ac:dyDescent="0.2">
      <c r="B2228" s="236"/>
      <c r="C2228" s="236"/>
      <c r="D2228" s="236"/>
    </row>
    <row r="2229" spans="2:4" ht="12.75" customHeight="1" x14ac:dyDescent="0.2">
      <c r="B2229" s="236"/>
      <c r="C2229" s="236"/>
      <c r="D2229" s="236"/>
    </row>
    <row r="2230" spans="2:4" ht="12.75" customHeight="1" x14ac:dyDescent="0.2">
      <c r="B2230" s="236"/>
      <c r="C2230" s="236"/>
      <c r="D2230" s="236"/>
    </row>
    <row r="2231" spans="2:4" ht="12.75" customHeight="1" x14ac:dyDescent="0.2">
      <c r="B2231" s="236"/>
      <c r="C2231" s="236"/>
      <c r="D2231" s="236"/>
    </row>
    <row r="2232" spans="2:4" ht="12.75" customHeight="1" x14ac:dyDescent="0.2">
      <c r="B2232" s="236"/>
      <c r="C2232" s="236"/>
      <c r="D2232" s="236"/>
    </row>
    <row r="2233" spans="2:4" ht="12.75" customHeight="1" x14ac:dyDescent="0.2">
      <c r="B2233" s="236"/>
      <c r="C2233" s="236"/>
      <c r="D2233" s="236"/>
    </row>
    <row r="2234" spans="2:4" ht="12.75" customHeight="1" x14ac:dyDescent="0.2">
      <c r="B2234" s="236"/>
      <c r="C2234" s="236"/>
      <c r="D2234" s="236"/>
    </row>
    <row r="2235" spans="2:4" ht="12.75" customHeight="1" x14ac:dyDescent="0.2">
      <c r="B2235" s="236"/>
      <c r="C2235" s="236"/>
      <c r="D2235" s="236"/>
    </row>
    <row r="2236" spans="2:4" ht="12.75" customHeight="1" x14ac:dyDescent="0.2">
      <c r="B2236" s="236"/>
      <c r="C2236" s="236"/>
      <c r="D2236" s="236"/>
    </row>
    <row r="2237" spans="2:4" ht="12.75" customHeight="1" x14ac:dyDescent="0.2">
      <c r="B2237" s="236"/>
      <c r="C2237" s="236"/>
      <c r="D2237" s="236"/>
    </row>
    <row r="2238" spans="2:4" ht="12.75" customHeight="1" x14ac:dyDescent="0.2">
      <c r="B2238" s="236"/>
      <c r="C2238" s="236"/>
      <c r="D2238" s="236"/>
    </row>
    <row r="2239" spans="2:4" ht="12.75" customHeight="1" x14ac:dyDescent="0.2">
      <c r="B2239" s="236"/>
      <c r="C2239" s="236"/>
      <c r="D2239" s="236"/>
    </row>
    <row r="2240" spans="2:4" ht="12.75" customHeight="1" x14ac:dyDescent="0.2">
      <c r="B2240" s="236"/>
      <c r="C2240" s="236"/>
      <c r="D2240" s="236"/>
    </row>
    <row r="2241" spans="2:4" ht="12.75" customHeight="1" x14ac:dyDescent="0.2">
      <c r="B2241" s="236"/>
      <c r="C2241" s="236"/>
      <c r="D2241" s="236"/>
    </row>
    <row r="2242" spans="2:4" ht="12.75" customHeight="1" x14ac:dyDescent="0.2">
      <c r="B2242" s="236"/>
      <c r="C2242" s="236"/>
      <c r="D2242" s="236"/>
    </row>
    <row r="2243" spans="2:4" x14ac:dyDescent="0.2">
      <c r="B2243" s="236"/>
      <c r="C2243" s="236"/>
      <c r="D2243" s="236"/>
    </row>
    <row r="2244" spans="2:4" x14ac:dyDescent="0.2">
      <c r="B2244" s="236"/>
      <c r="C2244" s="236"/>
      <c r="D2244" s="236"/>
    </row>
    <row r="2245" spans="2:4" x14ac:dyDescent="0.2">
      <c r="B2245" s="236"/>
      <c r="C2245" s="236"/>
      <c r="D2245" s="236"/>
    </row>
    <row r="2246" spans="2:4" ht="12.75" customHeight="1" x14ac:dyDescent="0.2">
      <c r="B2246" s="236"/>
      <c r="C2246" s="236"/>
      <c r="D2246" s="236"/>
    </row>
    <row r="2247" spans="2:4" x14ac:dyDescent="0.2">
      <c r="B2247" s="236"/>
      <c r="C2247" s="236"/>
      <c r="D2247" s="236"/>
    </row>
    <row r="2248" spans="2:4" ht="12.75" customHeight="1" x14ac:dyDescent="0.2">
      <c r="B2248" s="236"/>
      <c r="C2248" s="236"/>
      <c r="D2248" s="236"/>
    </row>
    <row r="2249" spans="2:4" x14ac:dyDescent="0.2">
      <c r="B2249" s="236"/>
      <c r="C2249" s="236"/>
      <c r="D2249" s="236"/>
    </row>
    <row r="2250" spans="2:4" ht="12.75" customHeight="1" x14ac:dyDescent="0.2">
      <c r="B2250" s="236"/>
      <c r="C2250" s="236"/>
      <c r="D2250" s="236"/>
    </row>
    <row r="2251" spans="2:4" ht="12.75" customHeight="1" x14ac:dyDescent="0.2">
      <c r="B2251" s="236"/>
      <c r="C2251" s="236"/>
      <c r="D2251" s="236"/>
    </row>
    <row r="2252" spans="2:4" ht="12.75" customHeight="1" x14ac:dyDescent="0.2">
      <c r="B2252" s="236"/>
      <c r="C2252" s="236"/>
      <c r="D2252" s="236"/>
    </row>
    <row r="2253" spans="2:4" ht="12.75" customHeight="1" x14ac:dyDescent="0.2">
      <c r="B2253" s="236"/>
      <c r="C2253" s="236"/>
      <c r="D2253" s="236"/>
    </row>
    <row r="2254" spans="2:4" ht="12.75" customHeight="1" x14ac:dyDescent="0.2">
      <c r="B2254" s="236"/>
      <c r="C2254" s="236"/>
      <c r="D2254" s="236"/>
    </row>
    <row r="2255" spans="2:4" ht="12.75" customHeight="1" x14ac:dyDescent="0.2">
      <c r="B2255" s="236"/>
      <c r="C2255" s="236"/>
      <c r="D2255" s="236"/>
    </row>
    <row r="2256" spans="2:4" ht="12.75" customHeight="1" x14ac:dyDescent="0.2">
      <c r="B2256" s="236"/>
      <c r="C2256" s="236"/>
      <c r="D2256" s="236"/>
    </row>
    <row r="2257" spans="2:4" ht="12.75" customHeight="1" x14ac:dyDescent="0.2">
      <c r="B2257" s="236"/>
      <c r="C2257" s="236"/>
      <c r="D2257" s="236"/>
    </row>
    <row r="2258" spans="2:4" ht="12.75" customHeight="1" x14ac:dyDescent="0.2">
      <c r="B2258" s="236"/>
      <c r="C2258" s="236"/>
      <c r="D2258" s="236"/>
    </row>
    <row r="2259" spans="2:4" ht="12.75" customHeight="1" x14ac:dyDescent="0.2">
      <c r="B2259" s="236"/>
      <c r="C2259" s="236"/>
      <c r="D2259" s="236"/>
    </row>
    <row r="2260" spans="2:4" ht="12.75" customHeight="1" x14ac:dyDescent="0.2">
      <c r="B2260" s="236"/>
      <c r="C2260" s="236"/>
      <c r="D2260" s="236"/>
    </row>
    <row r="2261" spans="2:4" ht="12.75" customHeight="1" x14ac:dyDescent="0.2">
      <c r="B2261" s="236"/>
      <c r="C2261" s="236"/>
      <c r="D2261" s="236"/>
    </row>
    <row r="2262" spans="2:4" ht="12.75" customHeight="1" x14ac:dyDescent="0.2">
      <c r="B2262" s="236"/>
      <c r="C2262" s="236"/>
      <c r="D2262" s="236"/>
    </row>
    <row r="2263" spans="2:4" ht="12.75" customHeight="1" x14ac:dyDescent="0.2">
      <c r="B2263" s="236"/>
      <c r="C2263" s="236"/>
      <c r="D2263" s="236"/>
    </row>
    <row r="2264" spans="2:4" ht="12.75" customHeight="1" x14ac:dyDescent="0.2">
      <c r="B2264" s="236"/>
      <c r="C2264" s="236"/>
      <c r="D2264" s="236"/>
    </row>
    <row r="2265" spans="2:4" x14ac:dyDescent="0.2">
      <c r="B2265" s="236"/>
      <c r="C2265" s="236"/>
      <c r="D2265" s="236"/>
    </row>
    <row r="2266" spans="2:4" x14ac:dyDescent="0.2">
      <c r="B2266" s="236"/>
      <c r="C2266" s="236"/>
      <c r="D2266" s="236"/>
    </row>
    <row r="2267" spans="2:4" x14ac:dyDescent="0.2">
      <c r="B2267" s="236"/>
      <c r="C2267" s="236"/>
      <c r="D2267" s="236"/>
    </row>
    <row r="2268" spans="2:4" ht="12.75" customHeight="1" x14ac:dyDescent="0.2">
      <c r="B2268" s="236"/>
      <c r="C2268" s="236"/>
      <c r="D2268" s="236"/>
    </row>
    <row r="2269" spans="2:4" x14ac:dyDescent="0.2">
      <c r="B2269" s="236"/>
      <c r="C2269" s="236"/>
      <c r="D2269" s="236"/>
    </row>
    <row r="2270" spans="2:4" ht="12.75" customHeight="1" x14ac:dyDescent="0.2">
      <c r="B2270" s="236"/>
      <c r="C2270" s="236"/>
      <c r="D2270" s="236"/>
    </row>
    <row r="2271" spans="2:4" x14ac:dyDescent="0.2">
      <c r="B2271" s="236"/>
      <c r="C2271" s="236"/>
      <c r="D2271" s="236"/>
    </row>
    <row r="2272" spans="2:4" ht="12.75" customHeight="1" x14ac:dyDescent="0.2">
      <c r="B2272" s="236"/>
      <c r="C2272" s="236"/>
      <c r="D2272" s="236"/>
    </row>
    <row r="2273" spans="2:4" ht="12.75" customHeight="1" x14ac:dyDescent="0.2">
      <c r="B2273" s="236"/>
      <c r="C2273" s="236"/>
      <c r="D2273" s="236"/>
    </row>
    <row r="2274" spans="2:4" ht="12.75" customHeight="1" x14ac:dyDescent="0.2">
      <c r="B2274" s="236"/>
      <c r="C2274" s="236"/>
      <c r="D2274" s="236"/>
    </row>
    <row r="2275" spans="2:4" ht="12.75" customHeight="1" x14ac:dyDescent="0.2">
      <c r="B2275" s="236"/>
      <c r="C2275" s="236"/>
      <c r="D2275" s="236"/>
    </row>
    <row r="2276" spans="2:4" ht="12.75" customHeight="1" x14ac:dyDescent="0.2">
      <c r="B2276" s="236"/>
      <c r="C2276" s="236"/>
      <c r="D2276" s="236"/>
    </row>
    <row r="2277" spans="2:4" ht="12.75" customHeight="1" x14ac:dyDescent="0.2">
      <c r="B2277" s="236"/>
      <c r="C2277" s="236"/>
      <c r="D2277" s="236"/>
    </row>
    <row r="2278" spans="2:4" ht="12.75" customHeight="1" x14ac:dyDescent="0.2">
      <c r="B2278" s="236"/>
      <c r="C2278" s="236"/>
      <c r="D2278" s="236"/>
    </row>
    <row r="2279" spans="2:4" ht="12.75" customHeight="1" x14ac:dyDescent="0.2">
      <c r="B2279" s="236"/>
      <c r="C2279" s="236"/>
      <c r="D2279" s="236"/>
    </row>
    <row r="2280" spans="2:4" ht="12.75" customHeight="1" x14ac:dyDescent="0.2">
      <c r="B2280" s="236"/>
      <c r="C2280" s="236"/>
      <c r="D2280" s="236"/>
    </row>
    <row r="2281" spans="2:4" ht="12.75" customHeight="1" x14ac:dyDescent="0.2">
      <c r="B2281" s="236"/>
      <c r="C2281" s="236"/>
      <c r="D2281" s="236"/>
    </row>
    <row r="2282" spans="2:4" ht="12.75" customHeight="1" x14ac:dyDescent="0.2">
      <c r="B2282" s="236"/>
      <c r="C2282" s="236"/>
      <c r="D2282" s="236"/>
    </row>
    <row r="2283" spans="2:4" ht="12.75" customHeight="1" x14ac:dyDescent="0.2">
      <c r="B2283" s="236"/>
      <c r="C2283" s="236"/>
      <c r="D2283" s="236"/>
    </row>
    <row r="2284" spans="2:4" ht="12.75" customHeight="1" x14ac:dyDescent="0.2">
      <c r="B2284" s="236"/>
      <c r="C2284" s="236"/>
      <c r="D2284" s="236"/>
    </row>
    <row r="2285" spans="2:4" ht="12.75" customHeight="1" x14ac:dyDescent="0.2">
      <c r="B2285" s="236"/>
      <c r="C2285" s="236"/>
      <c r="D2285" s="236"/>
    </row>
    <row r="2286" spans="2:4" x14ac:dyDescent="0.2">
      <c r="B2286" s="236"/>
      <c r="C2286" s="236"/>
      <c r="D2286" s="236"/>
    </row>
    <row r="2287" spans="2:4" ht="12.75" customHeight="1" x14ac:dyDescent="0.2">
      <c r="B2287" s="236"/>
      <c r="C2287" s="236"/>
      <c r="D2287" s="236"/>
    </row>
    <row r="2288" spans="2:4" x14ac:dyDescent="0.2">
      <c r="B2288" s="236"/>
      <c r="C2288" s="236"/>
      <c r="D2288" s="236"/>
    </row>
    <row r="2289" spans="2:4" x14ac:dyDescent="0.2">
      <c r="B2289" s="236"/>
      <c r="C2289" s="236"/>
      <c r="D2289" s="236"/>
    </row>
    <row r="2290" spans="2:4" x14ac:dyDescent="0.2">
      <c r="B2290" s="236"/>
      <c r="C2290" s="236"/>
      <c r="D2290" s="236"/>
    </row>
    <row r="2291" spans="2:4" ht="12.75" customHeight="1" x14ac:dyDescent="0.2">
      <c r="B2291" s="236"/>
      <c r="C2291" s="236"/>
      <c r="D2291" s="236"/>
    </row>
    <row r="2292" spans="2:4" x14ac:dyDescent="0.2">
      <c r="B2292" s="236"/>
      <c r="C2292" s="236"/>
      <c r="D2292" s="236"/>
    </row>
    <row r="2293" spans="2:4" ht="12.75" customHeight="1" x14ac:dyDescent="0.2">
      <c r="B2293" s="236"/>
      <c r="C2293" s="236"/>
      <c r="D2293" s="236"/>
    </row>
    <row r="2294" spans="2:4" ht="12.75" customHeight="1" x14ac:dyDescent="0.2">
      <c r="B2294" s="236"/>
      <c r="C2294" s="236"/>
      <c r="D2294" s="236"/>
    </row>
    <row r="2295" spans="2:4" ht="12.75" customHeight="1" x14ac:dyDescent="0.2">
      <c r="B2295" s="236"/>
      <c r="C2295" s="236"/>
      <c r="D2295" s="236"/>
    </row>
    <row r="2296" spans="2:4" ht="12.75" customHeight="1" x14ac:dyDescent="0.2">
      <c r="B2296" s="236"/>
      <c r="C2296" s="236"/>
      <c r="D2296" s="236"/>
    </row>
    <row r="2297" spans="2:4" ht="12.75" customHeight="1" x14ac:dyDescent="0.2">
      <c r="B2297" s="236"/>
      <c r="C2297" s="236"/>
      <c r="D2297" s="236"/>
    </row>
    <row r="2298" spans="2:4" ht="12.75" customHeight="1" x14ac:dyDescent="0.2">
      <c r="B2298" s="236"/>
      <c r="C2298" s="236"/>
      <c r="D2298" s="236"/>
    </row>
    <row r="2299" spans="2:4" ht="12.75" customHeight="1" x14ac:dyDescent="0.2">
      <c r="B2299" s="236"/>
      <c r="C2299" s="236"/>
      <c r="D2299" s="236"/>
    </row>
    <row r="2300" spans="2:4" ht="12.75" customHeight="1" x14ac:dyDescent="0.2">
      <c r="B2300" s="236"/>
      <c r="C2300" s="236"/>
      <c r="D2300" s="236"/>
    </row>
    <row r="2301" spans="2:4" ht="12.75" customHeight="1" x14ac:dyDescent="0.2">
      <c r="B2301" s="236"/>
      <c r="C2301" s="236"/>
      <c r="D2301" s="236"/>
    </row>
    <row r="2302" spans="2:4" ht="12.75" customHeight="1" x14ac:dyDescent="0.2">
      <c r="B2302" s="236"/>
      <c r="C2302" s="236"/>
      <c r="D2302" s="236"/>
    </row>
    <row r="2303" spans="2:4" ht="12.75" customHeight="1" x14ac:dyDescent="0.2">
      <c r="B2303" s="236"/>
      <c r="C2303" s="236"/>
      <c r="D2303" s="236"/>
    </row>
    <row r="2304" spans="2:4" ht="12.75" customHeight="1" x14ac:dyDescent="0.2">
      <c r="B2304" s="236"/>
      <c r="C2304" s="236"/>
      <c r="D2304" s="236"/>
    </row>
    <row r="2305" spans="2:4" ht="12.75" customHeight="1" x14ac:dyDescent="0.2">
      <c r="B2305" s="236"/>
      <c r="C2305" s="236"/>
      <c r="D2305" s="236"/>
    </row>
    <row r="2306" spans="2:4" ht="12.75" customHeight="1" x14ac:dyDescent="0.2">
      <c r="B2306" s="236"/>
      <c r="C2306" s="236"/>
      <c r="D2306" s="236"/>
    </row>
    <row r="2307" spans="2:4" x14ac:dyDescent="0.2">
      <c r="B2307" s="236"/>
      <c r="C2307" s="236"/>
      <c r="D2307" s="236"/>
    </row>
    <row r="2308" spans="2:4" ht="12.75" customHeight="1" x14ac:dyDescent="0.2">
      <c r="B2308" s="236"/>
      <c r="C2308" s="236"/>
      <c r="D2308" s="236"/>
    </row>
    <row r="2309" spans="2:4" x14ac:dyDescent="0.2">
      <c r="B2309" s="236"/>
      <c r="C2309" s="236"/>
      <c r="D2309" s="236"/>
    </row>
    <row r="2310" spans="2:4" ht="12.75" customHeight="1" x14ac:dyDescent="0.2">
      <c r="B2310" s="236"/>
      <c r="C2310" s="236"/>
      <c r="D2310" s="236"/>
    </row>
    <row r="2311" spans="2:4" x14ac:dyDescent="0.2">
      <c r="B2311" s="236"/>
      <c r="C2311" s="236"/>
      <c r="D2311" s="236"/>
    </row>
    <row r="2312" spans="2:4" x14ac:dyDescent="0.2">
      <c r="B2312" s="236"/>
      <c r="C2312" s="236"/>
      <c r="D2312" s="236"/>
    </row>
    <row r="2313" spans="2:4" ht="12.75" customHeight="1" x14ac:dyDescent="0.2">
      <c r="B2313" s="236"/>
      <c r="C2313" s="236"/>
      <c r="D2313" s="236"/>
    </row>
    <row r="2314" spans="2:4" x14ac:dyDescent="0.2">
      <c r="B2314" s="236"/>
      <c r="C2314" s="236"/>
      <c r="D2314" s="236"/>
    </row>
    <row r="2315" spans="2:4" x14ac:dyDescent="0.2">
      <c r="B2315" s="236"/>
      <c r="C2315" s="236"/>
      <c r="D2315" s="236"/>
    </row>
    <row r="2316" spans="2:4" ht="12.75" customHeight="1" x14ac:dyDescent="0.2">
      <c r="B2316" s="236"/>
      <c r="C2316" s="236"/>
      <c r="D2316" s="236"/>
    </row>
    <row r="2317" spans="2:4" ht="12.75" customHeight="1" x14ac:dyDescent="0.2">
      <c r="B2317" s="236"/>
      <c r="C2317" s="236"/>
      <c r="D2317" s="236"/>
    </row>
    <row r="2318" spans="2:4" ht="12.75" customHeight="1" x14ac:dyDescent="0.2">
      <c r="B2318" s="236"/>
      <c r="C2318" s="236"/>
      <c r="D2318" s="236"/>
    </row>
    <row r="2319" spans="2:4" ht="12.75" customHeight="1" x14ac:dyDescent="0.2">
      <c r="B2319" s="236"/>
      <c r="C2319" s="236"/>
      <c r="D2319" s="236"/>
    </row>
    <row r="2320" spans="2:4" ht="12.75" customHeight="1" x14ac:dyDescent="0.2">
      <c r="B2320" s="236"/>
      <c r="C2320" s="236"/>
      <c r="D2320" s="236"/>
    </row>
    <row r="2321" spans="2:4" ht="12.75" customHeight="1" x14ac:dyDescent="0.2">
      <c r="B2321" s="236"/>
      <c r="C2321" s="236"/>
      <c r="D2321" s="236"/>
    </row>
    <row r="2322" spans="2:4" ht="12.75" customHeight="1" x14ac:dyDescent="0.2">
      <c r="B2322" s="236"/>
      <c r="C2322" s="236"/>
      <c r="D2322" s="236"/>
    </row>
    <row r="2323" spans="2:4" ht="12.75" customHeight="1" x14ac:dyDescent="0.2">
      <c r="B2323" s="236"/>
      <c r="C2323" s="236"/>
      <c r="D2323" s="236"/>
    </row>
    <row r="2324" spans="2:4" x14ac:dyDescent="0.2">
      <c r="B2324" s="236"/>
      <c r="C2324" s="236"/>
      <c r="D2324" s="236"/>
    </row>
    <row r="2325" spans="2:4" ht="12.75" customHeight="1" x14ac:dyDescent="0.2">
      <c r="B2325" s="236"/>
      <c r="C2325" s="236"/>
      <c r="D2325" s="236"/>
    </row>
    <row r="2326" spans="2:4" ht="12.75" customHeight="1" x14ac:dyDescent="0.2">
      <c r="B2326" s="236"/>
      <c r="C2326" s="236"/>
      <c r="D2326" s="236"/>
    </row>
    <row r="2327" spans="2:4" x14ac:dyDescent="0.2">
      <c r="B2327" s="236"/>
      <c r="C2327" s="236"/>
      <c r="D2327" s="236"/>
    </row>
    <row r="2328" spans="2:4" ht="12.75" customHeight="1" x14ac:dyDescent="0.2">
      <c r="B2328" s="236"/>
      <c r="C2328" s="236"/>
      <c r="D2328" s="236"/>
    </row>
    <row r="2329" spans="2:4" ht="12.75" customHeight="1" x14ac:dyDescent="0.2">
      <c r="B2329" s="236"/>
      <c r="C2329" s="236"/>
      <c r="D2329" s="236"/>
    </row>
    <row r="2330" spans="2:4" ht="12.75" customHeight="1" x14ac:dyDescent="0.2">
      <c r="B2330" s="236"/>
      <c r="C2330" s="236"/>
      <c r="D2330" s="236"/>
    </row>
    <row r="2331" spans="2:4" ht="12.75" customHeight="1" x14ac:dyDescent="0.2">
      <c r="B2331" s="236"/>
      <c r="C2331" s="236"/>
      <c r="D2331" s="236"/>
    </row>
    <row r="2332" spans="2:4" ht="12.75" customHeight="1" x14ac:dyDescent="0.2">
      <c r="B2332" s="236"/>
      <c r="C2332" s="236"/>
      <c r="D2332" s="236"/>
    </row>
    <row r="2333" spans="2:4" ht="12.75" customHeight="1" x14ac:dyDescent="0.2">
      <c r="B2333" s="236"/>
      <c r="C2333" s="236"/>
      <c r="D2333" s="236"/>
    </row>
    <row r="2334" spans="2:4" ht="12.75" customHeight="1" x14ac:dyDescent="0.2">
      <c r="B2334" s="236"/>
      <c r="C2334" s="236"/>
      <c r="D2334" s="236"/>
    </row>
    <row r="2335" spans="2:4" ht="12.75" customHeight="1" x14ac:dyDescent="0.2">
      <c r="B2335" s="236"/>
      <c r="C2335" s="236"/>
      <c r="D2335" s="236"/>
    </row>
    <row r="2336" spans="2:4" ht="12.75" customHeight="1" x14ac:dyDescent="0.2">
      <c r="B2336" s="236"/>
      <c r="C2336" s="236"/>
      <c r="D2336" s="236"/>
    </row>
    <row r="2337" spans="2:4" x14ac:dyDescent="0.2">
      <c r="B2337" s="236"/>
      <c r="C2337" s="236"/>
      <c r="D2337" s="236"/>
    </row>
    <row r="2338" spans="2:4" x14ac:dyDescent="0.2">
      <c r="B2338" s="236"/>
      <c r="C2338" s="236"/>
      <c r="D2338" s="236"/>
    </row>
    <row r="2339" spans="2:4" x14ac:dyDescent="0.2">
      <c r="B2339" s="236"/>
      <c r="C2339" s="236"/>
      <c r="D2339" s="236"/>
    </row>
    <row r="2340" spans="2:4" ht="12.75" customHeight="1" x14ac:dyDescent="0.2">
      <c r="B2340" s="236"/>
      <c r="C2340" s="236"/>
      <c r="D2340" s="236"/>
    </row>
    <row r="2341" spans="2:4" ht="12.75" customHeight="1" x14ac:dyDescent="0.2">
      <c r="B2341" s="236"/>
      <c r="C2341" s="236"/>
      <c r="D2341" s="236"/>
    </row>
    <row r="2342" spans="2:4" ht="12.75" customHeight="1" x14ac:dyDescent="0.2">
      <c r="B2342" s="236"/>
      <c r="C2342" s="236"/>
      <c r="D2342" s="236"/>
    </row>
    <row r="2343" spans="2:4" ht="12.75" customHeight="1" x14ac:dyDescent="0.2">
      <c r="B2343" s="236"/>
      <c r="C2343" s="236"/>
      <c r="D2343" s="236"/>
    </row>
    <row r="2344" spans="2:4" ht="12.75" customHeight="1" x14ac:dyDescent="0.2">
      <c r="B2344" s="236"/>
      <c r="C2344" s="236"/>
      <c r="D2344" s="236"/>
    </row>
    <row r="2345" spans="2:4" ht="12.75" customHeight="1" x14ac:dyDescent="0.2">
      <c r="B2345" s="236"/>
      <c r="C2345" s="236"/>
      <c r="D2345" s="236"/>
    </row>
    <row r="2346" spans="2:4" ht="12.75" customHeight="1" x14ac:dyDescent="0.2">
      <c r="B2346" s="236"/>
      <c r="C2346" s="236"/>
      <c r="D2346" s="236"/>
    </row>
    <row r="2347" spans="2:4" ht="12.75" customHeight="1" x14ac:dyDescent="0.2">
      <c r="B2347" s="236"/>
      <c r="C2347" s="236"/>
      <c r="D2347" s="236"/>
    </row>
    <row r="2348" spans="2:4" ht="12.75" customHeight="1" x14ac:dyDescent="0.2">
      <c r="B2348" s="236"/>
      <c r="C2348" s="236"/>
      <c r="D2348" s="236"/>
    </row>
    <row r="2349" spans="2:4" ht="12.75" customHeight="1" x14ac:dyDescent="0.2">
      <c r="B2349" s="236"/>
      <c r="C2349" s="236"/>
      <c r="D2349" s="236"/>
    </row>
    <row r="2350" spans="2:4" x14ac:dyDescent="0.2">
      <c r="B2350" s="236"/>
      <c r="C2350" s="236"/>
      <c r="D2350" s="236"/>
    </row>
    <row r="2351" spans="2:4" ht="12.75" customHeight="1" x14ac:dyDescent="0.2">
      <c r="B2351" s="236"/>
      <c r="C2351" s="236"/>
      <c r="D2351" s="236"/>
    </row>
    <row r="2352" spans="2:4" x14ac:dyDescent="0.2">
      <c r="B2352" s="236"/>
      <c r="C2352" s="236"/>
      <c r="D2352" s="236"/>
    </row>
    <row r="2353" spans="2:4" x14ac:dyDescent="0.2">
      <c r="B2353" s="236"/>
      <c r="C2353" s="236"/>
      <c r="D2353" s="236"/>
    </row>
    <row r="2354" spans="2:4" x14ac:dyDescent="0.2">
      <c r="B2354" s="236"/>
      <c r="C2354" s="236"/>
      <c r="D2354" s="236"/>
    </row>
    <row r="2355" spans="2:4" ht="12.75" customHeight="1" x14ac:dyDescent="0.2">
      <c r="B2355" s="236"/>
      <c r="C2355" s="236"/>
      <c r="D2355" s="236"/>
    </row>
    <row r="2356" spans="2:4" ht="12.75" customHeight="1" x14ac:dyDescent="0.2">
      <c r="B2356" s="236"/>
      <c r="C2356" s="236"/>
      <c r="D2356" s="236"/>
    </row>
    <row r="2357" spans="2:4" ht="12.75" customHeight="1" x14ac:dyDescent="0.2">
      <c r="B2357" s="236"/>
      <c r="C2357" s="236"/>
      <c r="D2357" s="236"/>
    </row>
    <row r="2358" spans="2:4" ht="12.75" customHeight="1" x14ac:dyDescent="0.2">
      <c r="B2358" s="236"/>
      <c r="C2358" s="236"/>
      <c r="D2358" s="236"/>
    </row>
    <row r="2359" spans="2:4" ht="12.75" customHeight="1" x14ac:dyDescent="0.2">
      <c r="B2359" s="236"/>
      <c r="C2359" s="236"/>
      <c r="D2359" s="236"/>
    </row>
    <row r="2360" spans="2:4" ht="12.75" customHeight="1" x14ac:dyDescent="0.2">
      <c r="B2360" s="236"/>
      <c r="C2360" s="236"/>
      <c r="D2360" s="236"/>
    </row>
    <row r="2361" spans="2:4" ht="12.75" customHeight="1" x14ac:dyDescent="0.2">
      <c r="B2361" s="236"/>
      <c r="C2361" s="236"/>
      <c r="D2361" s="236"/>
    </row>
    <row r="2362" spans="2:4" ht="12.75" customHeight="1" x14ac:dyDescent="0.2">
      <c r="B2362" s="236"/>
      <c r="C2362" s="236"/>
      <c r="D2362" s="236"/>
    </row>
    <row r="2363" spans="2:4" ht="12.75" customHeight="1" x14ac:dyDescent="0.2">
      <c r="B2363" s="236"/>
      <c r="C2363" s="236"/>
      <c r="D2363" s="236"/>
    </row>
    <row r="2364" spans="2:4" ht="12.75" customHeight="1" x14ac:dyDescent="0.2">
      <c r="B2364" s="236"/>
      <c r="C2364" s="236"/>
      <c r="D2364" s="236"/>
    </row>
    <row r="2365" spans="2:4" ht="12.75" customHeight="1" x14ac:dyDescent="0.2">
      <c r="B2365" s="236"/>
      <c r="C2365" s="236"/>
      <c r="D2365" s="236"/>
    </row>
    <row r="2366" spans="2:4" x14ac:dyDescent="0.2">
      <c r="B2366" s="236"/>
      <c r="C2366" s="236"/>
      <c r="D2366" s="236"/>
    </row>
    <row r="2367" spans="2:4" ht="12.75" customHeight="1" x14ac:dyDescent="0.2">
      <c r="B2367" s="236"/>
      <c r="C2367" s="236"/>
      <c r="D2367" s="236"/>
    </row>
    <row r="2368" spans="2:4" x14ac:dyDescent="0.2">
      <c r="B2368" s="236"/>
      <c r="C2368" s="236"/>
      <c r="D2368" s="236"/>
    </row>
    <row r="2369" spans="2:4" x14ac:dyDescent="0.2">
      <c r="B2369" s="236"/>
      <c r="C2369" s="236"/>
      <c r="D2369" s="236"/>
    </row>
    <row r="2370" spans="2:4" x14ac:dyDescent="0.2">
      <c r="B2370" s="236"/>
      <c r="C2370" s="236"/>
      <c r="D2370" s="236"/>
    </row>
    <row r="2371" spans="2:4" ht="12.75" customHeight="1" x14ac:dyDescent="0.2">
      <c r="B2371" s="236"/>
      <c r="C2371" s="236"/>
      <c r="D2371" s="236"/>
    </row>
    <row r="2372" spans="2:4" ht="12.75" customHeight="1" x14ac:dyDescent="0.2">
      <c r="B2372" s="236"/>
      <c r="C2372" s="236"/>
      <c r="D2372" s="236"/>
    </row>
    <row r="2373" spans="2:4" ht="12.75" customHeight="1" x14ac:dyDescent="0.2">
      <c r="B2373" s="236"/>
      <c r="C2373" s="236"/>
      <c r="D2373" s="236"/>
    </row>
    <row r="2374" spans="2:4" ht="12.75" customHeight="1" x14ac:dyDescent="0.2">
      <c r="B2374" s="236"/>
      <c r="C2374" s="236"/>
      <c r="D2374" s="236"/>
    </row>
    <row r="2375" spans="2:4" ht="12.75" customHeight="1" x14ac:dyDescent="0.2">
      <c r="B2375" s="236"/>
      <c r="C2375" s="236"/>
      <c r="D2375" s="236"/>
    </row>
    <row r="2376" spans="2:4" ht="12.75" customHeight="1" x14ac:dyDescent="0.2">
      <c r="B2376" s="236"/>
      <c r="C2376" s="236"/>
      <c r="D2376" s="236"/>
    </row>
    <row r="2377" spans="2:4" x14ac:dyDescent="0.2">
      <c r="B2377" s="236"/>
      <c r="C2377" s="236"/>
      <c r="D2377" s="236"/>
    </row>
    <row r="2378" spans="2:4" ht="12.75" customHeight="1" x14ac:dyDescent="0.2">
      <c r="B2378" s="236"/>
      <c r="C2378" s="236"/>
      <c r="D2378" s="236"/>
    </row>
    <row r="2379" spans="2:4" ht="12.75" customHeight="1" x14ac:dyDescent="0.2">
      <c r="B2379" s="236"/>
      <c r="C2379" s="236"/>
      <c r="D2379" s="236"/>
    </row>
    <row r="2380" spans="2:4" x14ac:dyDescent="0.2">
      <c r="B2380" s="236"/>
      <c r="C2380" s="236"/>
      <c r="D2380" s="236"/>
    </row>
    <row r="2381" spans="2:4" x14ac:dyDescent="0.2">
      <c r="B2381" s="236"/>
      <c r="C2381" s="236"/>
      <c r="D2381" s="236"/>
    </row>
    <row r="2382" spans="2:4" ht="12.75" customHeight="1" x14ac:dyDescent="0.2">
      <c r="B2382" s="236"/>
      <c r="C2382" s="236"/>
      <c r="D2382" s="236"/>
    </row>
    <row r="2383" spans="2:4" ht="12.75" customHeight="1" x14ac:dyDescent="0.2">
      <c r="B2383" s="236"/>
      <c r="C2383" s="236"/>
      <c r="D2383" s="236"/>
    </row>
    <row r="2384" spans="2:4" x14ac:dyDescent="0.2">
      <c r="B2384" s="236"/>
      <c r="C2384" s="236"/>
      <c r="D2384" s="236"/>
    </row>
    <row r="2385" spans="2:4" ht="12.75" customHeight="1" x14ac:dyDescent="0.2">
      <c r="B2385" s="236"/>
      <c r="C2385" s="236"/>
      <c r="D2385" s="236"/>
    </row>
    <row r="2386" spans="2:4" x14ac:dyDescent="0.2">
      <c r="B2386" s="236"/>
      <c r="C2386" s="236"/>
      <c r="D2386" s="236"/>
    </row>
    <row r="2387" spans="2:4" ht="12.75" customHeight="1" x14ac:dyDescent="0.2">
      <c r="B2387" s="236"/>
      <c r="C2387" s="236"/>
      <c r="D2387" s="236"/>
    </row>
    <row r="2388" spans="2:4" ht="12.75" customHeight="1" x14ac:dyDescent="0.2">
      <c r="B2388" s="236"/>
      <c r="C2388" s="236"/>
      <c r="D2388" s="236"/>
    </row>
    <row r="2389" spans="2:4" x14ac:dyDescent="0.2">
      <c r="B2389" s="236"/>
      <c r="C2389" s="236"/>
      <c r="D2389" s="236"/>
    </row>
    <row r="2390" spans="2:4" ht="12.75" customHeight="1" x14ac:dyDescent="0.2">
      <c r="B2390" s="236"/>
      <c r="C2390" s="236"/>
      <c r="D2390" s="236"/>
    </row>
    <row r="2391" spans="2:4" x14ac:dyDescent="0.2">
      <c r="B2391" s="236"/>
      <c r="C2391" s="236"/>
      <c r="D2391" s="236"/>
    </row>
    <row r="2392" spans="2:4" ht="12.75" customHeight="1" x14ac:dyDescent="0.2">
      <c r="B2392" s="236"/>
      <c r="C2392" s="236"/>
      <c r="D2392" s="236"/>
    </row>
    <row r="2393" spans="2:4" x14ac:dyDescent="0.2">
      <c r="B2393" s="236"/>
      <c r="C2393" s="236"/>
      <c r="D2393" s="236"/>
    </row>
    <row r="2394" spans="2:4" ht="12.75" customHeight="1" x14ac:dyDescent="0.2">
      <c r="B2394" s="236"/>
      <c r="C2394" s="236"/>
      <c r="D2394" s="236"/>
    </row>
    <row r="2395" spans="2:4" x14ac:dyDescent="0.2">
      <c r="B2395" s="236"/>
      <c r="C2395" s="236"/>
      <c r="D2395" s="236"/>
    </row>
    <row r="2396" spans="2:4" ht="12.75" customHeight="1" x14ac:dyDescent="0.2">
      <c r="B2396" s="236"/>
      <c r="C2396" s="236"/>
      <c r="D2396" s="236"/>
    </row>
    <row r="2397" spans="2:4" ht="12.75" customHeight="1" x14ac:dyDescent="0.2">
      <c r="B2397" s="236"/>
      <c r="C2397" s="236"/>
      <c r="D2397" s="236"/>
    </row>
    <row r="2398" spans="2:4" x14ac:dyDescent="0.2">
      <c r="B2398" s="236"/>
      <c r="C2398" s="236"/>
      <c r="D2398" s="236"/>
    </row>
    <row r="2399" spans="2:4" ht="12.75" customHeight="1" x14ac:dyDescent="0.2">
      <c r="B2399" s="236"/>
      <c r="C2399" s="236"/>
      <c r="D2399" s="236"/>
    </row>
    <row r="2400" spans="2:4" ht="12.75" customHeight="1" x14ac:dyDescent="0.2">
      <c r="B2400" s="236"/>
      <c r="C2400" s="236"/>
      <c r="D2400" s="236"/>
    </row>
    <row r="2401" spans="2:4" x14ac:dyDescent="0.2">
      <c r="B2401" s="236"/>
      <c r="C2401" s="236"/>
      <c r="D2401" s="236"/>
    </row>
    <row r="2402" spans="2:4" ht="12.75" customHeight="1" x14ac:dyDescent="0.2">
      <c r="B2402" s="236"/>
      <c r="C2402" s="236"/>
      <c r="D2402" s="236"/>
    </row>
    <row r="2403" spans="2:4" ht="12.75" customHeight="1" x14ac:dyDescent="0.2">
      <c r="B2403" s="236"/>
      <c r="C2403" s="236"/>
      <c r="D2403" s="236"/>
    </row>
    <row r="2404" spans="2:4" ht="12.75" customHeight="1" x14ac:dyDescent="0.2">
      <c r="B2404" s="236"/>
      <c r="C2404" s="236"/>
      <c r="D2404" s="236"/>
    </row>
    <row r="2405" spans="2:4" ht="12.75" customHeight="1" x14ac:dyDescent="0.2">
      <c r="B2405" s="236"/>
      <c r="C2405" s="236"/>
      <c r="D2405" s="236"/>
    </row>
    <row r="2406" spans="2:4" ht="12.75" customHeight="1" x14ac:dyDescent="0.2">
      <c r="B2406" s="236"/>
      <c r="C2406" s="236"/>
      <c r="D2406" s="236"/>
    </row>
    <row r="2407" spans="2:4" ht="12.75" customHeight="1" x14ac:dyDescent="0.2">
      <c r="B2407" s="236"/>
      <c r="C2407" s="236"/>
      <c r="D2407" s="236"/>
    </row>
    <row r="2408" spans="2:4" x14ac:dyDescent="0.2">
      <c r="B2408" s="236"/>
      <c r="C2408" s="236"/>
      <c r="D2408" s="236"/>
    </row>
    <row r="2409" spans="2:4" ht="12.75" customHeight="1" x14ac:dyDescent="0.2">
      <c r="B2409" s="236"/>
      <c r="C2409" s="236"/>
      <c r="D2409" s="236"/>
    </row>
    <row r="2410" spans="2:4" ht="12.75" customHeight="1" x14ac:dyDescent="0.2">
      <c r="B2410" s="236"/>
      <c r="C2410" s="236"/>
      <c r="D2410" s="236"/>
    </row>
    <row r="2411" spans="2:4" x14ac:dyDescent="0.2">
      <c r="B2411" s="236"/>
      <c r="C2411" s="236"/>
      <c r="D2411" s="236"/>
    </row>
    <row r="2412" spans="2:4" x14ac:dyDescent="0.2">
      <c r="B2412" s="236"/>
      <c r="C2412" s="236"/>
      <c r="D2412" s="236"/>
    </row>
    <row r="2413" spans="2:4" ht="12.75" customHeight="1" x14ac:dyDescent="0.2">
      <c r="B2413" s="236"/>
      <c r="C2413" s="236"/>
      <c r="D2413" s="236"/>
    </row>
    <row r="2414" spans="2:4" ht="12.75" customHeight="1" x14ac:dyDescent="0.2">
      <c r="B2414" s="236"/>
      <c r="C2414" s="236"/>
      <c r="D2414" s="236"/>
    </row>
    <row r="2415" spans="2:4" ht="12.75" customHeight="1" x14ac:dyDescent="0.2">
      <c r="B2415" s="236"/>
      <c r="C2415" s="236"/>
      <c r="D2415" s="236"/>
    </row>
    <row r="2416" spans="2:4" ht="12.75" customHeight="1" x14ac:dyDescent="0.2">
      <c r="B2416" s="236"/>
      <c r="C2416" s="236"/>
      <c r="D2416" s="236"/>
    </row>
    <row r="2417" spans="2:4" ht="12.75" customHeight="1" x14ac:dyDescent="0.2">
      <c r="B2417" s="236"/>
      <c r="C2417" s="236"/>
      <c r="D2417" s="236"/>
    </row>
    <row r="2418" spans="2:4" ht="12.75" customHeight="1" x14ac:dyDescent="0.2">
      <c r="B2418" s="236"/>
      <c r="C2418" s="236"/>
      <c r="D2418" s="236"/>
    </row>
    <row r="2419" spans="2:4" ht="12.75" customHeight="1" x14ac:dyDescent="0.2">
      <c r="B2419" s="236"/>
      <c r="C2419" s="236"/>
      <c r="D2419" s="236"/>
    </row>
    <row r="2420" spans="2:4" ht="12.75" customHeight="1" x14ac:dyDescent="0.2">
      <c r="B2420" s="236"/>
      <c r="C2420" s="236"/>
      <c r="D2420" s="236"/>
    </row>
    <row r="2421" spans="2:4" ht="12.75" customHeight="1" x14ac:dyDescent="0.2">
      <c r="B2421" s="236"/>
      <c r="C2421" s="236"/>
      <c r="D2421" s="236"/>
    </row>
    <row r="2422" spans="2:4" ht="12.75" customHeight="1" x14ac:dyDescent="0.2">
      <c r="B2422" s="236"/>
      <c r="C2422" s="236"/>
      <c r="D2422" s="236"/>
    </row>
    <row r="2423" spans="2:4" ht="12.75" customHeight="1" x14ac:dyDescent="0.2">
      <c r="B2423" s="236"/>
      <c r="C2423" s="236"/>
      <c r="D2423" s="236"/>
    </row>
    <row r="2424" spans="2:4" ht="12.75" customHeight="1" x14ac:dyDescent="0.2">
      <c r="B2424" s="236"/>
      <c r="C2424" s="236"/>
      <c r="D2424" s="236"/>
    </row>
    <row r="2425" spans="2:4" ht="12.75" customHeight="1" x14ac:dyDescent="0.2">
      <c r="B2425" s="236"/>
      <c r="C2425" s="236"/>
      <c r="D2425" s="236"/>
    </row>
    <row r="2426" spans="2:4" ht="12.75" customHeight="1" x14ac:dyDescent="0.2">
      <c r="B2426" s="236"/>
      <c r="C2426" s="236"/>
      <c r="D2426" s="236"/>
    </row>
    <row r="2427" spans="2:4" ht="12.75" customHeight="1" x14ac:dyDescent="0.2">
      <c r="B2427" s="236"/>
      <c r="C2427" s="236"/>
      <c r="D2427" s="236"/>
    </row>
    <row r="2428" spans="2:4" ht="12.75" customHeight="1" x14ac:dyDescent="0.2">
      <c r="B2428" s="236"/>
      <c r="C2428" s="236"/>
      <c r="D2428" s="236"/>
    </row>
    <row r="2429" spans="2:4" ht="12.75" customHeight="1" x14ac:dyDescent="0.2">
      <c r="B2429" s="236"/>
      <c r="C2429" s="236"/>
      <c r="D2429" s="236"/>
    </row>
    <row r="2430" spans="2:4" x14ac:dyDescent="0.2">
      <c r="B2430" s="236"/>
      <c r="C2430" s="236"/>
      <c r="D2430" s="236"/>
    </row>
    <row r="2431" spans="2:4" ht="12.75" customHeight="1" x14ac:dyDescent="0.2">
      <c r="B2431" s="236"/>
      <c r="C2431" s="236"/>
      <c r="D2431" s="236"/>
    </row>
    <row r="2432" spans="2:4" ht="12.75" customHeight="1" x14ac:dyDescent="0.2">
      <c r="B2432" s="236"/>
      <c r="C2432" s="236"/>
      <c r="D2432" s="236"/>
    </row>
    <row r="2433" spans="2:4" ht="12.75" customHeight="1" x14ac:dyDescent="0.2">
      <c r="B2433" s="236"/>
      <c r="C2433" s="236"/>
      <c r="D2433" s="236"/>
    </row>
    <row r="2434" spans="2:4" ht="12.75" customHeight="1" x14ac:dyDescent="0.2">
      <c r="B2434" s="236"/>
      <c r="C2434" s="236"/>
      <c r="D2434" s="236"/>
    </row>
    <row r="2435" spans="2:4" ht="12.75" customHeight="1" x14ac:dyDescent="0.2">
      <c r="B2435" s="236"/>
      <c r="C2435" s="236"/>
      <c r="D2435" s="236"/>
    </row>
    <row r="2436" spans="2:4" ht="12.75" customHeight="1" x14ac:dyDescent="0.2">
      <c r="B2436" s="236"/>
      <c r="C2436" s="236"/>
      <c r="D2436" s="236"/>
    </row>
    <row r="2437" spans="2:4" ht="12.75" customHeight="1" x14ac:dyDescent="0.2">
      <c r="B2437" s="236"/>
      <c r="C2437" s="236"/>
      <c r="D2437" s="236"/>
    </row>
    <row r="2438" spans="2:4" ht="12.75" customHeight="1" x14ac:dyDescent="0.2">
      <c r="B2438" s="236"/>
      <c r="C2438" s="236"/>
      <c r="D2438" s="236"/>
    </row>
    <row r="2439" spans="2:4" ht="12.75" customHeight="1" x14ac:dyDescent="0.2">
      <c r="B2439" s="236"/>
      <c r="C2439" s="236"/>
      <c r="D2439" s="236"/>
    </row>
    <row r="2440" spans="2:4" ht="12.75" customHeight="1" x14ac:dyDescent="0.2">
      <c r="B2440" s="236"/>
      <c r="C2440" s="236"/>
      <c r="D2440" s="236"/>
    </row>
    <row r="2441" spans="2:4" ht="12.75" customHeight="1" x14ac:dyDescent="0.2">
      <c r="B2441" s="236"/>
      <c r="C2441" s="236"/>
      <c r="D2441" s="236"/>
    </row>
    <row r="2442" spans="2:4" ht="12.75" customHeight="1" x14ac:dyDescent="0.2">
      <c r="B2442" s="236"/>
      <c r="C2442" s="236"/>
      <c r="D2442" s="236"/>
    </row>
    <row r="2443" spans="2:4" x14ac:dyDescent="0.2">
      <c r="B2443" s="236"/>
      <c r="C2443" s="236"/>
      <c r="D2443" s="236"/>
    </row>
    <row r="2444" spans="2:4" ht="12.75" customHeight="1" x14ac:dyDescent="0.2">
      <c r="B2444" s="236"/>
      <c r="C2444" s="236"/>
      <c r="D2444" s="236"/>
    </row>
    <row r="2445" spans="2:4" ht="12.75" customHeight="1" x14ac:dyDescent="0.2">
      <c r="B2445" s="236"/>
      <c r="C2445" s="236"/>
      <c r="D2445" s="236"/>
    </row>
    <row r="2446" spans="2:4" ht="12.75" customHeight="1" x14ac:dyDescent="0.2">
      <c r="B2446" s="236"/>
      <c r="C2446" s="236"/>
      <c r="D2446" s="236"/>
    </row>
    <row r="2447" spans="2:4" ht="12.75" customHeight="1" x14ac:dyDescent="0.2">
      <c r="B2447" s="236"/>
      <c r="C2447" s="236"/>
      <c r="D2447" s="236"/>
    </row>
    <row r="2448" spans="2:4" ht="12.75" customHeight="1" x14ac:dyDescent="0.2">
      <c r="B2448" s="236"/>
      <c r="C2448" s="236"/>
      <c r="D2448" s="236"/>
    </row>
    <row r="2449" spans="2:4" ht="12.75" customHeight="1" x14ac:dyDescent="0.2">
      <c r="B2449" s="236"/>
      <c r="C2449" s="236"/>
      <c r="D2449" s="236"/>
    </row>
    <row r="2450" spans="2:4" ht="12.75" customHeight="1" x14ac:dyDescent="0.2">
      <c r="B2450" s="236"/>
      <c r="C2450" s="236"/>
      <c r="D2450" s="236"/>
    </row>
    <row r="2451" spans="2:4" ht="12.75" customHeight="1" x14ac:dyDescent="0.2">
      <c r="B2451" s="236"/>
      <c r="C2451" s="236"/>
      <c r="D2451" s="236"/>
    </row>
    <row r="2452" spans="2:4" ht="12.75" customHeight="1" x14ac:dyDescent="0.2">
      <c r="B2452" s="236"/>
      <c r="C2452" s="236"/>
      <c r="D2452" s="236"/>
    </row>
    <row r="2453" spans="2:4" ht="12.75" customHeight="1" x14ac:dyDescent="0.2">
      <c r="B2453" s="236"/>
      <c r="C2453" s="236"/>
      <c r="D2453" s="236"/>
    </row>
    <row r="2454" spans="2:4" ht="12.75" customHeight="1" x14ac:dyDescent="0.2">
      <c r="B2454" s="236"/>
      <c r="C2454" s="236"/>
      <c r="D2454" s="236"/>
    </row>
    <row r="2455" spans="2:4" ht="12.75" customHeight="1" x14ac:dyDescent="0.2">
      <c r="B2455" s="236"/>
      <c r="C2455" s="236"/>
      <c r="D2455" s="236"/>
    </row>
    <row r="2456" spans="2:4" ht="12.75" customHeight="1" x14ac:dyDescent="0.2">
      <c r="B2456" s="236"/>
      <c r="C2456" s="236"/>
      <c r="D2456" s="236"/>
    </row>
    <row r="2457" spans="2:4" ht="12.75" customHeight="1" x14ac:dyDescent="0.2">
      <c r="B2457" s="236"/>
      <c r="C2457" s="236"/>
      <c r="D2457" s="236"/>
    </row>
    <row r="2458" spans="2:4" ht="12.75" customHeight="1" x14ac:dyDescent="0.2">
      <c r="B2458" s="236"/>
      <c r="C2458" s="236"/>
      <c r="D2458" s="236"/>
    </row>
    <row r="2459" spans="2:4" ht="12.75" customHeight="1" x14ac:dyDescent="0.2">
      <c r="B2459" s="236"/>
      <c r="C2459" s="236"/>
      <c r="D2459" s="236"/>
    </row>
    <row r="2460" spans="2:4" ht="12.75" customHeight="1" x14ac:dyDescent="0.2">
      <c r="B2460" s="236"/>
      <c r="C2460" s="236"/>
      <c r="D2460" s="236"/>
    </row>
    <row r="2461" spans="2:4" ht="12.75" customHeight="1" x14ac:dyDescent="0.2">
      <c r="B2461" s="236"/>
      <c r="C2461" s="236"/>
      <c r="D2461" s="236"/>
    </row>
    <row r="2462" spans="2:4" ht="12.75" customHeight="1" x14ac:dyDescent="0.2">
      <c r="B2462" s="236"/>
      <c r="C2462" s="236"/>
      <c r="D2462" s="236"/>
    </row>
    <row r="2463" spans="2:4" ht="12.75" customHeight="1" x14ac:dyDescent="0.2">
      <c r="B2463" s="236"/>
      <c r="C2463" s="236"/>
      <c r="D2463" s="236"/>
    </row>
    <row r="2464" spans="2:4" ht="12.75" customHeight="1" x14ac:dyDescent="0.2">
      <c r="B2464" s="236"/>
      <c r="C2464" s="236"/>
      <c r="D2464" s="236"/>
    </row>
    <row r="2465" spans="2:4" ht="12.75" customHeight="1" x14ac:dyDescent="0.2">
      <c r="B2465" s="236"/>
      <c r="C2465" s="236"/>
      <c r="D2465" s="236"/>
    </row>
    <row r="2466" spans="2:4" ht="12.75" customHeight="1" x14ac:dyDescent="0.2">
      <c r="B2466" s="236"/>
      <c r="C2466" s="236"/>
      <c r="D2466" s="236"/>
    </row>
    <row r="2467" spans="2:4" x14ac:dyDescent="0.2">
      <c r="B2467" s="236"/>
      <c r="C2467" s="236"/>
      <c r="D2467" s="236"/>
    </row>
    <row r="2468" spans="2:4" ht="12.75" customHeight="1" x14ac:dyDescent="0.2">
      <c r="B2468" s="236"/>
      <c r="C2468" s="236"/>
      <c r="D2468" s="236"/>
    </row>
    <row r="2469" spans="2:4" ht="12.75" customHeight="1" x14ac:dyDescent="0.2">
      <c r="B2469" s="236"/>
      <c r="C2469" s="236"/>
      <c r="D2469" s="236"/>
    </row>
    <row r="2470" spans="2:4" ht="12.75" customHeight="1" x14ac:dyDescent="0.2">
      <c r="B2470" s="236"/>
      <c r="C2470" s="236"/>
      <c r="D2470" s="236"/>
    </row>
    <row r="2471" spans="2:4" x14ac:dyDescent="0.2">
      <c r="B2471" s="236"/>
      <c r="C2471" s="236"/>
      <c r="D2471" s="236"/>
    </row>
    <row r="2472" spans="2:4" x14ac:dyDescent="0.2">
      <c r="B2472" s="236"/>
      <c r="C2472" s="236"/>
      <c r="D2472" s="236"/>
    </row>
    <row r="2473" spans="2:4" ht="12.75" customHeight="1" x14ac:dyDescent="0.2">
      <c r="B2473" s="236"/>
      <c r="C2473" s="236"/>
      <c r="D2473" s="236"/>
    </row>
    <row r="2474" spans="2:4" x14ac:dyDescent="0.2">
      <c r="B2474" s="236"/>
      <c r="C2474" s="236"/>
      <c r="D2474" s="236"/>
    </row>
    <row r="2475" spans="2:4" ht="12.75" customHeight="1" x14ac:dyDescent="0.2">
      <c r="B2475" s="236"/>
      <c r="C2475" s="236"/>
      <c r="D2475" s="236"/>
    </row>
    <row r="2476" spans="2:4" x14ac:dyDescent="0.2">
      <c r="B2476" s="236"/>
      <c r="C2476" s="236"/>
      <c r="D2476" s="236"/>
    </row>
    <row r="2477" spans="2:4" ht="12.75" customHeight="1" x14ac:dyDescent="0.2">
      <c r="B2477" s="236"/>
      <c r="C2477" s="236"/>
      <c r="D2477" s="236"/>
    </row>
    <row r="2478" spans="2:4" ht="12.75" customHeight="1" x14ac:dyDescent="0.2">
      <c r="B2478" s="236"/>
      <c r="C2478" s="236"/>
      <c r="D2478" s="236"/>
    </row>
    <row r="2479" spans="2:4" ht="12.75" customHeight="1" x14ac:dyDescent="0.2">
      <c r="B2479" s="236"/>
      <c r="C2479" s="236"/>
      <c r="D2479" s="236"/>
    </row>
    <row r="2480" spans="2:4" ht="12.75" customHeight="1" x14ac:dyDescent="0.2">
      <c r="B2480" s="236"/>
      <c r="C2480" s="236"/>
      <c r="D2480" s="236"/>
    </row>
    <row r="2481" spans="2:4" ht="12.75" customHeight="1" x14ac:dyDescent="0.2">
      <c r="B2481" s="236"/>
      <c r="C2481" s="236"/>
      <c r="D2481" s="236"/>
    </row>
    <row r="2482" spans="2:4" ht="12.75" customHeight="1" x14ac:dyDescent="0.2">
      <c r="B2482" s="236"/>
      <c r="C2482" s="236"/>
      <c r="D2482" s="236"/>
    </row>
    <row r="2483" spans="2:4" ht="12.75" customHeight="1" x14ac:dyDescent="0.2">
      <c r="B2483" s="236"/>
      <c r="C2483" s="236"/>
      <c r="D2483" s="236"/>
    </row>
    <row r="2484" spans="2:4" ht="12.75" customHeight="1" x14ac:dyDescent="0.2">
      <c r="B2484" s="236"/>
      <c r="C2484" s="236"/>
      <c r="D2484" s="236"/>
    </row>
    <row r="2485" spans="2:4" ht="12.75" customHeight="1" x14ac:dyDescent="0.2">
      <c r="B2485" s="236"/>
      <c r="C2485" s="236"/>
      <c r="D2485" s="236"/>
    </row>
    <row r="2486" spans="2:4" x14ac:dyDescent="0.2">
      <c r="B2486" s="236"/>
      <c r="C2486" s="236"/>
      <c r="D2486" s="236"/>
    </row>
    <row r="2487" spans="2:4" ht="12.75" customHeight="1" x14ac:dyDescent="0.2">
      <c r="B2487" s="236"/>
      <c r="C2487" s="236"/>
      <c r="D2487" s="236"/>
    </row>
    <row r="2488" spans="2:4" ht="12.75" customHeight="1" x14ac:dyDescent="0.2">
      <c r="B2488" s="236"/>
      <c r="C2488" s="236"/>
      <c r="D2488" s="236"/>
    </row>
    <row r="2489" spans="2:4" ht="12.75" customHeight="1" x14ac:dyDescent="0.2">
      <c r="B2489" s="236"/>
      <c r="C2489" s="236"/>
      <c r="D2489" s="236"/>
    </row>
    <row r="2490" spans="2:4" ht="12.75" customHeight="1" x14ac:dyDescent="0.2">
      <c r="B2490" s="236"/>
      <c r="C2490" s="236"/>
      <c r="D2490" s="236"/>
    </row>
    <row r="2491" spans="2:4" ht="12.75" customHeight="1" x14ac:dyDescent="0.2">
      <c r="B2491" s="236"/>
      <c r="C2491" s="236"/>
      <c r="D2491" s="236"/>
    </row>
    <row r="2492" spans="2:4" ht="12.75" customHeight="1" x14ac:dyDescent="0.2">
      <c r="B2492" s="236"/>
      <c r="C2492" s="236"/>
      <c r="D2492" s="236"/>
    </row>
    <row r="2493" spans="2:4" ht="12.75" customHeight="1" x14ac:dyDescent="0.2">
      <c r="B2493" s="236"/>
      <c r="C2493" s="236"/>
      <c r="D2493" s="236"/>
    </row>
    <row r="2494" spans="2:4" ht="12.75" customHeight="1" x14ac:dyDescent="0.2">
      <c r="B2494" s="236"/>
      <c r="C2494" s="236"/>
      <c r="D2494" s="236"/>
    </row>
    <row r="2495" spans="2:4" ht="12.75" customHeight="1" x14ac:dyDescent="0.2">
      <c r="B2495" s="236"/>
      <c r="C2495" s="236"/>
      <c r="D2495" s="236"/>
    </row>
    <row r="2496" spans="2:4" x14ac:dyDescent="0.2">
      <c r="B2496" s="236"/>
      <c r="C2496" s="236"/>
      <c r="D2496" s="236"/>
    </row>
    <row r="2497" spans="2:4" ht="12.75" customHeight="1" x14ac:dyDescent="0.2">
      <c r="B2497" s="236"/>
      <c r="C2497" s="236"/>
      <c r="D2497" s="236"/>
    </row>
    <row r="2498" spans="2:4" ht="12.75" customHeight="1" x14ac:dyDescent="0.2">
      <c r="B2498" s="236"/>
      <c r="C2498" s="236"/>
      <c r="D2498" s="236"/>
    </row>
    <row r="2499" spans="2:4" ht="12.75" customHeight="1" x14ac:dyDescent="0.2">
      <c r="B2499" s="236"/>
      <c r="C2499" s="236"/>
      <c r="D2499" s="236"/>
    </row>
    <row r="2500" spans="2:4" x14ac:dyDescent="0.2">
      <c r="B2500" s="236"/>
      <c r="C2500" s="236"/>
      <c r="D2500" s="236"/>
    </row>
    <row r="2501" spans="2:4" x14ac:dyDescent="0.2">
      <c r="B2501" s="236"/>
      <c r="C2501" s="236"/>
      <c r="D2501" s="236"/>
    </row>
    <row r="2502" spans="2:4" x14ac:dyDescent="0.2">
      <c r="B2502" s="236"/>
      <c r="C2502" s="236"/>
      <c r="D2502" s="236"/>
    </row>
    <row r="2503" spans="2:4" ht="12.75" customHeight="1" x14ac:dyDescent="0.2">
      <c r="B2503" s="236"/>
      <c r="C2503" s="236"/>
      <c r="D2503" s="236"/>
    </row>
    <row r="2504" spans="2:4" ht="12.75" customHeight="1" x14ac:dyDescent="0.2">
      <c r="B2504" s="236"/>
      <c r="C2504" s="236"/>
      <c r="D2504" s="236"/>
    </row>
    <row r="2505" spans="2:4" x14ac:dyDescent="0.2">
      <c r="B2505" s="236"/>
      <c r="C2505" s="236"/>
      <c r="D2505" s="236"/>
    </row>
    <row r="2506" spans="2:4" ht="12.75" customHeight="1" x14ac:dyDescent="0.2">
      <c r="B2506" s="236"/>
      <c r="C2506" s="236"/>
      <c r="D2506" s="236"/>
    </row>
    <row r="2507" spans="2:4" x14ac:dyDescent="0.2">
      <c r="B2507" s="236"/>
      <c r="C2507" s="236"/>
      <c r="D2507" s="236"/>
    </row>
    <row r="2508" spans="2:4" ht="12.75" customHeight="1" x14ac:dyDescent="0.2">
      <c r="B2508" s="236"/>
      <c r="C2508" s="236"/>
      <c r="D2508" s="236"/>
    </row>
    <row r="2509" spans="2:4" ht="12.75" customHeight="1" x14ac:dyDescent="0.2">
      <c r="B2509" s="236"/>
      <c r="C2509" s="236"/>
      <c r="D2509" s="236"/>
    </row>
    <row r="2510" spans="2:4" ht="12.75" customHeight="1" x14ac:dyDescent="0.2">
      <c r="B2510" s="236"/>
      <c r="C2510" s="236"/>
      <c r="D2510" s="236"/>
    </row>
    <row r="2511" spans="2:4" ht="12.75" customHeight="1" x14ac:dyDescent="0.2">
      <c r="B2511" s="236"/>
      <c r="C2511" s="236"/>
      <c r="D2511" s="236"/>
    </row>
    <row r="2512" spans="2:4" ht="12.75" customHeight="1" x14ac:dyDescent="0.2">
      <c r="B2512" s="236"/>
      <c r="C2512" s="236"/>
      <c r="D2512" s="236"/>
    </row>
    <row r="2513" spans="2:4" ht="12.75" customHeight="1" x14ac:dyDescent="0.2">
      <c r="B2513" s="236"/>
      <c r="C2513" s="236"/>
      <c r="D2513" s="236"/>
    </row>
    <row r="2514" spans="2:4" ht="12.75" customHeight="1" x14ac:dyDescent="0.2">
      <c r="B2514" s="236"/>
      <c r="C2514" s="236"/>
      <c r="D2514" s="236"/>
    </row>
    <row r="2515" spans="2:4" ht="12.75" customHeight="1" x14ac:dyDescent="0.2">
      <c r="B2515" s="236"/>
      <c r="C2515" s="236"/>
      <c r="D2515" s="236"/>
    </row>
    <row r="2516" spans="2:4" ht="12.75" customHeight="1" x14ac:dyDescent="0.2">
      <c r="B2516" s="236"/>
      <c r="C2516" s="236"/>
      <c r="D2516" s="236"/>
    </row>
    <row r="2517" spans="2:4" ht="12.75" customHeight="1" x14ac:dyDescent="0.2">
      <c r="B2517" s="236"/>
      <c r="C2517" s="236"/>
      <c r="D2517" s="236"/>
    </row>
    <row r="2518" spans="2:4" ht="12.75" customHeight="1" x14ac:dyDescent="0.2">
      <c r="B2518" s="236"/>
      <c r="C2518" s="236"/>
      <c r="D2518" s="236"/>
    </row>
    <row r="2519" spans="2:4" ht="12.75" customHeight="1" x14ac:dyDescent="0.2">
      <c r="B2519" s="236"/>
      <c r="C2519" s="236"/>
      <c r="D2519" s="236"/>
    </row>
    <row r="2520" spans="2:4" x14ac:dyDescent="0.2">
      <c r="B2520" s="236"/>
      <c r="C2520" s="236"/>
      <c r="D2520" s="236"/>
    </row>
    <row r="2521" spans="2:4" ht="12.75" customHeight="1" x14ac:dyDescent="0.2">
      <c r="B2521" s="236"/>
      <c r="C2521" s="236"/>
      <c r="D2521" s="236"/>
    </row>
    <row r="2522" spans="2:4" ht="12.75" customHeight="1" x14ac:dyDescent="0.2">
      <c r="B2522" s="236"/>
      <c r="C2522" s="236"/>
      <c r="D2522" s="236"/>
    </row>
    <row r="2523" spans="2:4" ht="12.75" customHeight="1" x14ac:dyDescent="0.2">
      <c r="B2523" s="236"/>
      <c r="C2523" s="236"/>
      <c r="D2523" s="236"/>
    </row>
    <row r="2524" spans="2:4" ht="12.75" customHeight="1" x14ac:dyDescent="0.2">
      <c r="B2524" s="236"/>
      <c r="C2524" s="236"/>
      <c r="D2524" s="236"/>
    </row>
    <row r="2525" spans="2:4" ht="12.75" customHeight="1" x14ac:dyDescent="0.2">
      <c r="B2525" s="236"/>
      <c r="C2525" s="236"/>
      <c r="D2525" s="236"/>
    </row>
    <row r="2526" spans="2:4" ht="12.75" customHeight="1" x14ac:dyDescent="0.2">
      <c r="B2526" s="236"/>
      <c r="C2526" s="236"/>
      <c r="D2526" s="236"/>
    </row>
    <row r="2527" spans="2:4" ht="12.75" customHeight="1" x14ac:dyDescent="0.2">
      <c r="B2527" s="236"/>
      <c r="C2527" s="236"/>
      <c r="D2527" s="236"/>
    </row>
    <row r="2528" spans="2:4" ht="12.75" customHeight="1" x14ac:dyDescent="0.2">
      <c r="B2528" s="236"/>
      <c r="C2528" s="236"/>
      <c r="D2528" s="236"/>
    </row>
    <row r="2529" spans="2:4" ht="12.75" customHeight="1" x14ac:dyDescent="0.2">
      <c r="B2529" s="236"/>
      <c r="C2529" s="236"/>
      <c r="D2529" s="236"/>
    </row>
    <row r="2530" spans="2:4" ht="12.75" customHeight="1" x14ac:dyDescent="0.2">
      <c r="B2530" s="236"/>
      <c r="C2530" s="236"/>
      <c r="D2530" s="236"/>
    </row>
    <row r="2531" spans="2:4" x14ac:dyDescent="0.2">
      <c r="B2531" s="236"/>
      <c r="C2531" s="236"/>
      <c r="D2531" s="236"/>
    </row>
    <row r="2532" spans="2:4" ht="12.75" customHeight="1" x14ac:dyDescent="0.2">
      <c r="B2532" s="236"/>
      <c r="C2532" s="236"/>
      <c r="D2532" s="236"/>
    </row>
    <row r="2533" spans="2:4" x14ac:dyDescent="0.2">
      <c r="B2533" s="236"/>
      <c r="C2533" s="236"/>
      <c r="D2533" s="236"/>
    </row>
    <row r="2534" spans="2:4" x14ac:dyDescent="0.2">
      <c r="B2534" s="236"/>
      <c r="C2534" s="236"/>
      <c r="D2534" s="236"/>
    </row>
    <row r="2535" spans="2:4" x14ac:dyDescent="0.2">
      <c r="B2535" s="236"/>
      <c r="C2535" s="236"/>
      <c r="D2535" s="236"/>
    </row>
    <row r="2536" spans="2:4" ht="12.75" customHeight="1" x14ac:dyDescent="0.2">
      <c r="B2536" s="236"/>
      <c r="C2536" s="236"/>
      <c r="D2536" s="236"/>
    </row>
    <row r="2537" spans="2:4" ht="12.75" customHeight="1" x14ac:dyDescent="0.2">
      <c r="B2537" s="236"/>
      <c r="C2537" s="236"/>
      <c r="D2537" s="236"/>
    </row>
    <row r="2538" spans="2:4" x14ac:dyDescent="0.2">
      <c r="B2538" s="236"/>
      <c r="C2538" s="236"/>
      <c r="D2538" s="236"/>
    </row>
    <row r="2539" spans="2:4" ht="12.75" customHeight="1" x14ac:dyDescent="0.2">
      <c r="B2539" s="236"/>
      <c r="C2539" s="236"/>
      <c r="D2539" s="236"/>
    </row>
    <row r="2540" spans="2:4" ht="12.75" customHeight="1" x14ac:dyDescent="0.2">
      <c r="B2540" s="236"/>
      <c r="C2540" s="236"/>
      <c r="D2540" s="236"/>
    </row>
    <row r="2541" spans="2:4" ht="12.75" customHeight="1" x14ac:dyDescent="0.2">
      <c r="B2541" s="236"/>
      <c r="C2541" s="236"/>
      <c r="D2541" s="236"/>
    </row>
    <row r="2542" spans="2:4" ht="12.75" customHeight="1" x14ac:dyDescent="0.2">
      <c r="B2542" s="236"/>
      <c r="C2542" s="236"/>
      <c r="D2542" s="236"/>
    </row>
    <row r="2543" spans="2:4" ht="12.75" customHeight="1" x14ac:dyDescent="0.2">
      <c r="B2543" s="236"/>
      <c r="C2543" s="236"/>
      <c r="D2543" s="236"/>
    </row>
    <row r="2544" spans="2:4" ht="12.75" customHeight="1" x14ac:dyDescent="0.2">
      <c r="B2544" s="236"/>
      <c r="C2544" s="236"/>
      <c r="D2544" s="236"/>
    </row>
    <row r="2545" spans="2:4" x14ac:dyDescent="0.2">
      <c r="B2545" s="236"/>
      <c r="C2545" s="236"/>
      <c r="D2545" s="236"/>
    </row>
    <row r="2546" spans="2:4" ht="12.75" customHeight="1" x14ac:dyDescent="0.2">
      <c r="B2546" s="236"/>
      <c r="C2546" s="236"/>
      <c r="D2546" s="236"/>
    </row>
    <row r="2547" spans="2:4" ht="12.75" customHeight="1" x14ac:dyDescent="0.2">
      <c r="B2547" s="236"/>
      <c r="C2547" s="236"/>
      <c r="D2547" s="236"/>
    </row>
    <row r="2548" spans="2:4" x14ac:dyDescent="0.2">
      <c r="B2548" s="236"/>
      <c r="C2548" s="236"/>
      <c r="D2548" s="236"/>
    </row>
    <row r="2549" spans="2:4" ht="12.75" customHeight="1" x14ac:dyDescent="0.2">
      <c r="B2549" s="236"/>
      <c r="C2549" s="236"/>
      <c r="D2549" s="236"/>
    </row>
    <row r="2550" spans="2:4" x14ac:dyDescent="0.2">
      <c r="B2550" s="236"/>
      <c r="C2550" s="236"/>
      <c r="D2550" s="236"/>
    </row>
    <row r="2551" spans="2:4" ht="12.75" customHeight="1" x14ac:dyDescent="0.2">
      <c r="B2551" s="236"/>
      <c r="C2551" s="236"/>
      <c r="D2551" s="236"/>
    </row>
    <row r="2552" spans="2:4" ht="12.75" customHeight="1" x14ac:dyDescent="0.2">
      <c r="B2552" s="236"/>
      <c r="C2552" s="236"/>
      <c r="D2552" s="236"/>
    </row>
    <row r="2553" spans="2:4" ht="12.75" customHeight="1" x14ac:dyDescent="0.2">
      <c r="B2553" s="236"/>
      <c r="C2553" s="236"/>
      <c r="D2553" s="236"/>
    </row>
    <row r="2554" spans="2:4" ht="12.75" customHeight="1" x14ac:dyDescent="0.2">
      <c r="B2554" s="236"/>
      <c r="C2554" s="236"/>
      <c r="D2554" s="236"/>
    </row>
    <row r="2555" spans="2:4" ht="12.75" customHeight="1" x14ac:dyDescent="0.2">
      <c r="B2555" s="236"/>
      <c r="C2555" s="236"/>
      <c r="D2555" s="236"/>
    </row>
    <row r="2556" spans="2:4" ht="12.75" customHeight="1" x14ac:dyDescent="0.2">
      <c r="B2556" s="236"/>
      <c r="C2556" s="236"/>
      <c r="D2556" s="236"/>
    </row>
    <row r="2557" spans="2:4" ht="12.75" customHeight="1" x14ac:dyDescent="0.2">
      <c r="B2557" s="236"/>
      <c r="C2557" s="236"/>
      <c r="D2557" s="236"/>
    </row>
    <row r="2558" spans="2:4" ht="12.75" customHeight="1" x14ac:dyDescent="0.2">
      <c r="B2558" s="236"/>
      <c r="C2558" s="236"/>
      <c r="D2558" s="236"/>
    </row>
    <row r="2559" spans="2:4" ht="12.75" customHeight="1" x14ac:dyDescent="0.2">
      <c r="B2559" s="236"/>
      <c r="C2559" s="236"/>
      <c r="D2559" s="236"/>
    </row>
    <row r="2560" spans="2:4" ht="12.75" customHeight="1" x14ac:dyDescent="0.2">
      <c r="B2560" s="236"/>
      <c r="C2560" s="236"/>
      <c r="D2560" s="236"/>
    </row>
    <row r="2561" spans="2:4" ht="12.75" customHeight="1" x14ac:dyDescent="0.2">
      <c r="B2561" s="236"/>
      <c r="C2561" s="236"/>
      <c r="D2561" s="236"/>
    </row>
    <row r="2562" spans="2:4" ht="12.75" customHeight="1" x14ac:dyDescent="0.2">
      <c r="B2562" s="236"/>
      <c r="C2562" s="236"/>
      <c r="D2562" s="236"/>
    </row>
    <row r="2563" spans="2:4" ht="12.75" customHeight="1" x14ac:dyDescent="0.2">
      <c r="B2563" s="236"/>
      <c r="C2563" s="236"/>
      <c r="D2563" s="236"/>
    </row>
    <row r="2564" spans="2:4" ht="12.75" customHeight="1" x14ac:dyDescent="0.2">
      <c r="B2564" s="236"/>
      <c r="C2564" s="236"/>
      <c r="D2564" s="236"/>
    </row>
    <row r="2565" spans="2:4" ht="12.75" customHeight="1" x14ac:dyDescent="0.2">
      <c r="B2565" s="236"/>
      <c r="C2565" s="236"/>
      <c r="D2565" s="236"/>
    </row>
    <row r="2566" spans="2:4" ht="12.75" customHeight="1" x14ac:dyDescent="0.2">
      <c r="B2566" s="236"/>
      <c r="C2566" s="236"/>
      <c r="D2566" s="236"/>
    </row>
    <row r="2567" spans="2:4" ht="12.75" customHeight="1" x14ac:dyDescent="0.2">
      <c r="B2567" s="236"/>
      <c r="C2567" s="236"/>
      <c r="D2567" s="236"/>
    </row>
    <row r="2568" spans="2:4" ht="12.75" customHeight="1" x14ac:dyDescent="0.2">
      <c r="B2568" s="236"/>
      <c r="C2568" s="236"/>
      <c r="D2568" s="236"/>
    </row>
    <row r="2569" spans="2:4" ht="12.75" customHeight="1" x14ac:dyDescent="0.2">
      <c r="B2569" s="236"/>
      <c r="C2569" s="236"/>
      <c r="D2569" s="236"/>
    </row>
    <row r="2570" spans="2:4" ht="12.75" customHeight="1" x14ac:dyDescent="0.2">
      <c r="B2570" s="236"/>
      <c r="C2570" s="236"/>
      <c r="D2570" s="236"/>
    </row>
    <row r="2571" spans="2:4" ht="12.75" customHeight="1" x14ac:dyDescent="0.2">
      <c r="B2571" s="236"/>
      <c r="C2571" s="236"/>
      <c r="D2571" s="236"/>
    </row>
    <row r="2572" spans="2:4" ht="12.75" customHeight="1" x14ac:dyDescent="0.2">
      <c r="B2572" s="236"/>
      <c r="C2572" s="236"/>
      <c r="D2572" s="236"/>
    </row>
    <row r="2573" spans="2:4" ht="12.75" customHeight="1" x14ac:dyDescent="0.2">
      <c r="B2573" s="236"/>
      <c r="C2573" s="236"/>
      <c r="D2573" s="236"/>
    </row>
    <row r="2574" spans="2:4" x14ac:dyDescent="0.2">
      <c r="B2574" s="236"/>
      <c r="C2574" s="236"/>
      <c r="D2574" s="236"/>
    </row>
    <row r="2575" spans="2:4" ht="12.75" customHeight="1" x14ac:dyDescent="0.2">
      <c r="B2575" s="236"/>
      <c r="C2575" s="236"/>
      <c r="D2575" s="236"/>
    </row>
    <row r="2576" spans="2:4" ht="12.75" customHeight="1" x14ac:dyDescent="0.2">
      <c r="B2576" s="236"/>
      <c r="C2576" s="236"/>
      <c r="D2576" s="236"/>
    </row>
    <row r="2577" spans="2:4" ht="12.75" customHeight="1" x14ac:dyDescent="0.2">
      <c r="B2577" s="236"/>
      <c r="C2577" s="236"/>
      <c r="D2577" s="236"/>
    </row>
    <row r="2578" spans="2:4" ht="12.75" customHeight="1" x14ac:dyDescent="0.2">
      <c r="B2578" s="236"/>
      <c r="C2578" s="236"/>
      <c r="D2578" s="236"/>
    </row>
    <row r="2579" spans="2:4" ht="12.75" customHeight="1" x14ac:dyDescent="0.2">
      <c r="B2579" s="236"/>
      <c r="C2579" s="236"/>
      <c r="D2579" s="236"/>
    </row>
    <row r="2580" spans="2:4" ht="12.75" customHeight="1" x14ac:dyDescent="0.2">
      <c r="B2580" s="236"/>
      <c r="C2580" s="236"/>
      <c r="D2580" s="236"/>
    </row>
    <row r="2581" spans="2:4" ht="12.75" customHeight="1" x14ac:dyDescent="0.2">
      <c r="B2581" s="236"/>
      <c r="C2581" s="236"/>
      <c r="D2581" s="236"/>
    </row>
    <row r="2582" spans="2:4" ht="12.75" customHeight="1" x14ac:dyDescent="0.2">
      <c r="B2582" s="236"/>
      <c r="C2582" s="236"/>
      <c r="D2582" s="236"/>
    </row>
    <row r="2583" spans="2:4" ht="12.75" customHeight="1" x14ac:dyDescent="0.2">
      <c r="B2583" s="236"/>
      <c r="C2583" s="236"/>
      <c r="D2583" s="236"/>
    </row>
    <row r="2584" spans="2:4" ht="12.75" customHeight="1" x14ac:dyDescent="0.2">
      <c r="B2584" s="236"/>
      <c r="C2584" s="236"/>
      <c r="D2584" s="236"/>
    </row>
    <row r="2585" spans="2:4" ht="12.75" customHeight="1" x14ac:dyDescent="0.2">
      <c r="B2585" s="236"/>
      <c r="C2585" s="236"/>
      <c r="D2585" s="236"/>
    </row>
    <row r="2586" spans="2:4" ht="12.75" customHeight="1" x14ac:dyDescent="0.2">
      <c r="B2586" s="236"/>
      <c r="C2586" s="236"/>
      <c r="D2586" s="236"/>
    </row>
    <row r="2587" spans="2:4" ht="12.75" customHeight="1" x14ac:dyDescent="0.2">
      <c r="B2587" s="236"/>
      <c r="C2587" s="236"/>
      <c r="D2587" s="236"/>
    </row>
    <row r="2588" spans="2:4" ht="12.75" customHeight="1" x14ac:dyDescent="0.2">
      <c r="B2588" s="236"/>
      <c r="C2588" s="236"/>
      <c r="D2588" s="236"/>
    </row>
    <row r="2589" spans="2:4" ht="12.75" customHeight="1" x14ac:dyDescent="0.2">
      <c r="B2589" s="236"/>
      <c r="C2589" s="236"/>
      <c r="D2589" s="236"/>
    </row>
    <row r="2590" spans="2:4" ht="12.75" customHeight="1" x14ac:dyDescent="0.2">
      <c r="B2590" s="236"/>
      <c r="C2590" s="236"/>
      <c r="D2590" s="236"/>
    </row>
    <row r="2591" spans="2:4" ht="12.75" customHeight="1" x14ac:dyDescent="0.2">
      <c r="B2591" s="236"/>
      <c r="C2591" s="236"/>
      <c r="D2591" s="236"/>
    </row>
    <row r="2592" spans="2:4" ht="12.75" customHeight="1" x14ac:dyDescent="0.2">
      <c r="B2592" s="236"/>
      <c r="C2592" s="236"/>
      <c r="D2592" s="236"/>
    </row>
    <row r="2593" spans="2:4" ht="12.75" customHeight="1" x14ac:dyDescent="0.2">
      <c r="B2593" s="236"/>
      <c r="C2593" s="236"/>
      <c r="D2593" s="236"/>
    </row>
    <row r="2594" spans="2:4" ht="12.75" customHeight="1" x14ac:dyDescent="0.2">
      <c r="B2594" s="236"/>
      <c r="C2594" s="236"/>
      <c r="D2594" s="236"/>
    </row>
    <row r="2595" spans="2:4" ht="12.75" customHeight="1" x14ac:dyDescent="0.2">
      <c r="B2595" s="236"/>
      <c r="C2595" s="236"/>
      <c r="D2595" s="236"/>
    </row>
    <row r="2596" spans="2:4" ht="12.75" customHeight="1" x14ac:dyDescent="0.2">
      <c r="B2596" s="236"/>
      <c r="C2596" s="236"/>
      <c r="D2596" s="236"/>
    </row>
    <row r="2597" spans="2:4" x14ac:dyDescent="0.2">
      <c r="B2597" s="236"/>
      <c r="C2597" s="236"/>
      <c r="D2597" s="236"/>
    </row>
    <row r="2598" spans="2:4" ht="12.75" customHeight="1" x14ac:dyDescent="0.2">
      <c r="B2598" s="236"/>
      <c r="C2598" s="236"/>
      <c r="D2598" s="236"/>
    </row>
    <row r="2599" spans="2:4" x14ac:dyDescent="0.2">
      <c r="B2599" s="236"/>
      <c r="C2599" s="236"/>
      <c r="D2599" s="236"/>
    </row>
    <row r="2600" spans="2:4" ht="12.75" customHeight="1" x14ac:dyDescent="0.2">
      <c r="B2600" s="236"/>
      <c r="C2600" s="236"/>
      <c r="D2600" s="236"/>
    </row>
    <row r="2601" spans="2:4" ht="12.75" customHeight="1" x14ac:dyDescent="0.2">
      <c r="B2601" s="236"/>
      <c r="C2601" s="236"/>
      <c r="D2601" s="236"/>
    </row>
    <row r="2602" spans="2:4" ht="12.75" customHeight="1" x14ac:dyDescent="0.2">
      <c r="B2602" s="236"/>
      <c r="C2602" s="236"/>
      <c r="D2602" s="236"/>
    </row>
    <row r="2603" spans="2:4" ht="12.75" customHeight="1" x14ac:dyDescent="0.2">
      <c r="B2603" s="236"/>
      <c r="C2603" s="236"/>
      <c r="D2603" s="236"/>
    </row>
    <row r="2604" spans="2:4" ht="12.75" customHeight="1" x14ac:dyDescent="0.2">
      <c r="B2604" s="236"/>
      <c r="C2604" s="236"/>
      <c r="D2604" s="236"/>
    </row>
    <row r="2605" spans="2:4" ht="12.75" customHeight="1" x14ac:dyDescent="0.2">
      <c r="B2605" s="236"/>
      <c r="C2605" s="236"/>
      <c r="D2605" s="236"/>
    </row>
    <row r="2606" spans="2:4" x14ac:dyDescent="0.2">
      <c r="B2606" s="236"/>
      <c r="C2606" s="236"/>
      <c r="D2606" s="236"/>
    </row>
    <row r="2607" spans="2:4" ht="12.75" customHeight="1" x14ac:dyDescent="0.2">
      <c r="B2607" s="236"/>
      <c r="C2607" s="236"/>
      <c r="D2607" s="236"/>
    </row>
    <row r="2608" spans="2:4" x14ac:dyDescent="0.2">
      <c r="B2608" s="236"/>
      <c r="C2608" s="236"/>
      <c r="D2608" s="236"/>
    </row>
    <row r="2609" spans="2:4" x14ac:dyDescent="0.2">
      <c r="B2609" s="236"/>
      <c r="C2609" s="236"/>
      <c r="D2609" s="236"/>
    </row>
    <row r="2610" spans="2:4" x14ac:dyDescent="0.2">
      <c r="B2610" s="236"/>
      <c r="C2610" s="236"/>
      <c r="D2610" s="236"/>
    </row>
    <row r="2611" spans="2:4" ht="12.75" customHeight="1" x14ac:dyDescent="0.2">
      <c r="B2611" s="236"/>
      <c r="C2611" s="236"/>
      <c r="D2611" s="236"/>
    </row>
    <row r="2612" spans="2:4" x14ac:dyDescent="0.2">
      <c r="B2612" s="236"/>
      <c r="C2612" s="236"/>
      <c r="D2612" s="236"/>
    </row>
    <row r="2613" spans="2:4" x14ac:dyDescent="0.2">
      <c r="B2613" s="236"/>
      <c r="C2613" s="236"/>
      <c r="D2613" s="236"/>
    </row>
    <row r="2614" spans="2:4" ht="12.75" customHeight="1" x14ac:dyDescent="0.2">
      <c r="B2614" s="236"/>
      <c r="C2614" s="236"/>
      <c r="D2614" s="236"/>
    </row>
    <row r="2615" spans="2:4" ht="12.75" customHeight="1" x14ac:dyDescent="0.2">
      <c r="B2615" s="236"/>
      <c r="C2615" s="236"/>
      <c r="D2615" s="236"/>
    </row>
    <row r="2616" spans="2:4" ht="12.75" customHeight="1" x14ac:dyDescent="0.2">
      <c r="B2616" s="236"/>
      <c r="C2616" s="236"/>
      <c r="D2616" s="236"/>
    </row>
    <row r="2617" spans="2:4" ht="12.75" customHeight="1" x14ac:dyDescent="0.2">
      <c r="B2617" s="236"/>
      <c r="C2617" s="236"/>
      <c r="D2617" s="236"/>
    </row>
    <row r="2618" spans="2:4" ht="12.75" customHeight="1" x14ac:dyDescent="0.2">
      <c r="B2618" s="236"/>
      <c r="C2618" s="236"/>
      <c r="D2618" s="236"/>
    </row>
    <row r="2619" spans="2:4" ht="12.75" customHeight="1" x14ac:dyDescent="0.2">
      <c r="B2619" s="236"/>
      <c r="C2619" s="236"/>
      <c r="D2619" s="236"/>
    </row>
    <row r="2620" spans="2:4" ht="12.75" customHeight="1" x14ac:dyDescent="0.2">
      <c r="B2620" s="236"/>
      <c r="C2620" s="236"/>
      <c r="D2620" s="236"/>
    </row>
    <row r="2621" spans="2:4" ht="12.75" customHeight="1" x14ac:dyDescent="0.2">
      <c r="B2621" s="236"/>
      <c r="C2621" s="236"/>
      <c r="D2621" s="236"/>
    </row>
    <row r="2622" spans="2:4" ht="12.75" customHeight="1" x14ac:dyDescent="0.2">
      <c r="B2622" s="236"/>
      <c r="C2622" s="236"/>
      <c r="D2622" s="236"/>
    </row>
    <row r="2623" spans="2:4" ht="12.75" customHeight="1" x14ac:dyDescent="0.2">
      <c r="B2623" s="236"/>
      <c r="C2623" s="236"/>
      <c r="D2623" s="236"/>
    </row>
    <row r="2624" spans="2:4" ht="12.75" customHeight="1" x14ac:dyDescent="0.2">
      <c r="B2624" s="236"/>
      <c r="C2624" s="236"/>
      <c r="D2624" s="236"/>
    </row>
    <row r="2625" spans="2:4" ht="12.75" customHeight="1" x14ac:dyDescent="0.2">
      <c r="B2625" s="236"/>
      <c r="C2625" s="236"/>
      <c r="D2625" s="236"/>
    </row>
    <row r="2626" spans="2:4" ht="12.75" customHeight="1" x14ac:dyDescent="0.2">
      <c r="B2626" s="236"/>
      <c r="C2626" s="236"/>
      <c r="D2626" s="236"/>
    </row>
    <row r="2627" spans="2:4" ht="12.75" customHeight="1" x14ac:dyDescent="0.2">
      <c r="B2627" s="236"/>
      <c r="C2627" s="236"/>
      <c r="D2627" s="236"/>
    </row>
    <row r="2628" spans="2:4" ht="12.75" customHeight="1" x14ac:dyDescent="0.2">
      <c r="B2628" s="236"/>
      <c r="C2628" s="236"/>
      <c r="D2628" s="236"/>
    </row>
    <row r="2629" spans="2:4" ht="12.75" customHeight="1" x14ac:dyDescent="0.2">
      <c r="B2629" s="236"/>
      <c r="C2629" s="236"/>
      <c r="D2629" s="236"/>
    </row>
    <row r="2630" spans="2:4" ht="12.75" customHeight="1" x14ac:dyDescent="0.2">
      <c r="B2630" s="236"/>
      <c r="C2630" s="236"/>
      <c r="D2630" s="236"/>
    </row>
    <row r="2631" spans="2:4" ht="12.75" customHeight="1" x14ac:dyDescent="0.2">
      <c r="B2631" s="236"/>
      <c r="C2631" s="236"/>
      <c r="D2631" s="236"/>
    </row>
    <row r="2632" spans="2:4" ht="12.75" customHeight="1" x14ac:dyDescent="0.2">
      <c r="B2632" s="236"/>
      <c r="C2632" s="236"/>
      <c r="D2632" s="236"/>
    </row>
    <row r="2633" spans="2:4" x14ac:dyDescent="0.2">
      <c r="B2633" s="236"/>
      <c r="C2633" s="236"/>
      <c r="D2633" s="236"/>
    </row>
    <row r="2634" spans="2:4" ht="12.75" customHeight="1" x14ac:dyDescent="0.2">
      <c r="B2634" s="236"/>
      <c r="C2634" s="236"/>
      <c r="D2634" s="236"/>
    </row>
    <row r="2635" spans="2:4" x14ac:dyDescent="0.2">
      <c r="B2635" s="236"/>
      <c r="C2635" s="236"/>
      <c r="D2635" s="236"/>
    </row>
    <row r="2636" spans="2:4" ht="12.75" customHeight="1" x14ac:dyDescent="0.2">
      <c r="B2636" s="236"/>
      <c r="C2636" s="236"/>
      <c r="D2636" s="236"/>
    </row>
    <row r="2637" spans="2:4" ht="12.75" customHeight="1" x14ac:dyDescent="0.2">
      <c r="B2637" s="236"/>
      <c r="C2637" s="236"/>
      <c r="D2637" s="236"/>
    </row>
    <row r="2638" spans="2:4" x14ac:dyDescent="0.2">
      <c r="B2638" s="236"/>
      <c r="C2638" s="236"/>
      <c r="D2638" s="236"/>
    </row>
    <row r="2639" spans="2:4" ht="12.75" customHeight="1" x14ac:dyDescent="0.2">
      <c r="B2639" s="236"/>
      <c r="C2639" s="236"/>
      <c r="D2639" s="236"/>
    </row>
    <row r="2640" spans="2:4" x14ac:dyDescent="0.2">
      <c r="B2640" s="236"/>
      <c r="C2640" s="236"/>
      <c r="D2640" s="236"/>
    </row>
    <row r="2641" spans="2:4" ht="12.75" customHeight="1" x14ac:dyDescent="0.2">
      <c r="B2641" s="236"/>
      <c r="C2641" s="236"/>
      <c r="D2641" s="236"/>
    </row>
    <row r="2642" spans="2:4" x14ac:dyDescent="0.2">
      <c r="B2642" s="236"/>
      <c r="C2642" s="236"/>
      <c r="D2642" s="236"/>
    </row>
    <row r="2643" spans="2:4" ht="12.75" customHeight="1" x14ac:dyDescent="0.2">
      <c r="B2643" s="236"/>
      <c r="C2643" s="236"/>
      <c r="D2643" s="236"/>
    </row>
    <row r="2644" spans="2:4" ht="12.75" customHeight="1" x14ac:dyDescent="0.2">
      <c r="B2644" s="236"/>
      <c r="C2644" s="236"/>
      <c r="D2644" s="236"/>
    </row>
    <row r="2645" spans="2:4" x14ac:dyDescent="0.2">
      <c r="B2645" s="236"/>
      <c r="C2645" s="236"/>
      <c r="D2645" s="236"/>
    </row>
    <row r="2646" spans="2:4" ht="12.75" customHeight="1" x14ac:dyDescent="0.2">
      <c r="B2646" s="236"/>
      <c r="C2646" s="236"/>
      <c r="D2646" s="236"/>
    </row>
    <row r="2647" spans="2:4" x14ac:dyDescent="0.2">
      <c r="B2647" s="236"/>
      <c r="C2647" s="236"/>
      <c r="D2647" s="236"/>
    </row>
    <row r="2648" spans="2:4" ht="12.75" customHeight="1" x14ac:dyDescent="0.2">
      <c r="B2648" s="236"/>
      <c r="C2648" s="236"/>
      <c r="D2648" s="236"/>
    </row>
    <row r="2649" spans="2:4" x14ac:dyDescent="0.2">
      <c r="B2649" s="236"/>
      <c r="C2649" s="236"/>
      <c r="D2649" s="236"/>
    </row>
    <row r="2650" spans="2:4" ht="12.75" customHeight="1" x14ac:dyDescent="0.2">
      <c r="B2650" s="236"/>
      <c r="C2650" s="236"/>
      <c r="D2650" s="236"/>
    </row>
    <row r="2651" spans="2:4" ht="12.75" customHeight="1" x14ac:dyDescent="0.2">
      <c r="B2651" s="236"/>
      <c r="C2651" s="236"/>
      <c r="D2651" s="236"/>
    </row>
    <row r="2652" spans="2:4" ht="12.75" customHeight="1" x14ac:dyDescent="0.2">
      <c r="B2652" s="236"/>
      <c r="C2652" s="236"/>
      <c r="D2652" s="236"/>
    </row>
    <row r="2653" spans="2:4" x14ac:dyDescent="0.2">
      <c r="B2653" s="236"/>
      <c r="C2653" s="236"/>
      <c r="D2653" s="236"/>
    </row>
    <row r="2654" spans="2:4" ht="12.75" customHeight="1" x14ac:dyDescent="0.2">
      <c r="B2654" s="236"/>
      <c r="C2654" s="236"/>
      <c r="D2654" s="236"/>
    </row>
    <row r="2655" spans="2:4" ht="12.75" customHeight="1" x14ac:dyDescent="0.2">
      <c r="B2655" s="236"/>
      <c r="C2655" s="236"/>
      <c r="D2655" s="236"/>
    </row>
    <row r="2656" spans="2:4" x14ac:dyDescent="0.2">
      <c r="B2656" s="236"/>
      <c r="C2656" s="236"/>
      <c r="D2656" s="236"/>
    </row>
    <row r="2657" spans="2:4" x14ac:dyDescent="0.2">
      <c r="B2657" s="236"/>
      <c r="C2657" s="236"/>
      <c r="D2657" s="236"/>
    </row>
    <row r="2658" spans="2:4" x14ac:dyDescent="0.2">
      <c r="B2658" s="236"/>
      <c r="C2658" s="236"/>
      <c r="D2658" s="236"/>
    </row>
    <row r="2659" spans="2:4" ht="12.75" customHeight="1" x14ac:dyDescent="0.2">
      <c r="B2659" s="236"/>
      <c r="C2659" s="236"/>
      <c r="D2659" s="236"/>
    </row>
    <row r="2660" spans="2:4" x14ac:dyDescent="0.2">
      <c r="B2660" s="236"/>
      <c r="C2660" s="236"/>
      <c r="D2660" s="236"/>
    </row>
    <row r="2661" spans="2:4" x14ac:dyDescent="0.2">
      <c r="B2661" s="236"/>
      <c r="C2661" s="236"/>
      <c r="D2661" s="236"/>
    </row>
    <row r="2662" spans="2:4" ht="12.75" customHeight="1" x14ac:dyDescent="0.2">
      <c r="B2662" s="236"/>
      <c r="C2662" s="236"/>
      <c r="D2662" s="236"/>
    </row>
    <row r="2663" spans="2:4" ht="12.75" customHeight="1" x14ac:dyDescent="0.2">
      <c r="B2663" s="236"/>
      <c r="C2663" s="236"/>
      <c r="D2663" s="236"/>
    </row>
    <row r="2664" spans="2:4" ht="12.75" customHeight="1" x14ac:dyDescent="0.2">
      <c r="B2664" s="236"/>
      <c r="C2664" s="236"/>
      <c r="D2664" s="236"/>
    </row>
    <row r="2665" spans="2:4" ht="12.75" customHeight="1" x14ac:dyDescent="0.2">
      <c r="B2665" s="236"/>
      <c r="C2665" s="236"/>
      <c r="D2665" s="236"/>
    </row>
    <row r="2666" spans="2:4" ht="12.75" customHeight="1" x14ac:dyDescent="0.2">
      <c r="B2666" s="236"/>
      <c r="C2666" s="236"/>
      <c r="D2666" s="236"/>
    </row>
    <row r="2667" spans="2:4" ht="12.75" customHeight="1" x14ac:dyDescent="0.2">
      <c r="B2667" s="236"/>
      <c r="C2667" s="236"/>
      <c r="D2667" s="236"/>
    </row>
    <row r="2668" spans="2:4" ht="12.75" customHeight="1" x14ac:dyDescent="0.2">
      <c r="B2668" s="236"/>
      <c r="C2668" s="236"/>
      <c r="D2668" s="236"/>
    </row>
    <row r="2669" spans="2:4" ht="12.75" customHeight="1" x14ac:dyDescent="0.2">
      <c r="B2669" s="236"/>
      <c r="C2669" s="236"/>
      <c r="D2669" s="236"/>
    </row>
    <row r="2670" spans="2:4" ht="12.75" customHeight="1" x14ac:dyDescent="0.2">
      <c r="B2670" s="236"/>
      <c r="C2670" s="236"/>
      <c r="D2670" s="236"/>
    </row>
    <row r="2671" spans="2:4" ht="12.75" customHeight="1" x14ac:dyDescent="0.2">
      <c r="B2671" s="236"/>
      <c r="C2671" s="236"/>
      <c r="D2671" s="236"/>
    </row>
    <row r="2672" spans="2:4" ht="12.75" customHeight="1" x14ac:dyDescent="0.2">
      <c r="B2672" s="236"/>
      <c r="C2672" s="236"/>
      <c r="D2672" s="236"/>
    </row>
    <row r="2673" spans="2:4" ht="12.75" customHeight="1" x14ac:dyDescent="0.2">
      <c r="B2673" s="236"/>
      <c r="C2673" s="236"/>
      <c r="D2673" s="236"/>
    </row>
    <row r="2674" spans="2:4" ht="12.75" customHeight="1" x14ac:dyDescent="0.2">
      <c r="B2674" s="236"/>
      <c r="C2674" s="236"/>
      <c r="D2674" s="236"/>
    </row>
    <row r="2675" spans="2:4" ht="12.75" customHeight="1" x14ac:dyDescent="0.2">
      <c r="B2675" s="236"/>
      <c r="C2675" s="236"/>
      <c r="D2675" s="236"/>
    </row>
    <row r="2676" spans="2:4" ht="12.75" customHeight="1" x14ac:dyDescent="0.2">
      <c r="B2676" s="236"/>
      <c r="C2676" s="236"/>
      <c r="D2676" s="236"/>
    </row>
    <row r="2677" spans="2:4" ht="12.75" customHeight="1" x14ac:dyDescent="0.2">
      <c r="B2677" s="236"/>
      <c r="C2677" s="236"/>
      <c r="D2677" s="236"/>
    </row>
    <row r="2678" spans="2:4" ht="12.75" customHeight="1" x14ac:dyDescent="0.2">
      <c r="B2678" s="236"/>
      <c r="C2678" s="236"/>
      <c r="D2678" s="236"/>
    </row>
    <row r="2679" spans="2:4" ht="12.75" customHeight="1" x14ac:dyDescent="0.2">
      <c r="B2679" s="236"/>
      <c r="C2679" s="236"/>
      <c r="D2679" s="236"/>
    </row>
    <row r="2680" spans="2:4" ht="12.75" customHeight="1" x14ac:dyDescent="0.2">
      <c r="B2680" s="236"/>
      <c r="C2680" s="236"/>
      <c r="D2680" s="236"/>
    </row>
    <row r="2681" spans="2:4" x14ac:dyDescent="0.2">
      <c r="B2681" s="236"/>
      <c r="C2681" s="236"/>
      <c r="D2681" s="236"/>
    </row>
    <row r="2682" spans="2:4" ht="12.75" customHeight="1" x14ac:dyDescent="0.2">
      <c r="B2682" s="236"/>
      <c r="C2682" s="236"/>
      <c r="D2682" s="236"/>
    </row>
    <row r="2683" spans="2:4" ht="12.75" customHeight="1" x14ac:dyDescent="0.2">
      <c r="B2683" s="236"/>
      <c r="C2683" s="236"/>
      <c r="D2683" s="236"/>
    </row>
    <row r="2684" spans="2:4" x14ac:dyDescent="0.2">
      <c r="B2684" s="236"/>
      <c r="C2684" s="236"/>
      <c r="D2684" s="236"/>
    </row>
    <row r="2685" spans="2:4" x14ac:dyDescent="0.2">
      <c r="B2685" s="236"/>
      <c r="C2685" s="236"/>
      <c r="D2685" s="236"/>
    </row>
    <row r="2686" spans="2:4" x14ac:dyDescent="0.2">
      <c r="B2686" s="236"/>
      <c r="C2686" s="236"/>
      <c r="D2686" s="236"/>
    </row>
    <row r="2687" spans="2:4" ht="12.75" customHeight="1" x14ac:dyDescent="0.2">
      <c r="B2687" s="236"/>
      <c r="C2687" s="236"/>
      <c r="D2687" s="236"/>
    </row>
    <row r="2688" spans="2:4" ht="12.75" customHeight="1" x14ac:dyDescent="0.2">
      <c r="B2688" s="236"/>
      <c r="C2688" s="236"/>
      <c r="D2688" s="236"/>
    </row>
    <row r="2689" spans="2:4" ht="12.75" customHeight="1" x14ac:dyDescent="0.2">
      <c r="B2689" s="236"/>
      <c r="C2689" s="236"/>
      <c r="D2689" s="236"/>
    </row>
    <row r="2690" spans="2:4" x14ac:dyDescent="0.2">
      <c r="B2690" s="236"/>
      <c r="C2690" s="236"/>
      <c r="D2690" s="236"/>
    </row>
    <row r="2691" spans="2:4" x14ac:dyDescent="0.2">
      <c r="B2691" s="236"/>
      <c r="C2691" s="236"/>
      <c r="D2691" s="236"/>
    </row>
    <row r="2692" spans="2:4" ht="12.75" customHeight="1" x14ac:dyDescent="0.2">
      <c r="B2692" s="236"/>
      <c r="C2692" s="236"/>
      <c r="D2692" s="236"/>
    </row>
    <row r="2693" spans="2:4" ht="12.75" customHeight="1" x14ac:dyDescent="0.2">
      <c r="B2693" s="236"/>
      <c r="C2693" s="236"/>
      <c r="D2693" s="236"/>
    </row>
    <row r="2694" spans="2:4" x14ac:dyDescent="0.2">
      <c r="B2694" s="236"/>
      <c r="C2694" s="236"/>
      <c r="D2694" s="236"/>
    </row>
    <row r="2695" spans="2:4" ht="12.75" customHeight="1" x14ac:dyDescent="0.2">
      <c r="B2695" s="236"/>
      <c r="C2695" s="236"/>
      <c r="D2695" s="236"/>
    </row>
    <row r="2696" spans="2:4" ht="12.75" customHeight="1" x14ac:dyDescent="0.2">
      <c r="B2696" s="236"/>
      <c r="C2696" s="236"/>
      <c r="D2696" s="236"/>
    </row>
    <row r="2697" spans="2:4" x14ac:dyDescent="0.2">
      <c r="B2697" s="236"/>
      <c r="C2697" s="236"/>
      <c r="D2697" s="236"/>
    </row>
    <row r="2698" spans="2:4" x14ac:dyDescent="0.2">
      <c r="B2698" s="236"/>
      <c r="C2698" s="236"/>
      <c r="D2698" s="236"/>
    </row>
    <row r="2699" spans="2:4" ht="12.75" customHeight="1" x14ac:dyDescent="0.2">
      <c r="B2699" s="236"/>
      <c r="C2699" s="236"/>
      <c r="D2699" s="236"/>
    </row>
    <row r="2700" spans="2:4" ht="12.75" customHeight="1" x14ac:dyDescent="0.2">
      <c r="B2700" s="236"/>
      <c r="C2700" s="236"/>
      <c r="D2700" s="236"/>
    </row>
    <row r="2701" spans="2:4" ht="12.75" customHeight="1" x14ac:dyDescent="0.2">
      <c r="B2701" s="236"/>
      <c r="C2701" s="236"/>
      <c r="D2701" s="236"/>
    </row>
    <row r="2702" spans="2:4" x14ac:dyDescent="0.2">
      <c r="B2702" s="236"/>
      <c r="C2702" s="236"/>
      <c r="D2702" s="236"/>
    </row>
    <row r="2703" spans="2:4" ht="12.75" customHeight="1" x14ac:dyDescent="0.2">
      <c r="B2703" s="236"/>
      <c r="C2703" s="236"/>
      <c r="D2703" s="236"/>
    </row>
    <row r="2704" spans="2:4" ht="12.75" customHeight="1" x14ac:dyDescent="0.2">
      <c r="B2704" s="236"/>
      <c r="C2704" s="236"/>
      <c r="D2704" s="236"/>
    </row>
    <row r="2705" spans="2:4" ht="12.75" customHeight="1" x14ac:dyDescent="0.2">
      <c r="B2705" s="236"/>
      <c r="C2705" s="236"/>
      <c r="D2705" s="236"/>
    </row>
    <row r="2706" spans="2:4" ht="12.75" customHeight="1" x14ac:dyDescent="0.2">
      <c r="B2706" s="236"/>
      <c r="C2706" s="236"/>
      <c r="D2706" s="236"/>
    </row>
    <row r="2707" spans="2:4" ht="12.75" customHeight="1" x14ac:dyDescent="0.2">
      <c r="B2707" s="236"/>
      <c r="C2707" s="236"/>
      <c r="D2707" s="236"/>
    </row>
    <row r="2708" spans="2:4" ht="12.75" customHeight="1" x14ac:dyDescent="0.2">
      <c r="B2708" s="236"/>
      <c r="C2708" s="236"/>
      <c r="D2708" s="236"/>
    </row>
    <row r="2709" spans="2:4" ht="12.75" customHeight="1" x14ac:dyDescent="0.2">
      <c r="B2709" s="236"/>
      <c r="C2709" s="236"/>
      <c r="D2709" s="236"/>
    </row>
    <row r="2710" spans="2:4" ht="12.75" customHeight="1" x14ac:dyDescent="0.2">
      <c r="B2710" s="236"/>
      <c r="C2710" s="236"/>
      <c r="D2710" s="236"/>
    </row>
    <row r="2711" spans="2:4" ht="12.75" customHeight="1" x14ac:dyDescent="0.2">
      <c r="B2711" s="236"/>
      <c r="C2711" s="236"/>
      <c r="D2711" s="236"/>
    </row>
    <row r="2712" spans="2:4" ht="12.75" customHeight="1" x14ac:dyDescent="0.2">
      <c r="B2712" s="236"/>
      <c r="C2712" s="236"/>
      <c r="D2712" s="236"/>
    </row>
    <row r="2713" spans="2:4" x14ac:dyDescent="0.2">
      <c r="B2713" s="236"/>
      <c r="C2713" s="236"/>
      <c r="D2713" s="236"/>
    </row>
    <row r="2714" spans="2:4" ht="12.75" customHeight="1" x14ac:dyDescent="0.2">
      <c r="B2714" s="236"/>
      <c r="C2714" s="236"/>
      <c r="D2714" s="236"/>
    </row>
    <row r="2715" spans="2:4" ht="12.75" customHeight="1" x14ac:dyDescent="0.2">
      <c r="B2715" s="236"/>
      <c r="C2715" s="236"/>
      <c r="D2715" s="236"/>
    </row>
    <row r="2716" spans="2:4" ht="12.75" customHeight="1" x14ac:dyDescent="0.2">
      <c r="B2716" s="236"/>
      <c r="C2716" s="236"/>
      <c r="D2716" s="236"/>
    </row>
    <row r="2717" spans="2:4" ht="12.75" customHeight="1" x14ac:dyDescent="0.2">
      <c r="B2717" s="236"/>
      <c r="C2717" s="236"/>
      <c r="D2717" s="236"/>
    </row>
    <row r="2718" spans="2:4" ht="12.75" customHeight="1" x14ac:dyDescent="0.2">
      <c r="B2718" s="236"/>
      <c r="C2718" s="236"/>
      <c r="D2718" s="236"/>
    </row>
    <row r="2719" spans="2:4" ht="12.75" customHeight="1" x14ac:dyDescent="0.2">
      <c r="B2719" s="236"/>
      <c r="C2719" s="236"/>
      <c r="D2719" s="236"/>
    </row>
    <row r="2720" spans="2:4" ht="12.75" customHeight="1" x14ac:dyDescent="0.2">
      <c r="B2720" s="236"/>
      <c r="C2720" s="236"/>
      <c r="D2720" s="236"/>
    </row>
    <row r="2721" spans="2:4" ht="12.75" customHeight="1" x14ac:dyDescent="0.2">
      <c r="B2721" s="236"/>
      <c r="C2721" s="236"/>
      <c r="D2721" s="236"/>
    </row>
    <row r="2722" spans="2:4" x14ac:dyDescent="0.2">
      <c r="B2722" s="236"/>
      <c r="C2722" s="236"/>
      <c r="D2722" s="236"/>
    </row>
    <row r="2723" spans="2:4" ht="12.75" customHeight="1" x14ac:dyDescent="0.2">
      <c r="B2723" s="236"/>
      <c r="C2723" s="236"/>
      <c r="D2723" s="236"/>
    </row>
    <row r="2724" spans="2:4" ht="12.75" customHeight="1" x14ac:dyDescent="0.2">
      <c r="B2724" s="236"/>
      <c r="C2724" s="236"/>
      <c r="D2724" s="236"/>
    </row>
    <row r="2725" spans="2:4" ht="12.75" customHeight="1" x14ac:dyDescent="0.2">
      <c r="B2725" s="236"/>
      <c r="C2725" s="236"/>
      <c r="D2725" s="236"/>
    </row>
    <row r="2726" spans="2:4" ht="12.75" customHeight="1" x14ac:dyDescent="0.2">
      <c r="B2726" s="236"/>
      <c r="C2726" s="236"/>
      <c r="D2726" s="236"/>
    </row>
    <row r="2727" spans="2:4" ht="12.75" customHeight="1" x14ac:dyDescent="0.2">
      <c r="B2727" s="236"/>
      <c r="C2727" s="236"/>
      <c r="D2727" s="236"/>
    </row>
    <row r="2728" spans="2:4" ht="12.75" customHeight="1" x14ac:dyDescent="0.2">
      <c r="B2728" s="236"/>
      <c r="C2728" s="236"/>
      <c r="D2728" s="236"/>
    </row>
    <row r="2729" spans="2:4" ht="12.75" customHeight="1" x14ac:dyDescent="0.2">
      <c r="B2729" s="236"/>
      <c r="C2729" s="236"/>
      <c r="D2729" s="236"/>
    </row>
    <row r="2730" spans="2:4" ht="12.75" customHeight="1" x14ac:dyDescent="0.2">
      <c r="B2730" s="236"/>
      <c r="C2730" s="236"/>
      <c r="D2730" s="236"/>
    </row>
    <row r="2731" spans="2:4" ht="12.75" customHeight="1" x14ac:dyDescent="0.2">
      <c r="B2731" s="236"/>
      <c r="C2731" s="236"/>
      <c r="D2731" s="236"/>
    </row>
    <row r="2732" spans="2:4" ht="12.75" customHeight="1" x14ac:dyDescent="0.2">
      <c r="B2732" s="236"/>
      <c r="C2732" s="236"/>
      <c r="D2732" s="236"/>
    </row>
    <row r="2733" spans="2:4" ht="12.75" customHeight="1" x14ac:dyDescent="0.2">
      <c r="B2733" s="236"/>
      <c r="C2733" s="236"/>
      <c r="D2733" s="236"/>
    </row>
    <row r="2734" spans="2:4" ht="12.75" customHeight="1" x14ac:dyDescent="0.2">
      <c r="B2734" s="236"/>
      <c r="C2734" s="236"/>
      <c r="D2734" s="236"/>
    </row>
    <row r="2735" spans="2:4" ht="12.75" customHeight="1" x14ac:dyDescent="0.2">
      <c r="B2735" s="236"/>
      <c r="C2735" s="236"/>
      <c r="D2735" s="236"/>
    </row>
    <row r="2736" spans="2:4" ht="12.75" customHeight="1" x14ac:dyDescent="0.2">
      <c r="B2736" s="236"/>
      <c r="C2736" s="236"/>
      <c r="D2736" s="236"/>
    </row>
    <row r="2737" spans="2:4" x14ac:dyDescent="0.2">
      <c r="B2737" s="236"/>
      <c r="C2737" s="236"/>
      <c r="D2737" s="236"/>
    </row>
    <row r="2738" spans="2:4" ht="12.75" customHeight="1" x14ac:dyDescent="0.2">
      <c r="B2738" s="236"/>
      <c r="C2738" s="236"/>
      <c r="D2738" s="236"/>
    </row>
    <row r="2739" spans="2:4" ht="12.75" customHeight="1" x14ac:dyDescent="0.2">
      <c r="B2739" s="236"/>
      <c r="C2739" s="236"/>
      <c r="D2739" s="236"/>
    </row>
    <row r="2740" spans="2:4" ht="12.75" customHeight="1" x14ac:dyDescent="0.2">
      <c r="B2740" s="236"/>
      <c r="C2740" s="236"/>
      <c r="D2740" s="236"/>
    </row>
    <row r="2741" spans="2:4" x14ac:dyDescent="0.2">
      <c r="B2741" s="236"/>
      <c r="C2741" s="236"/>
      <c r="D2741" s="236"/>
    </row>
    <row r="2742" spans="2:4" x14ac:dyDescent="0.2">
      <c r="B2742" s="236"/>
      <c r="C2742" s="236"/>
      <c r="D2742" s="236"/>
    </row>
    <row r="2743" spans="2:4" ht="12.75" customHeight="1" x14ac:dyDescent="0.2">
      <c r="B2743" s="236"/>
      <c r="C2743" s="236"/>
      <c r="D2743" s="236"/>
    </row>
    <row r="2744" spans="2:4" ht="12.75" customHeight="1" x14ac:dyDescent="0.2">
      <c r="B2744" s="236"/>
      <c r="C2744" s="236"/>
      <c r="D2744" s="236"/>
    </row>
    <row r="2745" spans="2:4" ht="12.75" customHeight="1" x14ac:dyDescent="0.2">
      <c r="B2745" s="236"/>
      <c r="C2745" s="236"/>
      <c r="D2745" s="236"/>
    </row>
    <row r="2746" spans="2:4" ht="12.75" customHeight="1" x14ac:dyDescent="0.2">
      <c r="B2746" s="236"/>
      <c r="C2746" s="236"/>
      <c r="D2746" s="236"/>
    </row>
    <row r="2747" spans="2:4" ht="12.75" customHeight="1" x14ac:dyDescent="0.2">
      <c r="B2747" s="236"/>
      <c r="C2747" s="236"/>
      <c r="D2747" s="236"/>
    </row>
    <row r="2748" spans="2:4" ht="12.75" customHeight="1" x14ac:dyDescent="0.2">
      <c r="B2748" s="236"/>
      <c r="C2748" s="236"/>
      <c r="D2748" s="236"/>
    </row>
    <row r="2749" spans="2:4" ht="12.75" customHeight="1" x14ac:dyDescent="0.2">
      <c r="B2749" s="236"/>
      <c r="C2749" s="236"/>
      <c r="D2749" s="236"/>
    </row>
    <row r="2750" spans="2:4" ht="12.75" customHeight="1" x14ac:dyDescent="0.2">
      <c r="B2750" s="236"/>
      <c r="C2750" s="236"/>
      <c r="D2750" s="236"/>
    </row>
    <row r="2751" spans="2:4" ht="12.75" customHeight="1" x14ac:dyDescent="0.2">
      <c r="B2751" s="236"/>
      <c r="C2751" s="236"/>
      <c r="D2751" s="236"/>
    </row>
    <row r="2752" spans="2:4" ht="12.75" customHeight="1" x14ac:dyDescent="0.2">
      <c r="B2752" s="236"/>
      <c r="C2752" s="236"/>
      <c r="D2752" s="236"/>
    </row>
    <row r="2753" spans="2:4" ht="12.75" customHeight="1" x14ac:dyDescent="0.2">
      <c r="B2753" s="236"/>
      <c r="C2753" s="236"/>
      <c r="D2753" s="236"/>
    </row>
    <row r="2754" spans="2:4" ht="12.75" customHeight="1" x14ac:dyDescent="0.2">
      <c r="B2754" s="236"/>
      <c r="C2754" s="236"/>
      <c r="D2754" s="236"/>
    </row>
    <row r="2755" spans="2:4" x14ac:dyDescent="0.2">
      <c r="B2755" s="236"/>
      <c r="C2755" s="236"/>
      <c r="D2755" s="236"/>
    </row>
    <row r="2756" spans="2:4" ht="12.75" customHeight="1" x14ac:dyDescent="0.2">
      <c r="B2756" s="236"/>
      <c r="C2756" s="236"/>
      <c r="D2756" s="236"/>
    </row>
    <row r="2757" spans="2:4" ht="12.75" customHeight="1" x14ac:dyDescent="0.2">
      <c r="B2757" s="236"/>
      <c r="C2757" s="236"/>
      <c r="D2757" s="236"/>
    </row>
    <row r="2758" spans="2:4" ht="12.75" customHeight="1" x14ac:dyDescent="0.2">
      <c r="B2758" s="236"/>
      <c r="C2758" s="236"/>
      <c r="D2758" s="236"/>
    </row>
    <row r="2759" spans="2:4" ht="12.75" customHeight="1" x14ac:dyDescent="0.2">
      <c r="B2759" s="236"/>
      <c r="C2759" s="236"/>
      <c r="D2759" s="236"/>
    </row>
    <row r="2760" spans="2:4" x14ac:dyDescent="0.2">
      <c r="B2760" s="236"/>
      <c r="C2760" s="236"/>
      <c r="D2760" s="236"/>
    </row>
    <row r="2761" spans="2:4" ht="12.75" customHeight="1" x14ac:dyDescent="0.2">
      <c r="B2761" s="236"/>
      <c r="C2761" s="236"/>
      <c r="D2761" s="236"/>
    </row>
    <row r="2762" spans="2:4" ht="12.75" customHeight="1" x14ac:dyDescent="0.2">
      <c r="B2762" s="236"/>
      <c r="C2762" s="236"/>
      <c r="D2762" s="236"/>
    </row>
    <row r="2763" spans="2:4" ht="12.75" customHeight="1" x14ac:dyDescent="0.2">
      <c r="B2763" s="236"/>
      <c r="C2763" s="236"/>
      <c r="D2763" s="236"/>
    </row>
    <row r="2764" spans="2:4" x14ac:dyDescent="0.2">
      <c r="B2764" s="236"/>
      <c r="C2764" s="236"/>
      <c r="D2764" s="236"/>
    </row>
    <row r="2765" spans="2:4" x14ac:dyDescent="0.2">
      <c r="B2765" s="236"/>
      <c r="C2765" s="236"/>
      <c r="D2765" s="236"/>
    </row>
    <row r="2766" spans="2:4" x14ac:dyDescent="0.2">
      <c r="B2766" s="236"/>
      <c r="C2766" s="236"/>
      <c r="D2766" s="236"/>
    </row>
    <row r="2767" spans="2:4" ht="12.75" customHeight="1" x14ac:dyDescent="0.2">
      <c r="B2767" s="236"/>
      <c r="C2767" s="236"/>
      <c r="D2767" s="236"/>
    </row>
    <row r="2768" spans="2:4" x14ac:dyDescent="0.2">
      <c r="B2768" s="236"/>
      <c r="C2768" s="236"/>
      <c r="D2768" s="236"/>
    </row>
    <row r="2769" spans="2:4" x14ac:dyDescent="0.2">
      <c r="B2769" s="236"/>
      <c r="C2769" s="236"/>
      <c r="D2769" s="236"/>
    </row>
    <row r="2770" spans="2:4" ht="12.75" customHeight="1" x14ac:dyDescent="0.2">
      <c r="B2770" s="236"/>
      <c r="C2770" s="236"/>
      <c r="D2770" s="236"/>
    </row>
    <row r="2771" spans="2:4" ht="12.75" customHeight="1" x14ac:dyDescent="0.2">
      <c r="B2771" s="236"/>
      <c r="C2771" s="236"/>
      <c r="D2771" s="236"/>
    </row>
    <row r="2772" spans="2:4" ht="12.75" customHeight="1" x14ac:dyDescent="0.2">
      <c r="B2772" s="236"/>
      <c r="C2772" s="236"/>
      <c r="D2772" s="236"/>
    </row>
    <row r="2773" spans="2:4" ht="12.75" customHeight="1" x14ac:dyDescent="0.2">
      <c r="B2773" s="236"/>
      <c r="C2773" s="236"/>
      <c r="D2773" s="236"/>
    </row>
    <row r="2774" spans="2:4" ht="12.75" customHeight="1" x14ac:dyDescent="0.2">
      <c r="B2774" s="236"/>
      <c r="C2774" s="236"/>
      <c r="D2774" s="236"/>
    </row>
    <row r="2775" spans="2:4" ht="12.75" customHeight="1" x14ac:dyDescent="0.2">
      <c r="B2775" s="236"/>
      <c r="C2775" s="236"/>
      <c r="D2775" s="236"/>
    </row>
    <row r="2776" spans="2:4" ht="12.75" customHeight="1" x14ac:dyDescent="0.2">
      <c r="B2776" s="236"/>
      <c r="C2776" s="236"/>
      <c r="D2776" s="236"/>
    </row>
    <row r="2777" spans="2:4" ht="12.75" customHeight="1" x14ac:dyDescent="0.2">
      <c r="B2777" s="236"/>
      <c r="C2777" s="236"/>
      <c r="D2777" s="236"/>
    </row>
    <row r="2778" spans="2:4" ht="12.75" customHeight="1" x14ac:dyDescent="0.2">
      <c r="B2778" s="236"/>
      <c r="C2778" s="236"/>
      <c r="D2778" s="236"/>
    </row>
    <row r="2779" spans="2:4" ht="12.75" customHeight="1" x14ac:dyDescent="0.2">
      <c r="B2779" s="236"/>
      <c r="C2779" s="236"/>
      <c r="D2779" s="236"/>
    </row>
    <row r="2780" spans="2:4" ht="12.75" customHeight="1" x14ac:dyDescent="0.2">
      <c r="B2780" s="236"/>
      <c r="C2780" s="236"/>
      <c r="D2780" s="236"/>
    </row>
    <row r="2781" spans="2:4" ht="12.75" customHeight="1" x14ac:dyDescent="0.2">
      <c r="B2781" s="236"/>
      <c r="C2781" s="236"/>
      <c r="D2781" s="236"/>
    </row>
    <row r="2782" spans="2:4" ht="12.75" customHeight="1" x14ac:dyDescent="0.2">
      <c r="B2782" s="236"/>
      <c r="C2782" s="236"/>
      <c r="D2782" s="236"/>
    </row>
    <row r="2783" spans="2:4" ht="12.75" customHeight="1" x14ac:dyDescent="0.2">
      <c r="B2783" s="236"/>
      <c r="C2783" s="236"/>
      <c r="D2783" s="236"/>
    </row>
    <row r="2784" spans="2:4" ht="12.75" customHeight="1" x14ac:dyDescent="0.2">
      <c r="B2784" s="236"/>
      <c r="C2784" s="236"/>
      <c r="D2784" s="236"/>
    </row>
    <row r="2785" spans="2:4" ht="12.75" customHeight="1" x14ac:dyDescent="0.2">
      <c r="B2785" s="236"/>
      <c r="C2785" s="236"/>
      <c r="D2785" s="236"/>
    </row>
    <row r="2786" spans="2:4" ht="12.75" customHeight="1" x14ac:dyDescent="0.2">
      <c r="B2786" s="236"/>
      <c r="C2786" s="236"/>
      <c r="D2786" s="236"/>
    </row>
    <row r="2787" spans="2:4" ht="12.75" customHeight="1" x14ac:dyDescent="0.2">
      <c r="B2787" s="236"/>
      <c r="C2787" s="236"/>
      <c r="D2787" s="236"/>
    </row>
    <row r="2788" spans="2:4" ht="12.75" customHeight="1" x14ac:dyDescent="0.2">
      <c r="B2788" s="236"/>
      <c r="C2788" s="236"/>
      <c r="D2788" s="236"/>
    </row>
    <row r="2789" spans="2:4" ht="12.75" customHeight="1" x14ac:dyDescent="0.2">
      <c r="B2789" s="236"/>
      <c r="C2789" s="236"/>
      <c r="D2789" s="236"/>
    </row>
    <row r="2790" spans="2:4" ht="12.75" customHeight="1" x14ac:dyDescent="0.2">
      <c r="B2790" s="236"/>
      <c r="C2790" s="236"/>
      <c r="D2790" s="236"/>
    </row>
    <row r="2791" spans="2:4" ht="12.75" customHeight="1" x14ac:dyDescent="0.2">
      <c r="B2791" s="236"/>
      <c r="C2791" s="236"/>
      <c r="D2791" s="236"/>
    </row>
    <row r="2792" spans="2:4" ht="12.75" customHeight="1" x14ac:dyDescent="0.2">
      <c r="B2792" s="236"/>
      <c r="C2792" s="236"/>
      <c r="D2792" s="236"/>
    </row>
    <row r="2793" spans="2:4" ht="12.75" customHeight="1" x14ac:dyDescent="0.2">
      <c r="B2793" s="236"/>
      <c r="C2793" s="236"/>
      <c r="D2793" s="236"/>
    </row>
    <row r="2794" spans="2:4" ht="12.75" customHeight="1" x14ac:dyDescent="0.2">
      <c r="B2794" s="236"/>
      <c r="C2794" s="236"/>
      <c r="D2794" s="236"/>
    </row>
    <row r="2795" spans="2:4" ht="12.75" customHeight="1" x14ac:dyDescent="0.2">
      <c r="B2795" s="236"/>
      <c r="C2795" s="236"/>
      <c r="D2795" s="236"/>
    </row>
    <row r="2796" spans="2:4" x14ac:dyDescent="0.2">
      <c r="B2796" s="236"/>
      <c r="C2796" s="236"/>
      <c r="D2796" s="236"/>
    </row>
    <row r="2797" spans="2:4" ht="12.75" customHeight="1" x14ac:dyDescent="0.2">
      <c r="B2797" s="236"/>
      <c r="C2797" s="236"/>
      <c r="D2797" s="236"/>
    </row>
    <row r="2798" spans="2:4" x14ac:dyDescent="0.2">
      <c r="B2798" s="236"/>
      <c r="C2798" s="236"/>
      <c r="D2798" s="236"/>
    </row>
    <row r="2799" spans="2:4" x14ac:dyDescent="0.2">
      <c r="B2799" s="236"/>
      <c r="C2799" s="236"/>
      <c r="D2799" s="236"/>
    </row>
    <row r="2800" spans="2:4" x14ac:dyDescent="0.2">
      <c r="B2800" s="236"/>
      <c r="C2800" s="236"/>
      <c r="D2800" s="236"/>
    </row>
    <row r="2801" spans="2:4" ht="12.75" customHeight="1" x14ac:dyDescent="0.2">
      <c r="B2801" s="236"/>
      <c r="C2801" s="236"/>
      <c r="D2801" s="236"/>
    </row>
    <row r="2802" spans="2:4" x14ac:dyDescent="0.2">
      <c r="B2802" s="236"/>
      <c r="C2802" s="236"/>
      <c r="D2802" s="236"/>
    </row>
    <row r="2803" spans="2:4" ht="12.75" customHeight="1" x14ac:dyDescent="0.2">
      <c r="B2803" s="236"/>
      <c r="C2803" s="236"/>
      <c r="D2803" s="236"/>
    </row>
    <row r="2804" spans="2:4" ht="12.75" customHeight="1" x14ac:dyDescent="0.2">
      <c r="B2804" s="236"/>
      <c r="C2804" s="236"/>
      <c r="D2804" s="236"/>
    </row>
    <row r="2805" spans="2:4" ht="12.75" customHeight="1" x14ac:dyDescent="0.2">
      <c r="B2805" s="236"/>
      <c r="C2805" s="236"/>
      <c r="D2805" s="236"/>
    </row>
    <row r="2806" spans="2:4" ht="12.75" customHeight="1" x14ac:dyDescent="0.2">
      <c r="B2806" s="236"/>
      <c r="C2806" s="236"/>
      <c r="D2806" s="236"/>
    </row>
    <row r="2807" spans="2:4" ht="12.75" customHeight="1" x14ac:dyDescent="0.2">
      <c r="B2807" s="236"/>
      <c r="C2807" s="236"/>
      <c r="D2807" s="236"/>
    </row>
    <row r="2808" spans="2:4" ht="12.75" customHeight="1" x14ac:dyDescent="0.2">
      <c r="B2808" s="236"/>
      <c r="C2808" s="236"/>
      <c r="D2808" s="236"/>
    </row>
    <row r="2809" spans="2:4" ht="12.75" customHeight="1" x14ac:dyDescent="0.2">
      <c r="B2809" s="236"/>
      <c r="C2809" s="236"/>
      <c r="D2809" s="236"/>
    </row>
    <row r="2810" spans="2:4" ht="12.75" customHeight="1" x14ac:dyDescent="0.2">
      <c r="B2810" s="236"/>
      <c r="C2810" s="236"/>
      <c r="D2810" s="236"/>
    </row>
    <row r="2811" spans="2:4" ht="12.75" customHeight="1" x14ac:dyDescent="0.2">
      <c r="B2811" s="236"/>
      <c r="C2811" s="236"/>
      <c r="D2811" s="236"/>
    </row>
    <row r="2812" spans="2:4" ht="12.75" customHeight="1" x14ac:dyDescent="0.2">
      <c r="B2812" s="236"/>
      <c r="C2812" s="236"/>
      <c r="D2812" s="236"/>
    </row>
    <row r="2813" spans="2:4" ht="12.75" customHeight="1" x14ac:dyDescent="0.2">
      <c r="B2813" s="236"/>
      <c r="C2813" s="236"/>
      <c r="D2813" s="236"/>
    </row>
    <row r="2814" spans="2:4" ht="12.75" customHeight="1" x14ac:dyDescent="0.2">
      <c r="B2814" s="236"/>
      <c r="C2814" s="236"/>
      <c r="D2814" s="236"/>
    </row>
    <row r="2815" spans="2:4" ht="12.75" customHeight="1" x14ac:dyDescent="0.2">
      <c r="B2815" s="236"/>
      <c r="C2815" s="236"/>
      <c r="D2815" s="236"/>
    </row>
    <row r="2816" spans="2:4" ht="12.75" customHeight="1" x14ac:dyDescent="0.2">
      <c r="B2816" s="236"/>
      <c r="C2816" s="236"/>
      <c r="D2816" s="236"/>
    </row>
    <row r="2817" spans="2:4" ht="12.75" customHeight="1" x14ac:dyDescent="0.2">
      <c r="B2817" s="236"/>
      <c r="C2817" s="236"/>
      <c r="D2817" s="236"/>
    </row>
    <row r="2818" spans="2:4" x14ac:dyDescent="0.2">
      <c r="B2818" s="236"/>
      <c r="C2818" s="236"/>
      <c r="D2818" s="236"/>
    </row>
    <row r="2819" spans="2:4" ht="12.75" customHeight="1" x14ac:dyDescent="0.2">
      <c r="B2819" s="236"/>
      <c r="C2819" s="236"/>
      <c r="D2819" s="236"/>
    </row>
    <row r="2820" spans="2:4" x14ac:dyDescent="0.2">
      <c r="B2820" s="236"/>
      <c r="C2820" s="236"/>
      <c r="D2820" s="236"/>
    </row>
    <row r="2821" spans="2:4" x14ac:dyDescent="0.2">
      <c r="B2821" s="236"/>
      <c r="C2821" s="236"/>
      <c r="D2821" s="236"/>
    </row>
    <row r="2822" spans="2:4" x14ac:dyDescent="0.2">
      <c r="B2822" s="236"/>
      <c r="C2822" s="236"/>
      <c r="D2822" s="236"/>
    </row>
    <row r="2823" spans="2:4" ht="12.75" customHeight="1" x14ac:dyDescent="0.2">
      <c r="B2823" s="236"/>
      <c r="C2823" s="236"/>
      <c r="D2823" s="236"/>
    </row>
    <row r="2824" spans="2:4" x14ac:dyDescent="0.2">
      <c r="B2824" s="236"/>
      <c r="C2824" s="236"/>
      <c r="D2824" s="236"/>
    </row>
    <row r="2825" spans="2:4" ht="12.75" customHeight="1" x14ac:dyDescent="0.2">
      <c r="B2825" s="236"/>
      <c r="C2825" s="236"/>
      <c r="D2825" s="236"/>
    </row>
    <row r="2826" spans="2:4" ht="12.75" customHeight="1" x14ac:dyDescent="0.2">
      <c r="B2826" s="236"/>
      <c r="C2826" s="236"/>
      <c r="D2826" s="236"/>
    </row>
    <row r="2827" spans="2:4" x14ac:dyDescent="0.2">
      <c r="B2827" s="236"/>
      <c r="C2827" s="236"/>
      <c r="D2827" s="236"/>
    </row>
    <row r="2828" spans="2:4" ht="12.75" customHeight="1" x14ac:dyDescent="0.2">
      <c r="B2828" s="236"/>
      <c r="C2828" s="236"/>
      <c r="D2828" s="236"/>
    </row>
    <row r="2829" spans="2:4" x14ac:dyDescent="0.2">
      <c r="B2829" s="236"/>
      <c r="C2829" s="236"/>
      <c r="D2829" s="236"/>
    </row>
    <row r="2830" spans="2:4" x14ac:dyDescent="0.2">
      <c r="B2830" s="236"/>
      <c r="C2830" s="236"/>
      <c r="D2830" s="236"/>
    </row>
    <row r="2831" spans="2:4" ht="12.75" customHeight="1" x14ac:dyDescent="0.2">
      <c r="B2831" s="236"/>
      <c r="C2831" s="236"/>
      <c r="D2831" s="236"/>
    </row>
    <row r="2832" spans="2:4" ht="12.75" customHeight="1" x14ac:dyDescent="0.2">
      <c r="B2832" s="236"/>
      <c r="C2832" s="236"/>
      <c r="D2832" s="236"/>
    </row>
    <row r="2833" spans="2:4" ht="12.75" customHeight="1" x14ac:dyDescent="0.2">
      <c r="B2833" s="236"/>
      <c r="C2833" s="236"/>
      <c r="D2833" s="236"/>
    </row>
    <row r="2834" spans="2:4" ht="12.75" customHeight="1" x14ac:dyDescent="0.2">
      <c r="B2834" s="236"/>
      <c r="C2834" s="236"/>
      <c r="D2834" s="236"/>
    </row>
    <row r="2835" spans="2:4" x14ac:dyDescent="0.2">
      <c r="B2835" s="236"/>
      <c r="C2835" s="236"/>
      <c r="D2835" s="236"/>
    </row>
    <row r="2836" spans="2:4" x14ac:dyDescent="0.2">
      <c r="B2836" s="236"/>
      <c r="C2836" s="236"/>
      <c r="D2836" s="236"/>
    </row>
    <row r="2837" spans="2:4" ht="12.75" customHeight="1" x14ac:dyDescent="0.2">
      <c r="B2837" s="236"/>
      <c r="C2837" s="236"/>
      <c r="D2837" s="236"/>
    </row>
    <row r="2838" spans="2:4" x14ac:dyDescent="0.2">
      <c r="B2838" s="236"/>
      <c r="C2838" s="236"/>
      <c r="D2838" s="236"/>
    </row>
    <row r="2839" spans="2:4" ht="12.75" customHeight="1" x14ac:dyDescent="0.2">
      <c r="B2839" s="236"/>
      <c r="C2839" s="236"/>
      <c r="D2839" s="236"/>
    </row>
    <row r="2840" spans="2:4" ht="12.75" customHeight="1" x14ac:dyDescent="0.2">
      <c r="B2840" s="236"/>
      <c r="C2840" s="236"/>
      <c r="D2840" s="236"/>
    </row>
    <row r="2841" spans="2:4" x14ac:dyDescent="0.2">
      <c r="B2841" s="236"/>
      <c r="C2841" s="236"/>
      <c r="D2841" s="236"/>
    </row>
    <row r="2842" spans="2:4" x14ac:dyDescent="0.2">
      <c r="B2842" s="236"/>
      <c r="C2842" s="236"/>
      <c r="D2842" s="236"/>
    </row>
    <row r="2843" spans="2:4" x14ac:dyDescent="0.2">
      <c r="B2843" s="236"/>
      <c r="C2843" s="236"/>
      <c r="D2843" s="236"/>
    </row>
    <row r="2844" spans="2:4" ht="12.75" customHeight="1" x14ac:dyDescent="0.2">
      <c r="B2844" s="236"/>
      <c r="C2844" s="236"/>
      <c r="D2844" s="236"/>
    </row>
    <row r="2845" spans="2:4" ht="12.75" customHeight="1" x14ac:dyDescent="0.2">
      <c r="B2845" s="236"/>
      <c r="C2845" s="236"/>
      <c r="D2845" s="236"/>
    </row>
    <row r="2846" spans="2:4" ht="12.75" customHeight="1" x14ac:dyDescent="0.2">
      <c r="B2846" s="236"/>
      <c r="C2846" s="236"/>
      <c r="D2846" s="236"/>
    </row>
    <row r="2847" spans="2:4" x14ac:dyDescent="0.2">
      <c r="B2847" s="236"/>
      <c r="C2847" s="236"/>
      <c r="D2847" s="236"/>
    </row>
    <row r="2848" spans="2:4" ht="12.75" customHeight="1" x14ac:dyDescent="0.2">
      <c r="B2848" s="236"/>
      <c r="C2848" s="236"/>
      <c r="D2848" s="236"/>
    </row>
    <row r="2849" spans="2:4" x14ac:dyDescent="0.2">
      <c r="B2849" s="236"/>
      <c r="C2849" s="236"/>
      <c r="D2849" s="236"/>
    </row>
    <row r="2850" spans="2:4" ht="12.75" customHeight="1" x14ac:dyDescent="0.2">
      <c r="B2850" s="236"/>
      <c r="C2850" s="236"/>
      <c r="D2850" s="236"/>
    </row>
    <row r="2851" spans="2:4" ht="12.75" customHeight="1" x14ac:dyDescent="0.2">
      <c r="B2851" s="236"/>
      <c r="C2851" s="236"/>
      <c r="D2851" s="236"/>
    </row>
    <row r="2852" spans="2:4" ht="12.75" customHeight="1" x14ac:dyDescent="0.2">
      <c r="B2852" s="236"/>
      <c r="C2852" s="236"/>
      <c r="D2852" s="236"/>
    </row>
    <row r="2853" spans="2:4" x14ac:dyDescent="0.2">
      <c r="B2853" s="236"/>
      <c r="C2853" s="236"/>
      <c r="D2853" s="236"/>
    </row>
    <row r="2854" spans="2:4" ht="12.75" customHeight="1" x14ac:dyDescent="0.2">
      <c r="B2854" s="236"/>
      <c r="C2854" s="236"/>
      <c r="D2854" s="236"/>
    </row>
    <row r="2855" spans="2:4" x14ac:dyDescent="0.2">
      <c r="B2855" s="236"/>
      <c r="C2855" s="236"/>
      <c r="D2855" s="236"/>
    </row>
    <row r="2856" spans="2:4" ht="12.75" customHeight="1" x14ac:dyDescent="0.2">
      <c r="B2856" s="236"/>
      <c r="C2856" s="236"/>
      <c r="D2856" s="236"/>
    </row>
    <row r="2857" spans="2:4" x14ac:dyDescent="0.2">
      <c r="B2857" s="236"/>
      <c r="C2857" s="236"/>
      <c r="D2857" s="236"/>
    </row>
    <row r="2858" spans="2:4" ht="12.75" customHeight="1" x14ac:dyDescent="0.2">
      <c r="B2858" s="236"/>
      <c r="C2858" s="236"/>
      <c r="D2858" s="236"/>
    </row>
    <row r="2859" spans="2:4" ht="12.75" customHeight="1" x14ac:dyDescent="0.2">
      <c r="B2859" s="236"/>
      <c r="C2859" s="236"/>
      <c r="D2859" s="236"/>
    </row>
    <row r="2860" spans="2:4" x14ac:dyDescent="0.2">
      <c r="B2860" s="236"/>
      <c r="C2860" s="236"/>
      <c r="D2860" s="236"/>
    </row>
    <row r="2861" spans="2:4" ht="12.75" customHeight="1" x14ac:dyDescent="0.2">
      <c r="B2861" s="236"/>
      <c r="C2861" s="236"/>
      <c r="D2861" s="236"/>
    </row>
    <row r="2862" spans="2:4" x14ac:dyDescent="0.2">
      <c r="B2862" s="236"/>
      <c r="C2862" s="236"/>
      <c r="D2862" s="236"/>
    </row>
    <row r="2863" spans="2:4" ht="12.75" customHeight="1" x14ac:dyDescent="0.2">
      <c r="B2863" s="236"/>
      <c r="C2863" s="236"/>
      <c r="D2863" s="236"/>
    </row>
    <row r="2864" spans="2:4" ht="12.75" customHeight="1" x14ac:dyDescent="0.2">
      <c r="B2864" s="236"/>
      <c r="C2864" s="236"/>
      <c r="D2864" s="236"/>
    </row>
    <row r="2865" spans="2:4" x14ac:dyDescent="0.2">
      <c r="B2865" s="236"/>
      <c r="C2865" s="236"/>
      <c r="D2865" s="236"/>
    </row>
    <row r="2866" spans="2:4" ht="12.75" customHeight="1" x14ac:dyDescent="0.2">
      <c r="B2866" s="236"/>
      <c r="C2866" s="236"/>
      <c r="D2866" s="236"/>
    </row>
    <row r="2867" spans="2:4" x14ac:dyDescent="0.2">
      <c r="B2867" s="236"/>
      <c r="C2867" s="236"/>
      <c r="D2867" s="236"/>
    </row>
    <row r="2868" spans="2:4" ht="12.75" customHeight="1" x14ac:dyDescent="0.2">
      <c r="B2868" s="236"/>
      <c r="C2868" s="236"/>
      <c r="D2868" s="236"/>
    </row>
    <row r="2869" spans="2:4" ht="12.75" customHeight="1" x14ac:dyDescent="0.2">
      <c r="B2869" s="236"/>
      <c r="C2869" s="236"/>
      <c r="D2869" s="236"/>
    </row>
    <row r="2870" spans="2:4" x14ac:dyDescent="0.2">
      <c r="B2870" s="236"/>
      <c r="C2870" s="236"/>
      <c r="D2870" s="236"/>
    </row>
    <row r="2871" spans="2:4" ht="12.75" customHeight="1" x14ac:dyDescent="0.2">
      <c r="B2871" s="236"/>
      <c r="C2871" s="236"/>
      <c r="D2871" s="236"/>
    </row>
    <row r="2872" spans="2:4" ht="12.75" customHeight="1" x14ac:dyDescent="0.2">
      <c r="B2872" s="236"/>
      <c r="C2872" s="236"/>
      <c r="D2872" s="236"/>
    </row>
    <row r="2873" spans="2:4" x14ac:dyDescent="0.2">
      <c r="B2873" s="236"/>
      <c r="C2873" s="236"/>
      <c r="D2873" s="236"/>
    </row>
    <row r="2874" spans="2:4" ht="12.75" customHeight="1" x14ac:dyDescent="0.2">
      <c r="B2874" s="236"/>
      <c r="C2874" s="236"/>
      <c r="D2874" s="236"/>
    </row>
    <row r="2875" spans="2:4" x14ac:dyDescent="0.2">
      <c r="B2875" s="236"/>
      <c r="C2875" s="236"/>
      <c r="D2875" s="236"/>
    </row>
    <row r="2876" spans="2:4" ht="12.75" customHeight="1" x14ac:dyDescent="0.2">
      <c r="B2876" s="236"/>
      <c r="C2876" s="236"/>
      <c r="D2876" s="236"/>
    </row>
    <row r="2877" spans="2:4" ht="12.75" customHeight="1" x14ac:dyDescent="0.2">
      <c r="B2877" s="236"/>
      <c r="C2877" s="236"/>
      <c r="D2877" s="236"/>
    </row>
    <row r="2878" spans="2:4" ht="12.75" customHeight="1" x14ac:dyDescent="0.2">
      <c r="B2878" s="236"/>
      <c r="C2878" s="236"/>
      <c r="D2878" s="236"/>
    </row>
    <row r="2879" spans="2:4" ht="12.75" customHeight="1" x14ac:dyDescent="0.2">
      <c r="B2879" s="236"/>
      <c r="C2879" s="236"/>
      <c r="D2879" s="236"/>
    </row>
    <row r="2880" spans="2:4" ht="12.75" customHeight="1" x14ac:dyDescent="0.2">
      <c r="B2880" s="236"/>
      <c r="C2880" s="236"/>
      <c r="D2880" s="236"/>
    </row>
    <row r="2881" spans="2:4" ht="12.75" customHeight="1" x14ac:dyDescent="0.2">
      <c r="B2881" s="236"/>
      <c r="C2881" s="236"/>
      <c r="D2881" s="236"/>
    </row>
    <row r="2882" spans="2:4" x14ac:dyDescent="0.2">
      <c r="B2882" s="236"/>
      <c r="C2882" s="236"/>
      <c r="D2882" s="236"/>
    </row>
    <row r="2883" spans="2:4" ht="12.75" customHeight="1" x14ac:dyDescent="0.2">
      <c r="B2883" s="236"/>
      <c r="C2883" s="236"/>
      <c r="D2883" s="236"/>
    </row>
    <row r="2884" spans="2:4" ht="12.75" customHeight="1" x14ac:dyDescent="0.2">
      <c r="B2884" s="236"/>
      <c r="C2884" s="236"/>
      <c r="D2884" s="236"/>
    </row>
    <row r="2885" spans="2:4" x14ac:dyDescent="0.2">
      <c r="B2885" s="236"/>
      <c r="C2885" s="236"/>
      <c r="D2885" s="236"/>
    </row>
    <row r="2886" spans="2:4" ht="12.75" customHeight="1" x14ac:dyDescent="0.2">
      <c r="B2886" s="236"/>
      <c r="C2886" s="236"/>
      <c r="D2886" s="236"/>
    </row>
    <row r="2887" spans="2:4" ht="12.75" customHeight="1" x14ac:dyDescent="0.2">
      <c r="B2887" s="236"/>
      <c r="C2887" s="236"/>
      <c r="D2887" s="236"/>
    </row>
    <row r="2888" spans="2:4" ht="12.75" customHeight="1" x14ac:dyDescent="0.2">
      <c r="B2888" s="236"/>
      <c r="C2888" s="236"/>
      <c r="D2888" s="236"/>
    </row>
    <row r="2889" spans="2:4" ht="12.75" customHeight="1" x14ac:dyDescent="0.2">
      <c r="B2889" s="236"/>
      <c r="C2889" s="236"/>
      <c r="D2889" s="236"/>
    </row>
    <row r="2890" spans="2:4" ht="12.75" customHeight="1" x14ac:dyDescent="0.2">
      <c r="B2890" s="236"/>
      <c r="C2890" s="236"/>
      <c r="D2890" s="236"/>
    </row>
    <row r="2891" spans="2:4" ht="12.75" customHeight="1" x14ac:dyDescent="0.2">
      <c r="B2891" s="236"/>
      <c r="C2891" s="236"/>
      <c r="D2891" s="236"/>
    </row>
    <row r="2892" spans="2:4" ht="12.75" customHeight="1" x14ac:dyDescent="0.2">
      <c r="B2892" s="236"/>
      <c r="C2892" s="236"/>
      <c r="D2892" s="236"/>
    </row>
    <row r="2893" spans="2:4" ht="12.75" customHeight="1" x14ac:dyDescent="0.2">
      <c r="B2893" s="236"/>
      <c r="C2893" s="236"/>
      <c r="D2893" s="236"/>
    </row>
    <row r="2894" spans="2:4" ht="12.75" customHeight="1" x14ac:dyDescent="0.2">
      <c r="B2894" s="236"/>
      <c r="C2894" s="236"/>
      <c r="D2894" s="236"/>
    </row>
    <row r="2895" spans="2:4" ht="12.75" customHeight="1" x14ac:dyDescent="0.2">
      <c r="B2895" s="236"/>
      <c r="C2895" s="236"/>
      <c r="D2895" s="236"/>
    </row>
    <row r="2896" spans="2:4" ht="12.75" customHeight="1" x14ac:dyDescent="0.2">
      <c r="B2896" s="236"/>
      <c r="C2896" s="236"/>
      <c r="D2896" s="236"/>
    </row>
    <row r="2897" spans="2:4" x14ac:dyDescent="0.2">
      <c r="B2897" s="236"/>
      <c r="C2897" s="236"/>
      <c r="D2897" s="236"/>
    </row>
    <row r="2898" spans="2:4" ht="12.75" customHeight="1" x14ac:dyDescent="0.2">
      <c r="B2898" s="236"/>
      <c r="C2898" s="236"/>
      <c r="D2898" s="236"/>
    </row>
    <row r="2899" spans="2:4" ht="12.75" customHeight="1" x14ac:dyDescent="0.2">
      <c r="B2899" s="236"/>
      <c r="C2899" s="236"/>
      <c r="D2899" s="236"/>
    </row>
    <row r="2900" spans="2:4" ht="12.75" customHeight="1" x14ac:dyDescent="0.2">
      <c r="B2900" s="236"/>
      <c r="C2900" s="236"/>
      <c r="D2900" s="236"/>
    </row>
    <row r="2901" spans="2:4" ht="12.75" customHeight="1" x14ac:dyDescent="0.2">
      <c r="B2901" s="236"/>
      <c r="C2901" s="236"/>
      <c r="D2901" s="236"/>
    </row>
    <row r="2902" spans="2:4" ht="12.75" customHeight="1" x14ac:dyDescent="0.2">
      <c r="B2902" s="236"/>
      <c r="C2902" s="236"/>
      <c r="D2902" s="236"/>
    </row>
    <row r="2903" spans="2:4" ht="12.75" customHeight="1" x14ac:dyDescent="0.2">
      <c r="B2903" s="236"/>
      <c r="C2903" s="236"/>
      <c r="D2903" s="236"/>
    </row>
    <row r="2904" spans="2:4" ht="12.75" customHeight="1" x14ac:dyDescent="0.2">
      <c r="B2904" s="236"/>
      <c r="C2904" s="236"/>
      <c r="D2904" s="236"/>
    </row>
    <row r="2905" spans="2:4" x14ac:dyDescent="0.2">
      <c r="B2905" s="236"/>
      <c r="C2905" s="236"/>
      <c r="D2905" s="236"/>
    </row>
    <row r="2906" spans="2:4" ht="12.75" customHeight="1" x14ac:dyDescent="0.2">
      <c r="B2906" s="236"/>
      <c r="C2906" s="236"/>
      <c r="D2906" s="236"/>
    </row>
    <row r="2907" spans="2:4" x14ac:dyDescent="0.2">
      <c r="B2907" s="236"/>
      <c r="C2907" s="236"/>
      <c r="D2907" s="236"/>
    </row>
    <row r="2908" spans="2:4" ht="12.75" customHeight="1" x14ac:dyDescent="0.2">
      <c r="B2908" s="236"/>
      <c r="C2908" s="236"/>
      <c r="D2908" s="236"/>
    </row>
    <row r="2909" spans="2:4" x14ac:dyDescent="0.2">
      <c r="B2909" s="236"/>
      <c r="C2909" s="236"/>
      <c r="D2909" s="236"/>
    </row>
    <row r="2910" spans="2:4" ht="12.75" customHeight="1" x14ac:dyDescent="0.2">
      <c r="B2910" s="236"/>
      <c r="C2910" s="236"/>
      <c r="D2910" s="236"/>
    </row>
    <row r="2911" spans="2:4" x14ac:dyDescent="0.2">
      <c r="B2911" s="236"/>
      <c r="C2911" s="236"/>
      <c r="D2911" s="236"/>
    </row>
    <row r="2912" spans="2:4" ht="12.75" customHeight="1" x14ac:dyDescent="0.2">
      <c r="B2912" s="236"/>
      <c r="C2912" s="236"/>
      <c r="D2912" s="236"/>
    </row>
    <row r="2913" spans="2:4" x14ac:dyDescent="0.2">
      <c r="B2913" s="236"/>
      <c r="C2913" s="236"/>
      <c r="D2913" s="236"/>
    </row>
    <row r="2914" spans="2:4" ht="12.75" customHeight="1" x14ac:dyDescent="0.2">
      <c r="B2914" s="236"/>
      <c r="C2914" s="236"/>
      <c r="D2914" s="236"/>
    </row>
    <row r="2915" spans="2:4" x14ac:dyDescent="0.2">
      <c r="B2915" s="236"/>
      <c r="C2915" s="236"/>
      <c r="D2915" s="236"/>
    </row>
    <row r="2916" spans="2:4" ht="12.75" customHeight="1" x14ac:dyDescent="0.2">
      <c r="B2916" s="236"/>
      <c r="C2916" s="236"/>
      <c r="D2916" s="236"/>
    </row>
    <row r="2917" spans="2:4" x14ac:dyDescent="0.2">
      <c r="B2917" s="236"/>
      <c r="C2917" s="236"/>
      <c r="D2917" s="236"/>
    </row>
    <row r="2918" spans="2:4" x14ac:dyDescent="0.2">
      <c r="B2918" s="236"/>
      <c r="C2918" s="236"/>
      <c r="D2918" s="236"/>
    </row>
    <row r="2919" spans="2:4" ht="12.75" customHeight="1" x14ac:dyDescent="0.2">
      <c r="B2919" s="236"/>
      <c r="C2919" s="236"/>
      <c r="D2919" s="236"/>
    </row>
    <row r="2920" spans="2:4" ht="12.75" customHeight="1" x14ac:dyDescent="0.2">
      <c r="B2920" s="236"/>
      <c r="C2920" s="236"/>
      <c r="D2920" s="236"/>
    </row>
    <row r="2921" spans="2:4" x14ac:dyDescent="0.2">
      <c r="B2921" s="236"/>
      <c r="C2921" s="236"/>
      <c r="D2921" s="236"/>
    </row>
    <row r="2922" spans="2:4" ht="12.75" customHeight="1" x14ac:dyDescent="0.2">
      <c r="B2922" s="236"/>
      <c r="C2922" s="236"/>
      <c r="D2922" s="236"/>
    </row>
    <row r="2923" spans="2:4" x14ac:dyDescent="0.2">
      <c r="B2923" s="236"/>
      <c r="C2923" s="236"/>
      <c r="D2923" s="236"/>
    </row>
    <row r="2924" spans="2:4" ht="12.75" customHeight="1" x14ac:dyDescent="0.2">
      <c r="B2924" s="236"/>
      <c r="C2924" s="236"/>
      <c r="D2924" s="236"/>
    </row>
    <row r="2925" spans="2:4" x14ac:dyDescent="0.2">
      <c r="B2925" s="236"/>
      <c r="C2925" s="236"/>
      <c r="D2925" s="236"/>
    </row>
    <row r="2926" spans="2:4" ht="12.75" customHeight="1" x14ac:dyDescent="0.2">
      <c r="B2926" s="236"/>
      <c r="C2926" s="236"/>
      <c r="D2926" s="236"/>
    </row>
    <row r="2927" spans="2:4" x14ac:dyDescent="0.2">
      <c r="B2927" s="236"/>
      <c r="C2927" s="236"/>
      <c r="D2927" s="236"/>
    </row>
    <row r="2928" spans="2:4" ht="12.75" customHeight="1" x14ac:dyDescent="0.2">
      <c r="B2928" s="236"/>
      <c r="C2928" s="236"/>
      <c r="D2928" s="236"/>
    </row>
    <row r="2929" spans="2:4" x14ac:dyDescent="0.2">
      <c r="B2929" s="236"/>
      <c r="C2929" s="236"/>
      <c r="D2929" s="236"/>
    </row>
    <row r="2930" spans="2:4" ht="12.75" customHeight="1" x14ac:dyDescent="0.2">
      <c r="B2930" s="236"/>
      <c r="C2930" s="236"/>
      <c r="D2930" s="236"/>
    </row>
    <row r="2931" spans="2:4" x14ac:dyDescent="0.2">
      <c r="B2931" s="236"/>
      <c r="C2931" s="236"/>
      <c r="D2931" s="236"/>
    </row>
    <row r="2932" spans="2:4" x14ac:dyDescent="0.2">
      <c r="B2932" s="236"/>
      <c r="C2932" s="236"/>
      <c r="D2932" s="236"/>
    </row>
    <row r="2933" spans="2:4" ht="12.75" customHeight="1" x14ac:dyDescent="0.2">
      <c r="B2933" s="236"/>
      <c r="C2933" s="236"/>
      <c r="D2933" s="236"/>
    </row>
    <row r="2934" spans="2:4" ht="12.75" customHeight="1" x14ac:dyDescent="0.2">
      <c r="B2934" s="236"/>
      <c r="C2934" s="236"/>
      <c r="D2934" s="236"/>
    </row>
    <row r="2935" spans="2:4" ht="12.75" customHeight="1" x14ac:dyDescent="0.2">
      <c r="B2935" s="236"/>
      <c r="C2935" s="236"/>
      <c r="D2935" s="236"/>
    </row>
    <row r="2936" spans="2:4" ht="12.75" customHeight="1" x14ac:dyDescent="0.2">
      <c r="B2936" s="236"/>
      <c r="C2936" s="236"/>
      <c r="D2936" s="236"/>
    </row>
    <row r="2937" spans="2:4" x14ac:dyDescent="0.2">
      <c r="B2937" s="236"/>
      <c r="C2937" s="236"/>
      <c r="D2937" s="236"/>
    </row>
    <row r="2938" spans="2:4" x14ac:dyDescent="0.2">
      <c r="B2938" s="236"/>
      <c r="C2938" s="236"/>
      <c r="D2938" s="236"/>
    </row>
    <row r="2939" spans="2:4" x14ac:dyDescent="0.2">
      <c r="B2939" s="236"/>
      <c r="C2939" s="236"/>
      <c r="D2939" s="236"/>
    </row>
    <row r="2940" spans="2:4" x14ac:dyDescent="0.2">
      <c r="B2940" s="236"/>
      <c r="C2940" s="236"/>
      <c r="D2940" s="236"/>
    </row>
    <row r="2941" spans="2:4" ht="12.75" customHeight="1" x14ac:dyDescent="0.2">
      <c r="B2941" s="236"/>
      <c r="C2941" s="236"/>
      <c r="D2941" s="236"/>
    </row>
    <row r="2942" spans="2:4" x14ac:dyDescent="0.2">
      <c r="B2942" s="236"/>
      <c r="C2942" s="236"/>
      <c r="D2942" s="236"/>
    </row>
    <row r="2943" spans="2:4" ht="12.75" customHeight="1" x14ac:dyDescent="0.2">
      <c r="B2943" s="236"/>
      <c r="C2943" s="236"/>
      <c r="D2943" s="236"/>
    </row>
    <row r="2944" spans="2:4" x14ac:dyDescent="0.2">
      <c r="B2944" s="236"/>
      <c r="C2944" s="236"/>
      <c r="D2944" s="236"/>
    </row>
    <row r="2945" spans="2:4" ht="12.75" customHeight="1" x14ac:dyDescent="0.2">
      <c r="B2945" s="236"/>
      <c r="C2945" s="236"/>
      <c r="D2945" s="236"/>
    </row>
    <row r="2946" spans="2:4" ht="12.75" customHeight="1" x14ac:dyDescent="0.2">
      <c r="B2946" s="236"/>
      <c r="C2946" s="236"/>
      <c r="D2946" s="236"/>
    </row>
    <row r="2947" spans="2:4" x14ac:dyDescent="0.2">
      <c r="B2947" s="236"/>
      <c r="C2947" s="236"/>
      <c r="D2947" s="236"/>
    </row>
    <row r="2948" spans="2:4" ht="12.75" customHeight="1" x14ac:dyDescent="0.2">
      <c r="B2948" s="236"/>
      <c r="C2948" s="236"/>
      <c r="D2948" s="236"/>
    </row>
    <row r="2949" spans="2:4" ht="12.75" customHeight="1" x14ac:dyDescent="0.2">
      <c r="B2949" s="236"/>
      <c r="C2949" s="236"/>
      <c r="D2949" s="236"/>
    </row>
    <row r="2950" spans="2:4" x14ac:dyDescent="0.2">
      <c r="B2950" s="236"/>
      <c r="C2950" s="236"/>
      <c r="D2950" s="236"/>
    </row>
    <row r="2951" spans="2:4" ht="12.75" customHeight="1" x14ac:dyDescent="0.2">
      <c r="B2951" s="236"/>
      <c r="C2951" s="236"/>
      <c r="D2951" s="236"/>
    </row>
    <row r="2952" spans="2:4" x14ac:dyDescent="0.2">
      <c r="B2952" s="236"/>
      <c r="C2952" s="236"/>
      <c r="D2952" s="236"/>
    </row>
    <row r="2953" spans="2:4" ht="12.75" customHeight="1" x14ac:dyDescent="0.2">
      <c r="B2953" s="236"/>
      <c r="C2953" s="236"/>
      <c r="D2953" s="236"/>
    </row>
    <row r="2954" spans="2:4" x14ac:dyDescent="0.2">
      <c r="B2954" s="236"/>
      <c r="C2954" s="236"/>
      <c r="D2954" s="236"/>
    </row>
    <row r="2955" spans="2:4" ht="12.75" customHeight="1" x14ac:dyDescent="0.2">
      <c r="B2955" s="236"/>
      <c r="C2955" s="236"/>
      <c r="D2955" s="236"/>
    </row>
    <row r="2956" spans="2:4" ht="12.75" customHeight="1" x14ac:dyDescent="0.2">
      <c r="B2956" s="236"/>
      <c r="C2956" s="236"/>
      <c r="D2956" s="236"/>
    </row>
    <row r="2957" spans="2:4" ht="12.75" customHeight="1" x14ac:dyDescent="0.2">
      <c r="B2957" s="236"/>
      <c r="C2957" s="236"/>
      <c r="D2957" s="236"/>
    </row>
    <row r="2958" spans="2:4" x14ac:dyDescent="0.2">
      <c r="B2958" s="236"/>
      <c r="C2958" s="236"/>
      <c r="D2958" s="236"/>
    </row>
    <row r="2959" spans="2:4" ht="12.75" customHeight="1" x14ac:dyDescent="0.2">
      <c r="B2959" s="236"/>
      <c r="C2959" s="236"/>
      <c r="D2959" s="236"/>
    </row>
    <row r="2960" spans="2:4" x14ac:dyDescent="0.2">
      <c r="B2960" s="236"/>
      <c r="C2960" s="236"/>
      <c r="D2960" s="236"/>
    </row>
    <row r="2961" spans="2:4" ht="12.75" customHeight="1" x14ac:dyDescent="0.2">
      <c r="B2961" s="236"/>
      <c r="C2961" s="236"/>
      <c r="D2961" s="236"/>
    </row>
    <row r="2962" spans="2:4" x14ac:dyDescent="0.2">
      <c r="B2962" s="236"/>
      <c r="C2962" s="236"/>
      <c r="D2962" s="236"/>
    </row>
    <row r="2963" spans="2:4" ht="12.75" customHeight="1" x14ac:dyDescent="0.2">
      <c r="B2963" s="236"/>
      <c r="C2963" s="236"/>
      <c r="D2963" s="236"/>
    </row>
    <row r="2964" spans="2:4" x14ac:dyDescent="0.2">
      <c r="B2964" s="236"/>
      <c r="C2964" s="236"/>
      <c r="D2964" s="236"/>
    </row>
    <row r="2965" spans="2:4" ht="12.75" customHeight="1" x14ac:dyDescent="0.2">
      <c r="B2965" s="236"/>
      <c r="C2965" s="236"/>
      <c r="D2965" s="236"/>
    </row>
    <row r="2966" spans="2:4" ht="12.75" customHeight="1" x14ac:dyDescent="0.2">
      <c r="B2966" s="236"/>
      <c r="C2966" s="236"/>
      <c r="D2966" s="236"/>
    </row>
    <row r="2967" spans="2:4" x14ac:dyDescent="0.2">
      <c r="B2967" s="236"/>
      <c r="C2967" s="236"/>
      <c r="D2967" s="236"/>
    </row>
    <row r="2968" spans="2:4" ht="12.75" customHeight="1" x14ac:dyDescent="0.2">
      <c r="B2968" s="236"/>
      <c r="C2968" s="236"/>
      <c r="D2968" s="236"/>
    </row>
    <row r="2969" spans="2:4" x14ac:dyDescent="0.2">
      <c r="B2969" s="236"/>
      <c r="C2969" s="236"/>
      <c r="D2969" s="236"/>
    </row>
    <row r="2970" spans="2:4" ht="12.75" customHeight="1" x14ac:dyDescent="0.2">
      <c r="B2970" s="236"/>
      <c r="C2970" s="236"/>
      <c r="D2970" s="236"/>
    </row>
    <row r="2971" spans="2:4" ht="12.75" customHeight="1" x14ac:dyDescent="0.2">
      <c r="B2971" s="236"/>
      <c r="C2971" s="236"/>
      <c r="D2971" s="236"/>
    </row>
    <row r="2972" spans="2:4" x14ac:dyDescent="0.2">
      <c r="B2972" s="236"/>
      <c r="C2972" s="236"/>
      <c r="D2972" s="236"/>
    </row>
    <row r="2973" spans="2:4" x14ac:dyDescent="0.2">
      <c r="B2973" s="236"/>
      <c r="C2973" s="236"/>
      <c r="D2973" s="236"/>
    </row>
    <row r="2974" spans="2:4" ht="12.75" customHeight="1" x14ac:dyDescent="0.2">
      <c r="B2974" s="236"/>
      <c r="C2974" s="236"/>
      <c r="D2974" s="236"/>
    </row>
    <row r="2975" spans="2:4" ht="12.75" customHeight="1" x14ac:dyDescent="0.2">
      <c r="B2975" s="236"/>
      <c r="C2975" s="236"/>
      <c r="D2975" s="236"/>
    </row>
    <row r="2976" spans="2:4" x14ac:dyDescent="0.2">
      <c r="B2976" s="236"/>
      <c r="C2976" s="236"/>
      <c r="D2976" s="236"/>
    </row>
    <row r="2977" spans="2:4" ht="12.75" customHeight="1" x14ac:dyDescent="0.2">
      <c r="B2977" s="236"/>
      <c r="C2977" s="236"/>
      <c r="D2977" s="236"/>
    </row>
    <row r="2978" spans="2:4" ht="12.75" customHeight="1" x14ac:dyDescent="0.2">
      <c r="B2978" s="236"/>
      <c r="C2978" s="236"/>
      <c r="D2978" s="236"/>
    </row>
    <row r="2979" spans="2:4" ht="12.75" customHeight="1" x14ac:dyDescent="0.2">
      <c r="B2979" s="236"/>
      <c r="C2979" s="236"/>
      <c r="D2979" s="236"/>
    </row>
    <row r="2980" spans="2:4" ht="12.75" customHeight="1" x14ac:dyDescent="0.2">
      <c r="B2980" s="236"/>
      <c r="C2980" s="236"/>
      <c r="D2980" s="236"/>
    </row>
    <row r="2981" spans="2:4" ht="12.75" customHeight="1" x14ac:dyDescent="0.2">
      <c r="B2981" s="236"/>
      <c r="C2981" s="236"/>
      <c r="D2981" s="236"/>
    </row>
    <row r="2982" spans="2:4" x14ac:dyDescent="0.2">
      <c r="B2982" s="236"/>
      <c r="C2982" s="236"/>
      <c r="D2982" s="236"/>
    </row>
    <row r="2983" spans="2:4" x14ac:dyDescent="0.2">
      <c r="B2983" s="236"/>
      <c r="C2983" s="236"/>
      <c r="D2983" s="236"/>
    </row>
    <row r="2984" spans="2:4" ht="12.75" customHeight="1" x14ac:dyDescent="0.2">
      <c r="B2984" s="236"/>
      <c r="C2984" s="236"/>
      <c r="D2984" s="236"/>
    </row>
    <row r="2985" spans="2:4" ht="12.75" customHeight="1" x14ac:dyDescent="0.2">
      <c r="B2985" s="236"/>
      <c r="C2985" s="236"/>
      <c r="D2985" s="236"/>
    </row>
    <row r="2986" spans="2:4" ht="12.75" customHeight="1" x14ac:dyDescent="0.2">
      <c r="B2986" s="236"/>
      <c r="C2986" s="236"/>
      <c r="D2986" s="236"/>
    </row>
    <row r="2987" spans="2:4" ht="12.75" customHeight="1" x14ac:dyDescent="0.2">
      <c r="B2987" s="236"/>
      <c r="C2987" s="236"/>
      <c r="D2987" s="236"/>
    </row>
    <row r="2988" spans="2:4" ht="12.75" customHeight="1" x14ac:dyDescent="0.2">
      <c r="B2988" s="236"/>
      <c r="C2988" s="236"/>
      <c r="D2988" s="236"/>
    </row>
    <row r="2989" spans="2:4" ht="12.75" customHeight="1" x14ac:dyDescent="0.2">
      <c r="B2989" s="236"/>
      <c r="C2989" s="236"/>
      <c r="D2989" s="236"/>
    </row>
    <row r="2990" spans="2:4" ht="12.75" customHeight="1" x14ac:dyDescent="0.2">
      <c r="B2990" s="236"/>
      <c r="C2990" s="236"/>
      <c r="D2990" s="236"/>
    </row>
    <row r="2991" spans="2:4" ht="12.75" customHeight="1" x14ac:dyDescent="0.2">
      <c r="B2991" s="236"/>
      <c r="C2991" s="236"/>
      <c r="D2991" s="236"/>
    </row>
    <row r="2992" spans="2:4" ht="12.75" customHeight="1" x14ac:dyDescent="0.2">
      <c r="B2992" s="236"/>
      <c r="C2992" s="236"/>
      <c r="D2992" s="236"/>
    </row>
    <row r="2993" spans="2:4" ht="12.75" customHeight="1" x14ac:dyDescent="0.2">
      <c r="B2993" s="236"/>
      <c r="C2993" s="236"/>
      <c r="D2993" s="236"/>
    </row>
    <row r="2994" spans="2:4" ht="12.75" customHeight="1" x14ac:dyDescent="0.2">
      <c r="B2994" s="236"/>
      <c r="C2994" s="236"/>
      <c r="D2994" s="236"/>
    </row>
    <row r="2995" spans="2:4" ht="12.75" customHeight="1" x14ac:dyDescent="0.2">
      <c r="B2995" s="236"/>
      <c r="C2995" s="236"/>
      <c r="D2995" s="236"/>
    </row>
    <row r="2996" spans="2:4" ht="12.75" customHeight="1" x14ac:dyDescent="0.2">
      <c r="B2996" s="236"/>
      <c r="C2996" s="236"/>
      <c r="D2996" s="236"/>
    </row>
    <row r="2997" spans="2:4" ht="12.75" customHeight="1" x14ac:dyDescent="0.2">
      <c r="B2997" s="236"/>
      <c r="C2997" s="236"/>
      <c r="D2997" s="236"/>
    </row>
    <row r="2998" spans="2:4" ht="12.75" customHeight="1" x14ac:dyDescent="0.2">
      <c r="B2998" s="236"/>
      <c r="C2998" s="236"/>
      <c r="D2998" s="236"/>
    </row>
    <row r="2999" spans="2:4" ht="12.75" customHeight="1" x14ac:dyDescent="0.2">
      <c r="B2999" s="236"/>
      <c r="C2999" s="236"/>
      <c r="D2999" s="236"/>
    </row>
    <row r="3000" spans="2:4" ht="12.75" customHeight="1" x14ac:dyDescent="0.2">
      <c r="B3000" s="236"/>
      <c r="C3000" s="236"/>
      <c r="D3000" s="236"/>
    </row>
    <row r="3001" spans="2:4" ht="12.75" customHeight="1" x14ac:dyDescent="0.2">
      <c r="B3001" s="236"/>
      <c r="C3001" s="236"/>
      <c r="D3001" s="236"/>
    </row>
    <row r="3002" spans="2:4" ht="12.75" customHeight="1" x14ac:dyDescent="0.2">
      <c r="B3002" s="236"/>
      <c r="C3002" s="236"/>
      <c r="D3002" s="236"/>
    </row>
    <row r="3003" spans="2:4" ht="12.75" customHeight="1" x14ac:dyDescent="0.2">
      <c r="B3003" s="236"/>
      <c r="C3003" s="236"/>
      <c r="D3003" s="236"/>
    </row>
    <row r="3004" spans="2:4" ht="12.75" customHeight="1" x14ac:dyDescent="0.2">
      <c r="B3004" s="236"/>
      <c r="C3004" s="236"/>
      <c r="D3004" s="236"/>
    </row>
    <row r="3005" spans="2:4" ht="12.75" customHeight="1" x14ac:dyDescent="0.2">
      <c r="B3005" s="236"/>
      <c r="C3005" s="236"/>
      <c r="D3005" s="236"/>
    </row>
    <row r="3006" spans="2:4" ht="12.75" customHeight="1" x14ac:dyDescent="0.2">
      <c r="B3006" s="236"/>
      <c r="C3006" s="236"/>
      <c r="D3006" s="236"/>
    </row>
    <row r="3007" spans="2:4" x14ac:dyDescent="0.2">
      <c r="B3007" s="236"/>
      <c r="C3007" s="236"/>
      <c r="D3007" s="236"/>
    </row>
    <row r="3008" spans="2:4" ht="12.75" customHeight="1" x14ac:dyDescent="0.2">
      <c r="B3008" s="236"/>
      <c r="C3008" s="236"/>
      <c r="D3008" s="236"/>
    </row>
    <row r="3009" spans="2:4" ht="12.75" customHeight="1" x14ac:dyDescent="0.2">
      <c r="B3009" s="236"/>
      <c r="C3009" s="236"/>
      <c r="D3009" s="236"/>
    </row>
    <row r="3010" spans="2:4" ht="12.75" customHeight="1" x14ac:dyDescent="0.2">
      <c r="B3010" s="236"/>
      <c r="C3010" s="236"/>
      <c r="D3010" s="236"/>
    </row>
    <row r="3011" spans="2:4" ht="12.75" customHeight="1" x14ac:dyDescent="0.2">
      <c r="B3011" s="236"/>
      <c r="C3011" s="236"/>
      <c r="D3011" s="236"/>
    </row>
    <row r="3012" spans="2:4" ht="12.75" customHeight="1" x14ac:dyDescent="0.2">
      <c r="B3012" s="236"/>
      <c r="C3012" s="236"/>
      <c r="D3012" s="236"/>
    </row>
    <row r="3013" spans="2:4" ht="12.75" customHeight="1" x14ac:dyDescent="0.2">
      <c r="B3013" s="236"/>
      <c r="C3013" s="236"/>
      <c r="D3013" s="236"/>
    </row>
    <row r="3014" spans="2:4" ht="12.75" customHeight="1" x14ac:dyDescent="0.2">
      <c r="B3014" s="236"/>
      <c r="C3014" s="236"/>
      <c r="D3014" s="236"/>
    </row>
    <row r="3015" spans="2:4" x14ac:dyDescent="0.2">
      <c r="B3015" s="236"/>
      <c r="C3015" s="236"/>
      <c r="D3015" s="236"/>
    </row>
    <row r="3016" spans="2:4" ht="12.75" customHeight="1" x14ac:dyDescent="0.2">
      <c r="B3016" s="236"/>
      <c r="C3016" s="236"/>
      <c r="D3016" s="236"/>
    </row>
    <row r="3017" spans="2:4" ht="12.75" customHeight="1" x14ac:dyDescent="0.2">
      <c r="B3017" s="236"/>
      <c r="C3017" s="236"/>
      <c r="D3017" s="236"/>
    </row>
    <row r="3018" spans="2:4" ht="12.75" customHeight="1" x14ac:dyDescent="0.2">
      <c r="B3018" s="236"/>
      <c r="C3018" s="236"/>
      <c r="D3018" s="236"/>
    </row>
    <row r="3019" spans="2:4" ht="12.75" customHeight="1" x14ac:dyDescent="0.2">
      <c r="B3019" s="236"/>
      <c r="C3019" s="236"/>
      <c r="D3019" s="236"/>
    </row>
    <row r="3020" spans="2:4" ht="12.75" customHeight="1" x14ac:dyDescent="0.2">
      <c r="B3020" s="236"/>
      <c r="C3020" s="236"/>
      <c r="D3020" s="236"/>
    </row>
    <row r="3021" spans="2:4" ht="12.75" customHeight="1" x14ac:dyDescent="0.2">
      <c r="B3021" s="236"/>
      <c r="C3021" s="236"/>
      <c r="D3021" s="236"/>
    </row>
    <row r="3022" spans="2:4" ht="12.75" customHeight="1" x14ac:dyDescent="0.2">
      <c r="B3022" s="236"/>
      <c r="C3022" s="236"/>
      <c r="D3022" s="236"/>
    </row>
    <row r="3023" spans="2:4" x14ac:dyDescent="0.2">
      <c r="B3023" s="236"/>
      <c r="C3023" s="236"/>
      <c r="D3023" s="236"/>
    </row>
    <row r="3024" spans="2:4" ht="12.75" customHeight="1" x14ac:dyDescent="0.2">
      <c r="B3024" s="236"/>
      <c r="C3024" s="236"/>
      <c r="D3024" s="236"/>
    </row>
    <row r="3025" spans="2:4" ht="12.75" customHeight="1" x14ac:dyDescent="0.2">
      <c r="B3025" s="236"/>
      <c r="C3025" s="236"/>
      <c r="D3025" s="236"/>
    </row>
    <row r="3026" spans="2:4" ht="12.75" customHeight="1" x14ac:dyDescent="0.2">
      <c r="B3026" s="236"/>
      <c r="C3026" s="236"/>
      <c r="D3026" s="236"/>
    </row>
    <row r="3027" spans="2:4" ht="12.75" customHeight="1" x14ac:dyDescent="0.2">
      <c r="B3027" s="236"/>
      <c r="C3027" s="236"/>
      <c r="D3027" s="236"/>
    </row>
    <row r="3028" spans="2:4" ht="12.75" customHeight="1" x14ac:dyDescent="0.2">
      <c r="B3028" s="236"/>
      <c r="C3028" s="236"/>
      <c r="D3028" s="236"/>
    </row>
    <row r="3029" spans="2:4" ht="12.75" customHeight="1" x14ac:dyDescent="0.2">
      <c r="B3029" s="236"/>
      <c r="C3029" s="236"/>
      <c r="D3029" s="236"/>
    </row>
    <row r="3030" spans="2:4" ht="12.75" customHeight="1" x14ac:dyDescent="0.2">
      <c r="B3030" s="236"/>
      <c r="C3030" s="236"/>
      <c r="D3030" s="236"/>
    </row>
    <row r="3031" spans="2:4" ht="12.75" customHeight="1" x14ac:dyDescent="0.2">
      <c r="B3031" s="236"/>
      <c r="C3031" s="236"/>
      <c r="D3031" s="236"/>
    </row>
    <row r="3032" spans="2:4" ht="12.75" customHeight="1" x14ac:dyDescent="0.2">
      <c r="B3032" s="236"/>
      <c r="C3032" s="236"/>
      <c r="D3032" s="236"/>
    </row>
    <row r="3033" spans="2:4" ht="12.75" customHeight="1" x14ac:dyDescent="0.2">
      <c r="B3033" s="236"/>
      <c r="C3033" s="236"/>
      <c r="D3033" s="236"/>
    </row>
    <row r="3034" spans="2:4" ht="12.75" customHeight="1" x14ac:dyDescent="0.2">
      <c r="B3034" s="236"/>
      <c r="C3034" s="236"/>
      <c r="D3034" s="236"/>
    </row>
    <row r="3035" spans="2:4" ht="12.75" customHeight="1" x14ac:dyDescent="0.2">
      <c r="B3035" s="236"/>
      <c r="C3035" s="236"/>
      <c r="D3035" s="236"/>
    </row>
    <row r="3036" spans="2:4" ht="12.75" customHeight="1" x14ac:dyDescent="0.2">
      <c r="B3036" s="236"/>
      <c r="C3036" s="236"/>
      <c r="D3036" s="236"/>
    </row>
    <row r="3037" spans="2:4" ht="12.75" customHeight="1" x14ac:dyDescent="0.2">
      <c r="B3037" s="236"/>
      <c r="C3037" s="236"/>
      <c r="D3037" s="236"/>
    </row>
    <row r="3038" spans="2:4" ht="12.75" customHeight="1" x14ac:dyDescent="0.2">
      <c r="B3038" s="236"/>
      <c r="C3038" s="236"/>
      <c r="D3038" s="236"/>
    </row>
    <row r="3039" spans="2:4" ht="12.75" customHeight="1" x14ac:dyDescent="0.2">
      <c r="B3039" s="236"/>
      <c r="C3039" s="236"/>
      <c r="D3039" s="236"/>
    </row>
    <row r="3040" spans="2:4" ht="12.75" customHeight="1" x14ac:dyDescent="0.2">
      <c r="B3040" s="236"/>
      <c r="C3040" s="236"/>
      <c r="D3040" s="236"/>
    </row>
    <row r="3041" spans="2:4" ht="12.75" customHeight="1" x14ac:dyDescent="0.2">
      <c r="B3041" s="236"/>
      <c r="C3041" s="236"/>
      <c r="D3041" s="236"/>
    </row>
    <row r="3042" spans="2:4" ht="12.75" customHeight="1" x14ac:dyDescent="0.2">
      <c r="B3042" s="236"/>
      <c r="C3042" s="236"/>
      <c r="D3042" s="236"/>
    </row>
    <row r="3043" spans="2:4" x14ac:dyDescent="0.2">
      <c r="B3043" s="236"/>
      <c r="C3043" s="236"/>
      <c r="D3043" s="236"/>
    </row>
    <row r="3044" spans="2:4" ht="12.75" customHeight="1" x14ac:dyDescent="0.2">
      <c r="B3044" s="236"/>
      <c r="C3044" s="236"/>
      <c r="D3044" s="236"/>
    </row>
    <row r="3045" spans="2:4" ht="12.75" customHeight="1" x14ac:dyDescent="0.2">
      <c r="B3045" s="236"/>
      <c r="C3045" s="236"/>
      <c r="D3045" s="236"/>
    </row>
    <row r="3046" spans="2:4" ht="12.75" customHeight="1" x14ac:dyDescent="0.2">
      <c r="B3046" s="236"/>
      <c r="C3046" s="236"/>
      <c r="D3046" s="236"/>
    </row>
    <row r="3047" spans="2:4" x14ac:dyDescent="0.2">
      <c r="B3047" s="236"/>
      <c r="C3047" s="236"/>
      <c r="D3047" s="236"/>
    </row>
    <row r="3048" spans="2:4" ht="12.75" customHeight="1" x14ac:dyDescent="0.2">
      <c r="B3048" s="236"/>
      <c r="C3048" s="236"/>
      <c r="D3048" s="236"/>
    </row>
    <row r="3049" spans="2:4" ht="12.75" customHeight="1" x14ac:dyDescent="0.2">
      <c r="B3049" s="236"/>
      <c r="C3049" s="236"/>
      <c r="D3049" s="236"/>
    </row>
    <row r="3050" spans="2:4" ht="12.75" customHeight="1" x14ac:dyDescent="0.2">
      <c r="B3050" s="236"/>
      <c r="C3050" s="236"/>
      <c r="D3050" s="236"/>
    </row>
    <row r="3051" spans="2:4" ht="12.75" customHeight="1" x14ac:dyDescent="0.2">
      <c r="B3051" s="236"/>
      <c r="C3051" s="236"/>
      <c r="D3051" s="236"/>
    </row>
    <row r="3052" spans="2:4" ht="12.75" customHeight="1" x14ac:dyDescent="0.2">
      <c r="B3052" s="236"/>
      <c r="C3052" s="236"/>
      <c r="D3052" s="236"/>
    </row>
    <row r="3053" spans="2:4" ht="12.75" customHeight="1" x14ac:dyDescent="0.2">
      <c r="B3053" s="236"/>
      <c r="C3053" s="236"/>
      <c r="D3053" s="236"/>
    </row>
    <row r="3054" spans="2:4" x14ac:dyDescent="0.2">
      <c r="B3054" s="236"/>
      <c r="C3054" s="236"/>
      <c r="D3054" s="236"/>
    </row>
    <row r="3055" spans="2:4" ht="12.75" customHeight="1" x14ac:dyDescent="0.2">
      <c r="B3055" s="236"/>
      <c r="C3055" s="236"/>
      <c r="D3055" s="236"/>
    </row>
    <row r="3056" spans="2:4" x14ac:dyDescent="0.2">
      <c r="B3056" s="236"/>
      <c r="C3056" s="236"/>
      <c r="D3056" s="236"/>
    </row>
    <row r="3057" spans="2:4" ht="12.75" customHeight="1" x14ac:dyDescent="0.2">
      <c r="B3057" s="236"/>
      <c r="C3057" s="236"/>
      <c r="D3057" s="236"/>
    </row>
    <row r="3058" spans="2:4" x14ac:dyDescent="0.2">
      <c r="B3058" s="236"/>
      <c r="C3058" s="236"/>
      <c r="D3058" s="236"/>
    </row>
    <row r="3059" spans="2:4" ht="12.75" customHeight="1" x14ac:dyDescent="0.2">
      <c r="B3059" s="236"/>
      <c r="C3059" s="236"/>
      <c r="D3059" s="236"/>
    </row>
    <row r="3060" spans="2:4" x14ac:dyDescent="0.2">
      <c r="B3060" s="236"/>
      <c r="C3060" s="236"/>
      <c r="D3060" s="236"/>
    </row>
    <row r="3061" spans="2:4" ht="12.75" customHeight="1" x14ac:dyDescent="0.2">
      <c r="B3061" s="236"/>
      <c r="C3061" s="236"/>
      <c r="D3061" s="236"/>
    </row>
    <row r="3062" spans="2:4" ht="12.75" customHeight="1" x14ac:dyDescent="0.2">
      <c r="B3062" s="236"/>
      <c r="C3062" s="236"/>
      <c r="D3062" s="236"/>
    </row>
    <row r="3063" spans="2:4" x14ac:dyDescent="0.2">
      <c r="B3063" s="236"/>
      <c r="C3063" s="236"/>
      <c r="D3063" s="236"/>
    </row>
    <row r="3064" spans="2:4" x14ac:dyDescent="0.2">
      <c r="B3064" s="236"/>
      <c r="C3064" s="236"/>
      <c r="D3064" s="236"/>
    </row>
    <row r="3065" spans="2:4" ht="12.75" customHeight="1" x14ac:dyDescent="0.2">
      <c r="B3065" s="236"/>
      <c r="C3065" s="236"/>
      <c r="D3065" s="236"/>
    </row>
    <row r="3066" spans="2:4" ht="12.75" customHeight="1" x14ac:dyDescent="0.2">
      <c r="B3066" s="236"/>
      <c r="C3066" s="236"/>
      <c r="D3066" s="236"/>
    </row>
    <row r="3067" spans="2:4" x14ac:dyDescent="0.2">
      <c r="B3067" s="236"/>
      <c r="C3067" s="236"/>
      <c r="D3067" s="236"/>
    </row>
    <row r="3068" spans="2:4" ht="12.75" customHeight="1" x14ac:dyDescent="0.2">
      <c r="B3068" s="236"/>
      <c r="C3068" s="236"/>
      <c r="D3068" s="236"/>
    </row>
    <row r="3069" spans="2:4" x14ac:dyDescent="0.2">
      <c r="B3069" s="236"/>
      <c r="C3069" s="236"/>
      <c r="D3069" s="236"/>
    </row>
    <row r="3070" spans="2:4" ht="12.75" customHeight="1" x14ac:dyDescent="0.2">
      <c r="B3070" s="236"/>
      <c r="C3070" s="236"/>
      <c r="D3070" s="236"/>
    </row>
    <row r="3071" spans="2:4" x14ac:dyDescent="0.2">
      <c r="B3071" s="236"/>
      <c r="C3071" s="236"/>
      <c r="D3071" s="236"/>
    </row>
    <row r="3072" spans="2:4" ht="12.75" customHeight="1" x14ac:dyDescent="0.2">
      <c r="B3072" s="236"/>
      <c r="C3072" s="236"/>
      <c r="D3072" s="236"/>
    </row>
    <row r="3073" spans="2:4" ht="12.75" customHeight="1" x14ac:dyDescent="0.2">
      <c r="B3073" s="236"/>
      <c r="C3073" s="236"/>
      <c r="D3073" s="236"/>
    </row>
    <row r="3074" spans="2:4" ht="12.75" customHeight="1" x14ac:dyDescent="0.2">
      <c r="B3074" s="236"/>
      <c r="C3074" s="236"/>
      <c r="D3074" s="236"/>
    </row>
    <row r="3075" spans="2:4" x14ac:dyDescent="0.2">
      <c r="B3075" s="236"/>
      <c r="C3075" s="236"/>
      <c r="D3075" s="236"/>
    </row>
    <row r="3076" spans="2:4" ht="12.75" customHeight="1" x14ac:dyDescent="0.2">
      <c r="B3076" s="236"/>
      <c r="C3076" s="236"/>
      <c r="D3076" s="236"/>
    </row>
    <row r="3077" spans="2:4" ht="12.75" customHeight="1" x14ac:dyDescent="0.2">
      <c r="B3077" s="236"/>
      <c r="C3077" s="236"/>
      <c r="D3077" s="236"/>
    </row>
    <row r="3078" spans="2:4" x14ac:dyDescent="0.2">
      <c r="B3078" s="236"/>
      <c r="C3078" s="236"/>
      <c r="D3078" s="236"/>
    </row>
    <row r="3079" spans="2:4" ht="12.75" customHeight="1" x14ac:dyDescent="0.2">
      <c r="B3079" s="236"/>
      <c r="C3079" s="236"/>
      <c r="D3079" s="236"/>
    </row>
    <row r="3080" spans="2:4" ht="12.75" customHeight="1" x14ac:dyDescent="0.2">
      <c r="B3080" s="236"/>
      <c r="C3080" s="236"/>
      <c r="D3080" s="236"/>
    </row>
    <row r="3081" spans="2:4" ht="12.75" customHeight="1" x14ac:dyDescent="0.2">
      <c r="B3081" s="236"/>
      <c r="C3081" s="236"/>
      <c r="D3081" s="236"/>
    </row>
    <row r="3082" spans="2:4" x14ac:dyDescent="0.2">
      <c r="B3082" s="236"/>
      <c r="C3082" s="236"/>
      <c r="D3082" s="236"/>
    </row>
    <row r="3083" spans="2:4" x14ac:dyDescent="0.2">
      <c r="B3083" s="236"/>
      <c r="C3083" s="236"/>
      <c r="D3083" s="236"/>
    </row>
    <row r="3084" spans="2:4" ht="12.75" customHeight="1" x14ac:dyDescent="0.2">
      <c r="B3084" s="236"/>
      <c r="C3084" s="236"/>
      <c r="D3084" s="236"/>
    </row>
    <row r="3085" spans="2:4" x14ac:dyDescent="0.2">
      <c r="B3085" s="236"/>
      <c r="C3085" s="236"/>
      <c r="D3085" s="236"/>
    </row>
    <row r="3086" spans="2:4" ht="12.75" customHeight="1" x14ac:dyDescent="0.2">
      <c r="B3086" s="236"/>
      <c r="C3086" s="236"/>
      <c r="D3086" s="236"/>
    </row>
    <row r="3087" spans="2:4" ht="12.75" customHeight="1" x14ac:dyDescent="0.2">
      <c r="B3087" s="236"/>
      <c r="C3087" s="236"/>
      <c r="D3087" s="236"/>
    </row>
    <row r="3088" spans="2:4" ht="12.75" customHeight="1" x14ac:dyDescent="0.2">
      <c r="B3088" s="236"/>
      <c r="C3088" s="236"/>
      <c r="D3088" s="236"/>
    </row>
    <row r="3089" spans="2:4" ht="12.75" customHeight="1" x14ac:dyDescent="0.2">
      <c r="B3089" s="236"/>
      <c r="C3089" s="236"/>
      <c r="D3089" s="236"/>
    </row>
    <row r="3090" spans="2:4" ht="12.75" customHeight="1" x14ac:dyDescent="0.2">
      <c r="B3090" s="236"/>
      <c r="C3090" s="236"/>
      <c r="D3090" s="236"/>
    </row>
    <row r="3091" spans="2:4" ht="12.75" customHeight="1" x14ac:dyDescent="0.2">
      <c r="B3091" s="236"/>
      <c r="C3091" s="236"/>
      <c r="D3091" s="236"/>
    </row>
    <row r="3092" spans="2:4" ht="12.75" customHeight="1" x14ac:dyDescent="0.2">
      <c r="B3092" s="236"/>
      <c r="C3092" s="236"/>
      <c r="D3092" s="236"/>
    </row>
    <row r="3093" spans="2:4" ht="12.75" customHeight="1" x14ac:dyDescent="0.2">
      <c r="B3093" s="236"/>
      <c r="C3093" s="236"/>
      <c r="D3093" s="236"/>
    </row>
    <row r="3094" spans="2:4" ht="12.75" customHeight="1" x14ac:dyDescent="0.2">
      <c r="B3094" s="236"/>
      <c r="C3094" s="236"/>
      <c r="D3094" s="236"/>
    </row>
    <row r="3095" spans="2:4" ht="12.75" customHeight="1" x14ac:dyDescent="0.2">
      <c r="B3095" s="236"/>
      <c r="C3095" s="236"/>
      <c r="D3095" s="236"/>
    </row>
    <row r="3096" spans="2:4" ht="12.75" customHeight="1" x14ac:dyDescent="0.2">
      <c r="B3096" s="236"/>
      <c r="C3096" s="236"/>
      <c r="D3096" s="236"/>
    </row>
    <row r="3097" spans="2:4" ht="12.75" customHeight="1" x14ac:dyDescent="0.2">
      <c r="B3097" s="236"/>
      <c r="C3097" s="236"/>
      <c r="D3097" s="236"/>
    </row>
    <row r="3098" spans="2:4" x14ac:dyDescent="0.2">
      <c r="B3098" s="236"/>
      <c r="C3098" s="236"/>
      <c r="D3098" s="236"/>
    </row>
    <row r="3099" spans="2:4" ht="12.75" customHeight="1" x14ac:dyDescent="0.2">
      <c r="B3099" s="236"/>
      <c r="C3099" s="236"/>
      <c r="D3099" s="236"/>
    </row>
    <row r="3100" spans="2:4" x14ac:dyDescent="0.2">
      <c r="B3100" s="236"/>
      <c r="C3100" s="236"/>
      <c r="D3100" s="236"/>
    </row>
    <row r="3101" spans="2:4" ht="12.75" customHeight="1" x14ac:dyDescent="0.2">
      <c r="B3101" s="236"/>
      <c r="C3101" s="236"/>
      <c r="D3101" s="236"/>
    </row>
    <row r="3102" spans="2:4" x14ac:dyDescent="0.2">
      <c r="B3102" s="236"/>
      <c r="C3102" s="236"/>
      <c r="D3102" s="236"/>
    </row>
    <row r="3103" spans="2:4" ht="12.75" customHeight="1" x14ac:dyDescent="0.2">
      <c r="B3103" s="236"/>
      <c r="C3103" s="236"/>
      <c r="D3103" s="236"/>
    </row>
    <row r="3104" spans="2:4" ht="12.75" customHeight="1" x14ac:dyDescent="0.2">
      <c r="B3104" s="236"/>
      <c r="C3104" s="236"/>
      <c r="D3104" s="236"/>
    </row>
    <row r="3105" spans="2:4" ht="12.75" customHeight="1" x14ac:dyDescent="0.2">
      <c r="B3105" s="236"/>
      <c r="C3105" s="236"/>
      <c r="D3105" s="236"/>
    </row>
    <row r="3106" spans="2:4" ht="12.75" customHeight="1" x14ac:dyDescent="0.2">
      <c r="B3106" s="236"/>
      <c r="C3106" s="236"/>
      <c r="D3106" s="236"/>
    </row>
    <row r="3107" spans="2:4" ht="12.75" customHeight="1" x14ac:dyDescent="0.2">
      <c r="B3107" s="236"/>
      <c r="C3107" s="236"/>
      <c r="D3107" s="236"/>
    </row>
    <row r="3108" spans="2:4" ht="12.75" customHeight="1" x14ac:dyDescent="0.2">
      <c r="B3108" s="236"/>
      <c r="C3108" s="236"/>
      <c r="D3108" s="236"/>
    </row>
    <row r="3109" spans="2:4" ht="12.75" customHeight="1" x14ac:dyDescent="0.2">
      <c r="B3109" s="236"/>
      <c r="C3109" s="236"/>
      <c r="D3109" s="236"/>
    </row>
    <row r="3110" spans="2:4" ht="12.75" customHeight="1" x14ac:dyDescent="0.2">
      <c r="B3110" s="236"/>
      <c r="C3110" s="236"/>
      <c r="D3110" s="236"/>
    </row>
    <row r="3111" spans="2:4" ht="12.75" customHeight="1" x14ac:dyDescent="0.2">
      <c r="B3111" s="236"/>
      <c r="C3111" s="236"/>
      <c r="D3111" s="236"/>
    </row>
    <row r="3112" spans="2:4" ht="12.75" customHeight="1" x14ac:dyDescent="0.2">
      <c r="B3112" s="236"/>
      <c r="C3112" s="236"/>
      <c r="D3112" s="236"/>
    </row>
    <row r="3113" spans="2:4" ht="12.75" customHeight="1" x14ac:dyDescent="0.2">
      <c r="B3113" s="236"/>
      <c r="C3113" s="236"/>
      <c r="D3113" s="236"/>
    </row>
    <row r="3114" spans="2:4" ht="12.75" customHeight="1" x14ac:dyDescent="0.2">
      <c r="B3114" s="236"/>
      <c r="C3114" s="236"/>
      <c r="D3114" s="236"/>
    </row>
    <row r="3115" spans="2:4" ht="12.75" customHeight="1" x14ac:dyDescent="0.2">
      <c r="B3115" s="236"/>
      <c r="C3115" s="236"/>
      <c r="D3115" s="236"/>
    </row>
    <row r="3116" spans="2:4" ht="12.75" customHeight="1" x14ac:dyDescent="0.2">
      <c r="B3116" s="236"/>
      <c r="C3116" s="236"/>
      <c r="D3116" s="236"/>
    </row>
    <row r="3117" spans="2:4" ht="12.75" customHeight="1" x14ac:dyDescent="0.2">
      <c r="B3117" s="236"/>
      <c r="C3117" s="236"/>
      <c r="D3117" s="236"/>
    </row>
    <row r="3118" spans="2:4" ht="12.75" customHeight="1" x14ac:dyDescent="0.2">
      <c r="B3118" s="236"/>
      <c r="C3118" s="236"/>
      <c r="D3118" s="236"/>
    </row>
    <row r="3119" spans="2:4" ht="12.75" customHeight="1" x14ac:dyDescent="0.2">
      <c r="B3119" s="236"/>
      <c r="C3119" s="236"/>
      <c r="D3119" s="236"/>
    </row>
    <row r="3120" spans="2:4" x14ac:dyDescent="0.2">
      <c r="B3120" s="236"/>
      <c r="C3120" s="236"/>
      <c r="D3120" s="236"/>
    </row>
    <row r="3121" spans="2:4" ht="12.75" customHeight="1" x14ac:dyDescent="0.2">
      <c r="B3121" s="236"/>
      <c r="C3121" s="236"/>
      <c r="D3121" s="236"/>
    </row>
    <row r="3122" spans="2:4" ht="12.75" customHeight="1" x14ac:dyDescent="0.2">
      <c r="B3122" s="236"/>
      <c r="C3122" s="236"/>
      <c r="D3122" s="236"/>
    </row>
    <row r="3123" spans="2:4" x14ac:dyDescent="0.2">
      <c r="B3123" s="236"/>
      <c r="C3123" s="236"/>
      <c r="D3123" s="236"/>
    </row>
    <row r="3124" spans="2:4" ht="12.75" customHeight="1" x14ac:dyDescent="0.2">
      <c r="B3124" s="236"/>
      <c r="C3124" s="236"/>
      <c r="D3124" s="236"/>
    </row>
    <row r="3125" spans="2:4" x14ac:dyDescent="0.2">
      <c r="B3125" s="236"/>
      <c r="C3125" s="236"/>
      <c r="D3125" s="236"/>
    </row>
    <row r="3126" spans="2:4" ht="12.75" customHeight="1" x14ac:dyDescent="0.2">
      <c r="B3126" s="236"/>
      <c r="C3126" s="236"/>
      <c r="D3126" s="236"/>
    </row>
    <row r="3127" spans="2:4" x14ac:dyDescent="0.2">
      <c r="B3127" s="236"/>
      <c r="C3127" s="236"/>
      <c r="D3127" s="236"/>
    </row>
    <row r="3128" spans="2:4" ht="12.75" customHeight="1" x14ac:dyDescent="0.2">
      <c r="B3128" s="236"/>
      <c r="C3128" s="236"/>
      <c r="D3128" s="236"/>
    </row>
    <row r="3129" spans="2:4" x14ac:dyDescent="0.2">
      <c r="B3129" s="236"/>
      <c r="C3129" s="236"/>
      <c r="D3129" s="236"/>
    </row>
    <row r="3130" spans="2:4" ht="12.75" customHeight="1" x14ac:dyDescent="0.2">
      <c r="B3130" s="236"/>
      <c r="C3130" s="236"/>
      <c r="D3130" s="236"/>
    </row>
    <row r="3131" spans="2:4" ht="12.75" customHeight="1" x14ac:dyDescent="0.2">
      <c r="B3131" s="236"/>
      <c r="C3131" s="236"/>
      <c r="D3131" s="236"/>
    </row>
    <row r="3132" spans="2:4" ht="12.75" customHeight="1" x14ac:dyDescent="0.2">
      <c r="B3132" s="236"/>
      <c r="C3132" s="236"/>
      <c r="D3132" s="236"/>
    </row>
    <row r="3133" spans="2:4" ht="12.75" customHeight="1" x14ac:dyDescent="0.2">
      <c r="B3133" s="236"/>
      <c r="C3133" s="236"/>
      <c r="D3133" s="236"/>
    </row>
    <row r="3134" spans="2:4" x14ac:dyDescent="0.2">
      <c r="B3134" s="236"/>
      <c r="C3134" s="236"/>
      <c r="D3134" s="236"/>
    </row>
    <row r="3135" spans="2:4" ht="12.75" customHeight="1" x14ac:dyDescent="0.2">
      <c r="B3135" s="236"/>
      <c r="C3135" s="236"/>
      <c r="D3135" s="236"/>
    </row>
    <row r="3136" spans="2:4" ht="12.75" customHeight="1" x14ac:dyDescent="0.2">
      <c r="B3136" s="236"/>
      <c r="C3136" s="236"/>
      <c r="D3136" s="236"/>
    </row>
    <row r="3137" spans="2:4" ht="12.75" customHeight="1" x14ac:dyDescent="0.2">
      <c r="B3137" s="236"/>
      <c r="C3137" s="236"/>
      <c r="D3137" s="236"/>
    </row>
    <row r="3138" spans="2:4" ht="12.75" customHeight="1" x14ac:dyDescent="0.2">
      <c r="B3138" s="236"/>
      <c r="C3138" s="236"/>
      <c r="D3138" s="236"/>
    </row>
    <row r="3139" spans="2:4" ht="12.75" customHeight="1" x14ac:dyDescent="0.2">
      <c r="B3139" s="236"/>
      <c r="C3139" s="236"/>
      <c r="D3139" s="236"/>
    </row>
    <row r="3140" spans="2:4" ht="12.75" customHeight="1" x14ac:dyDescent="0.2">
      <c r="B3140" s="236"/>
      <c r="C3140" s="236"/>
      <c r="D3140" s="236"/>
    </row>
    <row r="3141" spans="2:4" ht="12.75" customHeight="1" x14ac:dyDescent="0.2">
      <c r="B3141" s="236"/>
      <c r="C3141" s="236"/>
      <c r="D3141" s="236"/>
    </row>
    <row r="3142" spans="2:4" ht="12.75" customHeight="1" x14ac:dyDescent="0.2">
      <c r="B3142" s="236"/>
      <c r="C3142" s="236"/>
      <c r="D3142" s="236"/>
    </row>
    <row r="3143" spans="2:4" ht="12.75" customHeight="1" x14ac:dyDescent="0.2">
      <c r="B3143" s="236"/>
      <c r="C3143" s="236"/>
      <c r="D3143" s="236"/>
    </row>
    <row r="3144" spans="2:4" ht="12.75" customHeight="1" x14ac:dyDescent="0.2">
      <c r="B3144" s="236"/>
      <c r="C3144" s="236"/>
      <c r="D3144" s="236"/>
    </row>
    <row r="3145" spans="2:4" ht="12.75" customHeight="1" x14ac:dyDescent="0.2">
      <c r="B3145" s="236"/>
      <c r="C3145" s="236"/>
      <c r="D3145" s="236"/>
    </row>
    <row r="3146" spans="2:4" ht="12.75" customHeight="1" x14ac:dyDescent="0.2">
      <c r="B3146" s="236"/>
      <c r="C3146" s="236"/>
      <c r="D3146" s="236"/>
    </row>
    <row r="3147" spans="2:4" ht="12.75" customHeight="1" x14ac:dyDescent="0.2">
      <c r="B3147" s="236"/>
      <c r="C3147" s="236"/>
      <c r="D3147" s="236"/>
    </row>
    <row r="3148" spans="2:4" ht="12.75" customHeight="1" x14ac:dyDescent="0.2">
      <c r="B3148" s="236"/>
      <c r="C3148" s="236"/>
      <c r="D3148" s="236"/>
    </row>
    <row r="3149" spans="2:4" ht="12.75" customHeight="1" x14ac:dyDescent="0.2">
      <c r="B3149" s="236"/>
      <c r="C3149" s="236"/>
      <c r="D3149" s="236"/>
    </row>
    <row r="3150" spans="2:4" ht="12.75" customHeight="1" x14ac:dyDescent="0.2">
      <c r="B3150" s="236"/>
      <c r="C3150" s="236"/>
      <c r="D3150" s="236"/>
    </row>
    <row r="3151" spans="2:4" ht="12.75" customHeight="1" x14ac:dyDescent="0.2">
      <c r="B3151" s="236"/>
      <c r="C3151" s="236"/>
      <c r="D3151" s="236"/>
    </row>
    <row r="3152" spans="2:4" ht="12.75" customHeight="1" x14ac:dyDescent="0.2">
      <c r="B3152" s="236"/>
      <c r="C3152" s="236"/>
      <c r="D3152" s="236"/>
    </row>
    <row r="3153" spans="2:4" ht="12.75" customHeight="1" x14ac:dyDescent="0.2">
      <c r="B3153" s="236"/>
      <c r="C3153" s="236"/>
      <c r="D3153" s="236"/>
    </row>
    <row r="3154" spans="2:4" x14ac:dyDescent="0.2">
      <c r="B3154" s="236"/>
      <c r="C3154" s="236"/>
      <c r="D3154" s="236"/>
    </row>
    <row r="3155" spans="2:4" x14ac:dyDescent="0.2">
      <c r="B3155" s="236"/>
      <c r="C3155" s="236"/>
      <c r="D3155" s="236"/>
    </row>
    <row r="3156" spans="2:4" ht="12.75" customHeight="1" x14ac:dyDescent="0.2">
      <c r="B3156" s="236"/>
      <c r="C3156" s="236"/>
      <c r="D3156" s="236"/>
    </row>
    <row r="3157" spans="2:4" ht="12.75" customHeight="1" x14ac:dyDescent="0.2">
      <c r="B3157" s="236"/>
      <c r="C3157" s="236"/>
      <c r="D3157" s="236"/>
    </row>
    <row r="3158" spans="2:4" ht="12.75" customHeight="1" x14ac:dyDescent="0.2">
      <c r="B3158" s="236"/>
      <c r="C3158" s="236"/>
      <c r="D3158" s="236"/>
    </row>
    <row r="3159" spans="2:4" ht="12.75" customHeight="1" x14ac:dyDescent="0.2">
      <c r="B3159" s="236"/>
      <c r="C3159" s="236"/>
      <c r="D3159" s="236"/>
    </row>
    <row r="3160" spans="2:4" ht="12.75" customHeight="1" x14ac:dyDescent="0.2">
      <c r="B3160" s="236"/>
      <c r="C3160" s="236"/>
      <c r="D3160" s="236"/>
    </row>
    <row r="3161" spans="2:4" ht="12.75" customHeight="1" x14ac:dyDescent="0.2">
      <c r="B3161" s="236"/>
      <c r="C3161" s="236"/>
      <c r="D3161" s="236"/>
    </row>
    <row r="3162" spans="2:4" ht="12.75" customHeight="1" x14ac:dyDescent="0.2">
      <c r="B3162" s="236"/>
      <c r="C3162" s="236"/>
      <c r="D3162" s="236"/>
    </row>
    <row r="3163" spans="2:4" ht="12.75" customHeight="1" x14ac:dyDescent="0.2">
      <c r="B3163" s="236"/>
      <c r="C3163" s="236"/>
      <c r="D3163" s="236"/>
    </row>
    <row r="3164" spans="2:4" ht="12.75" customHeight="1" x14ac:dyDescent="0.2">
      <c r="B3164" s="236"/>
      <c r="C3164" s="236"/>
      <c r="D3164" s="236"/>
    </row>
    <row r="3165" spans="2:4" ht="12.75" customHeight="1" x14ac:dyDescent="0.2">
      <c r="B3165" s="236"/>
      <c r="C3165" s="236"/>
      <c r="D3165" s="236"/>
    </row>
    <row r="3166" spans="2:4" ht="12.75" customHeight="1" x14ac:dyDescent="0.2">
      <c r="B3166" s="236"/>
      <c r="C3166" s="236"/>
      <c r="D3166" s="236"/>
    </row>
    <row r="3167" spans="2:4" ht="12.75" customHeight="1" x14ac:dyDescent="0.2">
      <c r="B3167" s="236"/>
      <c r="C3167" s="236"/>
      <c r="D3167" s="236"/>
    </row>
    <row r="3168" spans="2:4" x14ac:dyDescent="0.2">
      <c r="B3168" s="236"/>
      <c r="C3168" s="236"/>
      <c r="D3168" s="236"/>
    </row>
    <row r="3169" spans="2:4" ht="12.75" customHeight="1" x14ac:dyDescent="0.2">
      <c r="B3169" s="236"/>
      <c r="C3169" s="236"/>
      <c r="D3169" s="236"/>
    </row>
    <row r="3170" spans="2:4" ht="12.75" customHeight="1" x14ac:dyDescent="0.2">
      <c r="B3170" s="236"/>
      <c r="C3170" s="236"/>
      <c r="D3170" s="236"/>
    </row>
    <row r="3171" spans="2:4" ht="12.75" customHeight="1" x14ac:dyDescent="0.2">
      <c r="B3171" s="236"/>
      <c r="C3171" s="236"/>
      <c r="D3171" s="236"/>
    </row>
    <row r="3172" spans="2:4" ht="12.75" customHeight="1" x14ac:dyDescent="0.2">
      <c r="B3172" s="236"/>
      <c r="C3172" s="236"/>
      <c r="D3172" s="236"/>
    </row>
    <row r="3173" spans="2:4" ht="12.75" customHeight="1" x14ac:dyDescent="0.2">
      <c r="B3173" s="236"/>
      <c r="C3173" s="236"/>
      <c r="D3173" s="236"/>
    </row>
    <row r="3174" spans="2:4" ht="12.75" customHeight="1" x14ac:dyDescent="0.2">
      <c r="B3174" s="236"/>
      <c r="C3174" s="236"/>
      <c r="D3174" s="236"/>
    </row>
    <row r="3175" spans="2:4" ht="12.75" customHeight="1" x14ac:dyDescent="0.2">
      <c r="B3175" s="236"/>
      <c r="C3175" s="236"/>
      <c r="D3175" s="236"/>
    </row>
    <row r="3176" spans="2:4" ht="12.75" customHeight="1" x14ac:dyDescent="0.2">
      <c r="B3176" s="236"/>
      <c r="C3176" s="236"/>
      <c r="D3176" s="236"/>
    </row>
    <row r="3177" spans="2:4" x14ac:dyDescent="0.2">
      <c r="B3177" s="236"/>
      <c r="C3177" s="236"/>
      <c r="D3177" s="236"/>
    </row>
    <row r="3178" spans="2:4" ht="12.75" customHeight="1" x14ac:dyDescent="0.2">
      <c r="B3178" s="236"/>
      <c r="C3178" s="236"/>
      <c r="D3178" s="236"/>
    </row>
    <row r="3179" spans="2:4" x14ac:dyDescent="0.2">
      <c r="B3179" s="236"/>
      <c r="C3179" s="236"/>
      <c r="D3179" s="236"/>
    </row>
    <row r="3180" spans="2:4" ht="12.75" customHeight="1" x14ac:dyDescent="0.2">
      <c r="B3180" s="236"/>
      <c r="C3180" s="236"/>
      <c r="D3180" s="236"/>
    </row>
    <row r="3181" spans="2:4" x14ac:dyDescent="0.2">
      <c r="B3181" s="236"/>
      <c r="C3181" s="236"/>
      <c r="D3181" s="236"/>
    </row>
    <row r="3182" spans="2:4" x14ac:dyDescent="0.2">
      <c r="B3182" s="236"/>
      <c r="C3182" s="236"/>
      <c r="D3182" s="236"/>
    </row>
    <row r="3183" spans="2:4" ht="12.75" customHeight="1" x14ac:dyDescent="0.2">
      <c r="B3183" s="236"/>
      <c r="C3183" s="236"/>
      <c r="D3183" s="236"/>
    </row>
    <row r="3184" spans="2:4" ht="12.75" customHeight="1" x14ac:dyDescent="0.2">
      <c r="B3184" s="236"/>
      <c r="C3184" s="236"/>
      <c r="D3184" s="236"/>
    </row>
    <row r="3185" spans="2:4" ht="12.75" customHeight="1" x14ac:dyDescent="0.2">
      <c r="B3185" s="236"/>
      <c r="C3185" s="236"/>
      <c r="D3185" s="236"/>
    </row>
    <row r="3186" spans="2:4" ht="12.75" customHeight="1" x14ac:dyDescent="0.2">
      <c r="B3186" s="236"/>
      <c r="C3186" s="236"/>
      <c r="D3186" s="236"/>
    </row>
    <row r="3187" spans="2:4" ht="12.75" customHeight="1" x14ac:dyDescent="0.2">
      <c r="B3187" s="236"/>
      <c r="C3187" s="236"/>
      <c r="D3187" s="236"/>
    </row>
    <row r="3188" spans="2:4" ht="12.75" customHeight="1" x14ac:dyDescent="0.2">
      <c r="B3188" s="236"/>
      <c r="C3188" s="236"/>
      <c r="D3188" s="236"/>
    </row>
    <row r="3189" spans="2:4" ht="12.75" customHeight="1" x14ac:dyDescent="0.2">
      <c r="B3189" s="236"/>
      <c r="C3189" s="236"/>
      <c r="D3189" s="236"/>
    </row>
    <row r="3190" spans="2:4" ht="12.75" customHeight="1" x14ac:dyDescent="0.2">
      <c r="B3190" s="236"/>
      <c r="C3190" s="236"/>
      <c r="D3190" s="236"/>
    </row>
    <row r="3191" spans="2:4" ht="12.75" customHeight="1" x14ac:dyDescent="0.2">
      <c r="B3191" s="236"/>
      <c r="C3191" s="236"/>
      <c r="D3191" s="236"/>
    </row>
    <row r="3192" spans="2:4" x14ac:dyDescent="0.2">
      <c r="B3192" s="236"/>
      <c r="C3192" s="236"/>
      <c r="D3192" s="236"/>
    </row>
    <row r="3193" spans="2:4" ht="12.75" customHeight="1" x14ac:dyDescent="0.2">
      <c r="B3193" s="236"/>
      <c r="C3193" s="236"/>
      <c r="D3193" s="236"/>
    </row>
    <row r="3194" spans="2:4" x14ac:dyDescent="0.2">
      <c r="B3194" s="236"/>
      <c r="C3194" s="236"/>
      <c r="D3194" s="236"/>
    </row>
    <row r="3195" spans="2:4" ht="12.75" customHeight="1" x14ac:dyDescent="0.2">
      <c r="B3195" s="236"/>
      <c r="C3195" s="236"/>
      <c r="D3195" s="236"/>
    </row>
    <row r="3196" spans="2:4" x14ac:dyDescent="0.2">
      <c r="B3196" s="236"/>
      <c r="C3196" s="236"/>
      <c r="D3196" s="236"/>
    </row>
    <row r="3197" spans="2:4" x14ac:dyDescent="0.2">
      <c r="B3197" s="236"/>
      <c r="C3197" s="236"/>
      <c r="D3197" s="236"/>
    </row>
    <row r="3198" spans="2:4" ht="12.75" customHeight="1" x14ac:dyDescent="0.2">
      <c r="B3198" s="236"/>
      <c r="C3198" s="236"/>
      <c r="D3198" s="236"/>
    </row>
    <row r="3199" spans="2:4" ht="12.75" customHeight="1" x14ac:dyDescent="0.2">
      <c r="B3199" s="236"/>
      <c r="C3199" s="236"/>
      <c r="D3199" s="236"/>
    </row>
    <row r="3200" spans="2:4" ht="12.75" customHeight="1" x14ac:dyDescent="0.2">
      <c r="B3200" s="236"/>
      <c r="C3200" s="236"/>
      <c r="D3200" s="236"/>
    </row>
    <row r="3201" spans="2:4" ht="12.75" customHeight="1" x14ac:dyDescent="0.2">
      <c r="B3201" s="236"/>
      <c r="C3201" s="236"/>
      <c r="D3201" s="236"/>
    </row>
    <row r="3202" spans="2:4" x14ac:dyDescent="0.2">
      <c r="B3202" s="236"/>
      <c r="C3202" s="236"/>
      <c r="D3202" s="236"/>
    </row>
    <row r="3203" spans="2:4" ht="12.75" customHeight="1" x14ac:dyDescent="0.2">
      <c r="B3203" s="236"/>
      <c r="C3203" s="236"/>
      <c r="D3203" s="236"/>
    </row>
    <row r="3204" spans="2:4" ht="12.75" customHeight="1" x14ac:dyDescent="0.2">
      <c r="B3204" s="236"/>
      <c r="C3204" s="236"/>
      <c r="D3204" s="236"/>
    </row>
    <row r="3205" spans="2:4" ht="12.75" customHeight="1" x14ac:dyDescent="0.2">
      <c r="B3205" s="236"/>
      <c r="C3205" s="236"/>
      <c r="D3205" s="236"/>
    </row>
    <row r="3206" spans="2:4" ht="12.75" customHeight="1" x14ac:dyDescent="0.2">
      <c r="B3206" s="236"/>
      <c r="C3206" s="236"/>
      <c r="D3206" s="236"/>
    </row>
    <row r="3207" spans="2:4" ht="12.75" customHeight="1" x14ac:dyDescent="0.2">
      <c r="B3207" s="236"/>
      <c r="C3207" s="236"/>
      <c r="D3207" s="236"/>
    </row>
    <row r="3208" spans="2:4" ht="12.75" customHeight="1" x14ac:dyDescent="0.2">
      <c r="B3208" s="236"/>
      <c r="C3208" s="236"/>
      <c r="D3208" s="236"/>
    </row>
    <row r="3209" spans="2:4" ht="12.75" customHeight="1" x14ac:dyDescent="0.2">
      <c r="B3209" s="236"/>
      <c r="C3209" s="236"/>
      <c r="D3209" s="236"/>
    </row>
    <row r="3210" spans="2:4" ht="12.75" customHeight="1" x14ac:dyDescent="0.2">
      <c r="B3210" s="236"/>
      <c r="C3210" s="236"/>
      <c r="D3210" s="236"/>
    </row>
    <row r="3211" spans="2:4" ht="12.75" customHeight="1" x14ac:dyDescent="0.2">
      <c r="B3211" s="236"/>
      <c r="C3211" s="236"/>
      <c r="D3211" s="236"/>
    </row>
    <row r="3212" spans="2:4" ht="12.75" customHeight="1" x14ac:dyDescent="0.2">
      <c r="B3212" s="236"/>
      <c r="C3212" s="236"/>
      <c r="D3212" s="236"/>
    </row>
    <row r="3213" spans="2:4" ht="12.75" customHeight="1" x14ac:dyDescent="0.2">
      <c r="B3213" s="236"/>
      <c r="C3213" s="236"/>
      <c r="D3213" s="236"/>
    </row>
    <row r="3214" spans="2:4" ht="12.75" customHeight="1" x14ac:dyDescent="0.2">
      <c r="B3214" s="236"/>
      <c r="C3214" s="236"/>
      <c r="D3214" s="236"/>
    </row>
    <row r="3215" spans="2:4" ht="12.75" customHeight="1" x14ac:dyDescent="0.2">
      <c r="B3215" s="236"/>
      <c r="C3215" s="236"/>
      <c r="D3215" s="236"/>
    </row>
    <row r="3216" spans="2:4" ht="12.75" customHeight="1" x14ac:dyDescent="0.2">
      <c r="B3216" s="236"/>
      <c r="C3216" s="236"/>
      <c r="D3216" s="236"/>
    </row>
    <row r="3217" spans="2:4" x14ac:dyDescent="0.2">
      <c r="B3217" s="236"/>
      <c r="C3217" s="236"/>
      <c r="D3217" s="236"/>
    </row>
    <row r="3218" spans="2:4" ht="12.75" customHeight="1" x14ac:dyDescent="0.2">
      <c r="B3218" s="236"/>
      <c r="C3218" s="236"/>
      <c r="D3218" s="236"/>
    </row>
    <row r="3219" spans="2:4" x14ac:dyDescent="0.2">
      <c r="B3219" s="236"/>
      <c r="C3219" s="236"/>
      <c r="D3219" s="236"/>
    </row>
    <row r="3220" spans="2:4" x14ac:dyDescent="0.2">
      <c r="B3220" s="236"/>
      <c r="C3220" s="236"/>
      <c r="D3220" s="236"/>
    </row>
    <row r="3221" spans="2:4" x14ac:dyDescent="0.2">
      <c r="B3221" s="236"/>
      <c r="C3221" s="236"/>
      <c r="D3221" s="236"/>
    </row>
    <row r="3222" spans="2:4" ht="12.75" customHeight="1" x14ac:dyDescent="0.2">
      <c r="B3222" s="236"/>
      <c r="C3222" s="236"/>
      <c r="D3222" s="236"/>
    </row>
    <row r="3223" spans="2:4" x14ac:dyDescent="0.2">
      <c r="B3223" s="236"/>
      <c r="C3223" s="236"/>
      <c r="D3223" s="236"/>
    </row>
    <row r="3224" spans="2:4" ht="12.75" customHeight="1" x14ac:dyDescent="0.2">
      <c r="B3224" s="236"/>
      <c r="C3224" s="236"/>
      <c r="D3224" s="236"/>
    </row>
    <row r="3225" spans="2:4" ht="12.75" customHeight="1" x14ac:dyDescent="0.2">
      <c r="B3225" s="236"/>
      <c r="C3225" s="236"/>
      <c r="D3225" s="236"/>
    </row>
    <row r="3226" spans="2:4" x14ac:dyDescent="0.2">
      <c r="B3226" s="236"/>
      <c r="C3226" s="236"/>
      <c r="D3226" s="236"/>
    </row>
    <row r="3227" spans="2:4" ht="12.75" customHeight="1" x14ac:dyDescent="0.2">
      <c r="B3227" s="236"/>
      <c r="C3227" s="236"/>
      <c r="D3227" s="236"/>
    </row>
    <row r="3228" spans="2:4" ht="12.75" customHeight="1" x14ac:dyDescent="0.2">
      <c r="B3228" s="236"/>
      <c r="C3228" s="236"/>
      <c r="D3228" s="236"/>
    </row>
    <row r="3229" spans="2:4" ht="12.75" customHeight="1" x14ac:dyDescent="0.2">
      <c r="B3229" s="236"/>
      <c r="C3229" s="236"/>
      <c r="D3229" s="236"/>
    </row>
    <row r="3230" spans="2:4" x14ac:dyDescent="0.2">
      <c r="B3230" s="236"/>
      <c r="C3230" s="236"/>
      <c r="D3230" s="236"/>
    </row>
    <row r="3231" spans="2:4" ht="12.75" customHeight="1" x14ac:dyDescent="0.2">
      <c r="B3231" s="236"/>
      <c r="C3231" s="236"/>
      <c r="D3231" s="236"/>
    </row>
    <row r="3232" spans="2:4" ht="12.75" customHeight="1" x14ac:dyDescent="0.2">
      <c r="B3232" s="236"/>
      <c r="C3232" s="236"/>
      <c r="D3232" s="236"/>
    </row>
    <row r="3233" spans="2:4" ht="12.75" customHeight="1" x14ac:dyDescent="0.2">
      <c r="B3233" s="236"/>
      <c r="C3233" s="236"/>
      <c r="D3233" s="236"/>
    </row>
    <row r="3234" spans="2:4" ht="12.75" customHeight="1" x14ac:dyDescent="0.2">
      <c r="B3234" s="236"/>
      <c r="C3234" s="236"/>
      <c r="D3234" s="236"/>
    </row>
    <row r="3235" spans="2:4" ht="12.75" customHeight="1" x14ac:dyDescent="0.2">
      <c r="B3235" s="236"/>
      <c r="C3235" s="236"/>
      <c r="D3235" s="236"/>
    </row>
    <row r="3236" spans="2:4" ht="12.75" customHeight="1" x14ac:dyDescent="0.2">
      <c r="B3236" s="236"/>
      <c r="C3236" s="236"/>
      <c r="D3236" s="236"/>
    </row>
    <row r="3237" spans="2:4" ht="12.75" customHeight="1" x14ac:dyDescent="0.2">
      <c r="B3237" s="236"/>
      <c r="C3237" s="236"/>
      <c r="D3237" s="236"/>
    </row>
    <row r="3238" spans="2:4" ht="12.75" customHeight="1" x14ac:dyDescent="0.2">
      <c r="B3238" s="236"/>
      <c r="C3238" s="236"/>
      <c r="D3238" s="236"/>
    </row>
    <row r="3239" spans="2:4" ht="12.75" customHeight="1" x14ac:dyDescent="0.2">
      <c r="B3239" s="236"/>
      <c r="C3239" s="236"/>
      <c r="D3239" s="236"/>
    </row>
    <row r="3240" spans="2:4" ht="12.75" customHeight="1" x14ac:dyDescent="0.2">
      <c r="B3240" s="236"/>
      <c r="C3240" s="236"/>
      <c r="D3240" s="236"/>
    </row>
    <row r="3241" spans="2:4" ht="12.75" customHeight="1" x14ac:dyDescent="0.2">
      <c r="B3241" s="236"/>
      <c r="C3241" s="236"/>
      <c r="D3241" s="236"/>
    </row>
    <row r="3242" spans="2:4" ht="12.75" customHeight="1" x14ac:dyDescent="0.2">
      <c r="B3242" s="236"/>
      <c r="C3242" s="236"/>
      <c r="D3242" s="236"/>
    </row>
    <row r="3243" spans="2:4" ht="12.75" customHeight="1" x14ac:dyDescent="0.2">
      <c r="B3243" s="236"/>
      <c r="C3243" s="236"/>
      <c r="D3243" s="236"/>
    </row>
    <row r="3244" spans="2:4" x14ac:dyDescent="0.2">
      <c r="B3244" s="236"/>
      <c r="C3244" s="236"/>
      <c r="D3244" s="236"/>
    </row>
    <row r="3245" spans="2:4" ht="12.75" customHeight="1" x14ac:dyDescent="0.2">
      <c r="B3245" s="236"/>
      <c r="C3245" s="236"/>
      <c r="D3245" s="236"/>
    </row>
    <row r="3246" spans="2:4" x14ac:dyDescent="0.2">
      <c r="B3246" s="236"/>
      <c r="C3246" s="236"/>
      <c r="D3246" s="236"/>
    </row>
    <row r="3247" spans="2:4" x14ac:dyDescent="0.2">
      <c r="B3247" s="236"/>
      <c r="C3247" s="236"/>
      <c r="D3247" s="236"/>
    </row>
    <row r="3248" spans="2:4" x14ac:dyDescent="0.2">
      <c r="B3248" s="236"/>
      <c r="C3248" s="236"/>
      <c r="D3248" s="236"/>
    </row>
    <row r="3249" spans="2:4" ht="12.75" customHeight="1" x14ac:dyDescent="0.2">
      <c r="B3249" s="236"/>
      <c r="C3249" s="236"/>
      <c r="D3249" s="236"/>
    </row>
    <row r="3250" spans="2:4" x14ac:dyDescent="0.2">
      <c r="B3250" s="236"/>
      <c r="C3250" s="236"/>
      <c r="D3250" s="236"/>
    </row>
    <row r="3251" spans="2:4" ht="12.75" customHeight="1" x14ac:dyDescent="0.2">
      <c r="B3251" s="236"/>
      <c r="C3251" s="236"/>
      <c r="D3251" s="236"/>
    </row>
    <row r="3252" spans="2:4" ht="12.75" customHeight="1" x14ac:dyDescent="0.2">
      <c r="B3252" s="236"/>
      <c r="C3252" s="236"/>
      <c r="D3252" s="236"/>
    </row>
    <row r="3253" spans="2:4" ht="12.75" customHeight="1" x14ac:dyDescent="0.2">
      <c r="B3253" s="236"/>
      <c r="C3253" s="236"/>
      <c r="D3253" s="236"/>
    </row>
    <row r="3254" spans="2:4" ht="12.75" customHeight="1" x14ac:dyDescent="0.2">
      <c r="B3254" s="236"/>
      <c r="C3254" s="236"/>
      <c r="D3254" s="236"/>
    </row>
    <row r="3255" spans="2:4" ht="12.75" customHeight="1" x14ac:dyDescent="0.2">
      <c r="B3255" s="236"/>
      <c r="C3255" s="236"/>
      <c r="D3255" s="236"/>
    </row>
    <row r="3256" spans="2:4" ht="12.75" customHeight="1" x14ac:dyDescent="0.2">
      <c r="B3256" s="236"/>
      <c r="C3256" s="236"/>
      <c r="D3256" s="236"/>
    </row>
    <row r="3257" spans="2:4" ht="12.75" customHeight="1" x14ac:dyDescent="0.2">
      <c r="B3257" s="236"/>
      <c r="C3257" s="236"/>
      <c r="D3257" s="236"/>
    </row>
    <row r="3258" spans="2:4" ht="12.75" customHeight="1" x14ac:dyDescent="0.2">
      <c r="B3258" s="236"/>
      <c r="C3258" s="236"/>
      <c r="D3258" s="236"/>
    </row>
    <row r="3259" spans="2:4" ht="12.75" customHeight="1" x14ac:dyDescent="0.2">
      <c r="B3259" s="236"/>
      <c r="C3259" s="236"/>
      <c r="D3259" s="236"/>
    </row>
    <row r="3260" spans="2:4" ht="12.75" customHeight="1" x14ac:dyDescent="0.2">
      <c r="B3260" s="236"/>
      <c r="C3260" s="236"/>
      <c r="D3260" s="236"/>
    </row>
    <row r="3261" spans="2:4" ht="12.75" customHeight="1" x14ac:dyDescent="0.2">
      <c r="B3261" s="236"/>
      <c r="C3261" s="236"/>
      <c r="D3261" s="236"/>
    </row>
    <row r="3262" spans="2:4" ht="12.75" customHeight="1" x14ac:dyDescent="0.2">
      <c r="B3262" s="236"/>
      <c r="C3262" s="236"/>
      <c r="D3262" s="236"/>
    </row>
    <row r="3263" spans="2:4" ht="12.75" customHeight="1" x14ac:dyDescent="0.2">
      <c r="B3263" s="236"/>
      <c r="C3263" s="236"/>
      <c r="D3263" s="236"/>
    </row>
    <row r="3264" spans="2:4" ht="12.75" customHeight="1" x14ac:dyDescent="0.2">
      <c r="B3264" s="236"/>
      <c r="C3264" s="236"/>
      <c r="D3264" s="236"/>
    </row>
    <row r="3265" spans="2:4" ht="12.75" customHeight="1" x14ac:dyDescent="0.2">
      <c r="B3265" s="236"/>
      <c r="C3265" s="236"/>
      <c r="D3265" s="236"/>
    </row>
    <row r="3266" spans="2:4" ht="12.75" customHeight="1" x14ac:dyDescent="0.2">
      <c r="B3266" s="236"/>
      <c r="C3266" s="236"/>
      <c r="D3266" s="236"/>
    </row>
    <row r="3267" spans="2:4" ht="12.75" customHeight="1" x14ac:dyDescent="0.2">
      <c r="B3267" s="236"/>
      <c r="C3267" s="236"/>
      <c r="D3267" s="236"/>
    </row>
    <row r="3268" spans="2:4" ht="12.75" customHeight="1" x14ac:dyDescent="0.2">
      <c r="B3268" s="236"/>
      <c r="C3268" s="236"/>
      <c r="D3268" s="236"/>
    </row>
    <row r="3269" spans="2:4" x14ac:dyDescent="0.2">
      <c r="B3269" s="236"/>
      <c r="C3269" s="236"/>
      <c r="D3269" s="236"/>
    </row>
    <row r="3270" spans="2:4" ht="12.75" customHeight="1" x14ac:dyDescent="0.2">
      <c r="B3270" s="236"/>
      <c r="C3270" s="236"/>
      <c r="D3270" s="236"/>
    </row>
    <row r="3271" spans="2:4" x14ac:dyDescent="0.2">
      <c r="B3271" s="236"/>
      <c r="C3271" s="236"/>
      <c r="D3271" s="236"/>
    </row>
    <row r="3272" spans="2:4" x14ac:dyDescent="0.2">
      <c r="B3272" s="236"/>
      <c r="C3272" s="236"/>
      <c r="D3272" s="236"/>
    </row>
    <row r="3273" spans="2:4" x14ac:dyDescent="0.2">
      <c r="B3273" s="236"/>
      <c r="C3273" s="236"/>
      <c r="D3273" s="236"/>
    </row>
    <row r="3274" spans="2:4" x14ac:dyDescent="0.2">
      <c r="B3274" s="236"/>
      <c r="C3274" s="236"/>
      <c r="D3274" s="236"/>
    </row>
    <row r="3275" spans="2:4" ht="12.75" customHeight="1" x14ac:dyDescent="0.2">
      <c r="B3275" s="236"/>
      <c r="C3275" s="236"/>
      <c r="D3275" s="236"/>
    </row>
    <row r="3276" spans="2:4" ht="12.75" customHeight="1" x14ac:dyDescent="0.2">
      <c r="B3276" s="236"/>
      <c r="C3276" s="236"/>
      <c r="D3276" s="236"/>
    </row>
    <row r="3277" spans="2:4" ht="12.75" customHeight="1" x14ac:dyDescent="0.2">
      <c r="B3277" s="236"/>
      <c r="C3277" s="236"/>
      <c r="D3277" s="236"/>
    </row>
    <row r="3278" spans="2:4" ht="12.75" customHeight="1" x14ac:dyDescent="0.2">
      <c r="B3278" s="236"/>
      <c r="C3278" s="236"/>
      <c r="D3278" s="236"/>
    </row>
    <row r="3279" spans="2:4" ht="12.75" customHeight="1" x14ac:dyDescent="0.2">
      <c r="B3279" s="236"/>
      <c r="C3279" s="236"/>
      <c r="D3279" s="236"/>
    </row>
    <row r="3280" spans="2:4" ht="12.75" customHeight="1" x14ac:dyDescent="0.2">
      <c r="B3280" s="236"/>
      <c r="C3280" s="236"/>
      <c r="D3280" s="236"/>
    </row>
    <row r="3281" spans="2:4" ht="12.75" customHeight="1" x14ac:dyDescent="0.2">
      <c r="B3281" s="236"/>
      <c r="C3281" s="236"/>
      <c r="D3281" s="236"/>
    </row>
    <row r="3282" spans="2:4" ht="12.75" customHeight="1" x14ac:dyDescent="0.2">
      <c r="B3282" s="236"/>
      <c r="C3282" s="236"/>
      <c r="D3282" s="236"/>
    </row>
    <row r="3283" spans="2:4" ht="12.75" customHeight="1" x14ac:dyDescent="0.2">
      <c r="B3283" s="236"/>
      <c r="C3283" s="236"/>
      <c r="D3283" s="236"/>
    </row>
    <row r="3284" spans="2:4" ht="12.75" customHeight="1" x14ac:dyDescent="0.2">
      <c r="B3284" s="236"/>
      <c r="C3284" s="236"/>
      <c r="D3284" s="236"/>
    </row>
    <row r="3285" spans="2:4" ht="12.75" customHeight="1" x14ac:dyDescent="0.2">
      <c r="B3285" s="236"/>
      <c r="C3285" s="236"/>
      <c r="D3285" s="236"/>
    </row>
    <row r="3286" spans="2:4" ht="12.75" customHeight="1" x14ac:dyDescent="0.2">
      <c r="B3286" s="236"/>
      <c r="C3286" s="236"/>
      <c r="D3286" s="236"/>
    </row>
    <row r="3287" spans="2:4" ht="12.75" customHeight="1" x14ac:dyDescent="0.2">
      <c r="B3287" s="236"/>
      <c r="C3287" s="236"/>
      <c r="D3287" s="236"/>
    </row>
    <row r="3288" spans="2:4" ht="12.75" customHeight="1" x14ac:dyDescent="0.2">
      <c r="B3288" s="236"/>
      <c r="C3288" s="236"/>
      <c r="D3288" s="236"/>
    </row>
    <row r="3289" spans="2:4" ht="12.75" customHeight="1" x14ac:dyDescent="0.2">
      <c r="B3289" s="236"/>
      <c r="C3289" s="236"/>
      <c r="D3289" s="236"/>
    </row>
    <row r="3290" spans="2:4" ht="12.75" customHeight="1" x14ac:dyDescent="0.2">
      <c r="B3290" s="236"/>
      <c r="C3290" s="236"/>
      <c r="D3290" s="236"/>
    </row>
    <row r="3291" spans="2:4" x14ac:dyDescent="0.2">
      <c r="B3291" s="236"/>
      <c r="C3291" s="236"/>
      <c r="D3291" s="236"/>
    </row>
    <row r="3292" spans="2:4" ht="12.75" customHeight="1" x14ac:dyDescent="0.2">
      <c r="B3292" s="236"/>
      <c r="C3292" s="236"/>
      <c r="D3292" s="236"/>
    </row>
    <row r="3293" spans="2:4" x14ac:dyDescent="0.2">
      <c r="B3293" s="236"/>
      <c r="C3293" s="236"/>
      <c r="D3293" s="236"/>
    </row>
    <row r="3294" spans="2:4" x14ac:dyDescent="0.2">
      <c r="B3294" s="236"/>
      <c r="C3294" s="236"/>
      <c r="D3294" s="236"/>
    </row>
    <row r="3295" spans="2:4" x14ac:dyDescent="0.2">
      <c r="B3295" s="236"/>
      <c r="C3295" s="236"/>
      <c r="D3295" s="236"/>
    </row>
    <row r="3296" spans="2:4" x14ac:dyDescent="0.2">
      <c r="B3296" s="236"/>
      <c r="C3296" s="236"/>
      <c r="D3296" s="236"/>
    </row>
    <row r="3297" spans="2:4" ht="12.75" customHeight="1" x14ac:dyDescent="0.2">
      <c r="B3297" s="236"/>
      <c r="C3297" s="236"/>
      <c r="D3297" s="236"/>
    </row>
    <row r="3298" spans="2:4" ht="12.75" customHeight="1" x14ac:dyDescent="0.2">
      <c r="B3298" s="236"/>
      <c r="C3298" s="236"/>
      <c r="D3298" s="236"/>
    </row>
    <row r="3299" spans="2:4" x14ac:dyDescent="0.2">
      <c r="B3299" s="236"/>
      <c r="C3299" s="236"/>
      <c r="D3299" s="236"/>
    </row>
    <row r="3300" spans="2:4" x14ac:dyDescent="0.2">
      <c r="B3300" s="236"/>
      <c r="C3300" s="236"/>
      <c r="D3300" s="236"/>
    </row>
    <row r="3301" spans="2:4" x14ac:dyDescent="0.2">
      <c r="B3301" s="236"/>
      <c r="C3301" s="236"/>
      <c r="D3301" s="236"/>
    </row>
    <row r="3302" spans="2:4" x14ac:dyDescent="0.2">
      <c r="B3302" s="236"/>
      <c r="C3302" s="236"/>
      <c r="D3302" s="236"/>
    </row>
    <row r="3303" spans="2:4" x14ac:dyDescent="0.2">
      <c r="B3303" s="236"/>
      <c r="C3303" s="236"/>
      <c r="D3303" s="236"/>
    </row>
    <row r="3304" spans="2:4" ht="12.75" customHeight="1" x14ac:dyDescent="0.2">
      <c r="B3304" s="236"/>
      <c r="C3304" s="236"/>
      <c r="D3304" s="236"/>
    </row>
    <row r="3305" spans="2:4" x14ac:dyDescent="0.2">
      <c r="B3305" s="236"/>
      <c r="C3305" s="236"/>
      <c r="D3305" s="236"/>
    </row>
    <row r="3306" spans="2:4" ht="12.75" customHeight="1" x14ac:dyDescent="0.2">
      <c r="B3306" s="236"/>
      <c r="C3306" s="236"/>
      <c r="D3306" s="236"/>
    </row>
    <row r="3307" spans="2:4" ht="12.75" customHeight="1" x14ac:dyDescent="0.2">
      <c r="B3307" s="236"/>
      <c r="C3307" s="236"/>
      <c r="D3307" s="236"/>
    </row>
    <row r="3308" spans="2:4" ht="12.75" customHeight="1" x14ac:dyDescent="0.2">
      <c r="B3308" s="236"/>
      <c r="C3308" s="236"/>
      <c r="D3308" s="236"/>
    </row>
    <row r="3309" spans="2:4" ht="12.75" customHeight="1" x14ac:dyDescent="0.2">
      <c r="B3309" s="236"/>
      <c r="C3309" s="236"/>
      <c r="D3309" s="236"/>
    </row>
    <row r="3310" spans="2:4" ht="12.75" customHeight="1" x14ac:dyDescent="0.2">
      <c r="B3310" s="236"/>
      <c r="C3310" s="236"/>
      <c r="D3310" s="236"/>
    </row>
    <row r="3311" spans="2:4" ht="12.75" customHeight="1" x14ac:dyDescent="0.2">
      <c r="B3311" s="236"/>
      <c r="C3311" s="236"/>
      <c r="D3311" s="236"/>
    </row>
    <row r="3312" spans="2:4" ht="12.75" customHeight="1" x14ac:dyDescent="0.2">
      <c r="B3312" s="236"/>
      <c r="C3312" s="236"/>
      <c r="D3312" s="236"/>
    </row>
    <row r="3313" spans="2:4" ht="12.75" customHeight="1" x14ac:dyDescent="0.2">
      <c r="B3313" s="236"/>
      <c r="C3313" s="236"/>
      <c r="D3313" s="236"/>
    </row>
    <row r="3314" spans="2:4" ht="12.75" customHeight="1" x14ac:dyDescent="0.2">
      <c r="B3314" s="236"/>
      <c r="C3314" s="236"/>
      <c r="D3314" s="236"/>
    </row>
    <row r="3315" spans="2:4" ht="12.75" customHeight="1" x14ac:dyDescent="0.2">
      <c r="B3315" s="236"/>
      <c r="C3315" s="236"/>
      <c r="D3315" s="236"/>
    </row>
    <row r="3316" spans="2:4" ht="12.75" customHeight="1" x14ac:dyDescent="0.2">
      <c r="B3316" s="236"/>
      <c r="C3316" s="236"/>
      <c r="D3316" s="236"/>
    </row>
    <row r="3317" spans="2:4" ht="12.75" customHeight="1" x14ac:dyDescent="0.2">
      <c r="B3317" s="236"/>
      <c r="C3317" s="236"/>
      <c r="D3317" s="236"/>
    </row>
    <row r="3318" spans="2:4" ht="12.75" customHeight="1" x14ac:dyDescent="0.2">
      <c r="B3318" s="236"/>
      <c r="C3318" s="236"/>
      <c r="D3318" s="236"/>
    </row>
    <row r="3319" spans="2:4" ht="12.75" customHeight="1" x14ac:dyDescent="0.2">
      <c r="B3319" s="236"/>
      <c r="C3319" s="236"/>
      <c r="D3319" s="236"/>
    </row>
    <row r="3320" spans="2:4" ht="12.75" customHeight="1" x14ac:dyDescent="0.2">
      <c r="B3320" s="236"/>
      <c r="C3320" s="236"/>
      <c r="D3320" s="236"/>
    </row>
    <row r="3321" spans="2:4" ht="12.75" customHeight="1" x14ac:dyDescent="0.2">
      <c r="B3321" s="236"/>
      <c r="C3321" s="236"/>
      <c r="D3321" s="236"/>
    </row>
    <row r="3322" spans="2:4" ht="12.75" customHeight="1" x14ac:dyDescent="0.2">
      <c r="B3322" s="236"/>
      <c r="C3322" s="236"/>
      <c r="D3322" s="236"/>
    </row>
    <row r="3323" spans="2:4" ht="12.75" customHeight="1" x14ac:dyDescent="0.2">
      <c r="B3323" s="236"/>
      <c r="C3323" s="236"/>
      <c r="D3323" s="236"/>
    </row>
    <row r="3324" spans="2:4" ht="12.75" customHeight="1" x14ac:dyDescent="0.2">
      <c r="B3324" s="236"/>
      <c r="C3324" s="236"/>
      <c r="D3324" s="236"/>
    </row>
    <row r="3325" spans="2:4" ht="12.75" customHeight="1" x14ac:dyDescent="0.2">
      <c r="B3325" s="236"/>
      <c r="C3325" s="236"/>
      <c r="D3325" s="236"/>
    </row>
    <row r="3326" spans="2:4" ht="12.75" customHeight="1" x14ac:dyDescent="0.2">
      <c r="B3326" s="236"/>
      <c r="C3326" s="236"/>
      <c r="D3326" s="236"/>
    </row>
    <row r="3327" spans="2:4" x14ac:dyDescent="0.2">
      <c r="B3327" s="236"/>
      <c r="C3327" s="236"/>
      <c r="D3327" s="236"/>
    </row>
    <row r="3328" spans="2:4" ht="12.75" customHeight="1" x14ac:dyDescent="0.2">
      <c r="B3328" s="236"/>
      <c r="C3328" s="236"/>
      <c r="D3328" s="236"/>
    </row>
    <row r="3329" spans="2:4" x14ac:dyDescent="0.2">
      <c r="B3329" s="236"/>
      <c r="C3329" s="236"/>
      <c r="D3329" s="236"/>
    </row>
    <row r="3330" spans="2:4" x14ac:dyDescent="0.2">
      <c r="B3330" s="236"/>
      <c r="C3330" s="236"/>
      <c r="D3330" s="236"/>
    </row>
    <row r="3331" spans="2:4" x14ac:dyDescent="0.2">
      <c r="B3331" s="236"/>
      <c r="C3331" s="236"/>
      <c r="D3331" s="236"/>
    </row>
    <row r="3332" spans="2:4" ht="12.75" customHeight="1" x14ac:dyDescent="0.2">
      <c r="B3332" s="236"/>
      <c r="C3332" s="236"/>
      <c r="D3332" s="236"/>
    </row>
    <row r="3333" spans="2:4" x14ac:dyDescent="0.2">
      <c r="B3333" s="236"/>
      <c r="C3333" s="236"/>
      <c r="D3333" s="236"/>
    </row>
    <row r="3334" spans="2:4" ht="12.75" customHeight="1" x14ac:dyDescent="0.2">
      <c r="B3334" s="236"/>
      <c r="C3334" s="236"/>
      <c r="D3334" s="236"/>
    </row>
    <row r="3335" spans="2:4" ht="12.75" customHeight="1" x14ac:dyDescent="0.2">
      <c r="B3335" s="236"/>
      <c r="C3335" s="236"/>
      <c r="D3335" s="236"/>
    </row>
    <row r="3336" spans="2:4" ht="12.75" customHeight="1" x14ac:dyDescent="0.2">
      <c r="B3336" s="236"/>
      <c r="C3336" s="236"/>
      <c r="D3336" s="236"/>
    </row>
    <row r="3337" spans="2:4" ht="12.75" customHeight="1" x14ac:dyDescent="0.2">
      <c r="B3337" s="236"/>
      <c r="C3337" s="236"/>
      <c r="D3337" s="236"/>
    </row>
    <row r="3338" spans="2:4" ht="12.75" customHeight="1" x14ac:dyDescent="0.2">
      <c r="B3338" s="236"/>
      <c r="C3338" s="236"/>
      <c r="D3338" s="236"/>
    </row>
    <row r="3339" spans="2:4" ht="12.75" customHeight="1" x14ac:dyDescent="0.2">
      <c r="B3339" s="236"/>
      <c r="C3339" s="236"/>
      <c r="D3339" s="236"/>
    </row>
    <row r="3340" spans="2:4" ht="12.75" customHeight="1" x14ac:dyDescent="0.2">
      <c r="B3340" s="236"/>
      <c r="C3340" s="236"/>
      <c r="D3340" s="236"/>
    </row>
    <row r="3341" spans="2:4" ht="12.75" customHeight="1" x14ac:dyDescent="0.2">
      <c r="B3341" s="236"/>
      <c r="C3341" s="236"/>
      <c r="D3341" s="236"/>
    </row>
    <row r="3342" spans="2:4" ht="12.75" customHeight="1" x14ac:dyDescent="0.2">
      <c r="B3342" s="236"/>
      <c r="C3342" s="236"/>
      <c r="D3342" s="236"/>
    </row>
    <row r="3343" spans="2:4" x14ac:dyDescent="0.2">
      <c r="B3343" s="236"/>
      <c r="C3343" s="236"/>
      <c r="D3343" s="236"/>
    </row>
    <row r="3344" spans="2:4" ht="12.75" customHeight="1" x14ac:dyDescent="0.2">
      <c r="B3344" s="236"/>
      <c r="C3344" s="236"/>
      <c r="D3344" s="236"/>
    </row>
    <row r="3345" spans="2:4" x14ac:dyDescent="0.2">
      <c r="B3345" s="236"/>
      <c r="C3345" s="236"/>
      <c r="D3345" s="236"/>
    </row>
    <row r="3346" spans="2:4" x14ac:dyDescent="0.2">
      <c r="B3346" s="236"/>
      <c r="C3346" s="236"/>
      <c r="D3346" s="236"/>
    </row>
    <row r="3347" spans="2:4" x14ac:dyDescent="0.2">
      <c r="B3347" s="236"/>
      <c r="C3347" s="236"/>
      <c r="D3347" s="236"/>
    </row>
    <row r="3348" spans="2:4" ht="12.75" customHeight="1" x14ac:dyDescent="0.2">
      <c r="B3348" s="236"/>
      <c r="C3348" s="236"/>
      <c r="D3348" s="236"/>
    </row>
    <row r="3349" spans="2:4" ht="12.75" customHeight="1" x14ac:dyDescent="0.2">
      <c r="B3349" s="236"/>
      <c r="C3349" s="236"/>
      <c r="D3349" s="236"/>
    </row>
    <row r="3350" spans="2:4" ht="12.75" customHeight="1" x14ac:dyDescent="0.2">
      <c r="B3350" s="236"/>
      <c r="C3350" s="236"/>
      <c r="D3350" s="236"/>
    </row>
    <row r="3351" spans="2:4" ht="12.75" customHeight="1" x14ac:dyDescent="0.2">
      <c r="B3351" s="236"/>
      <c r="C3351" s="236"/>
      <c r="D3351" s="236"/>
    </row>
    <row r="3352" spans="2:4" ht="12.75" customHeight="1" x14ac:dyDescent="0.2">
      <c r="B3352" s="236"/>
      <c r="C3352" s="236"/>
      <c r="D3352" s="236"/>
    </row>
    <row r="3353" spans="2:4" ht="12.75" customHeight="1" x14ac:dyDescent="0.2">
      <c r="B3353" s="236"/>
      <c r="C3353" s="236"/>
      <c r="D3353" s="236"/>
    </row>
    <row r="3354" spans="2:4" ht="12.75" customHeight="1" x14ac:dyDescent="0.2">
      <c r="B3354" s="236"/>
      <c r="C3354" s="236"/>
      <c r="D3354" s="236"/>
    </row>
    <row r="3355" spans="2:4" ht="12.75" customHeight="1" x14ac:dyDescent="0.2">
      <c r="B3355" s="236"/>
      <c r="C3355" s="236"/>
      <c r="D3355" s="236"/>
    </row>
    <row r="3356" spans="2:4" ht="12.75" customHeight="1" x14ac:dyDescent="0.2">
      <c r="B3356" s="236"/>
      <c r="C3356" s="236"/>
      <c r="D3356" s="236"/>
    </row>
    <row r="3357" spans="2:4" ht="12.75" customHeight="1" x14ac:dyDescent="0.2">
      <c r="B3357" s="236"/>
      <c r="C3357" s="236"/>
      <c r="D3357" s="236"/>
    </row>
    <row r="3358" spans="2:4" ht="12.75" customHeight="1" x14ac:dyDescent="0.2">
      <c r="B3358" s="236"/>
      <c r="C3358" s="236"/>
      <c r="D3358" s="236"/>
    </row>
    <row r="3359" spans="2:4" x14ac:dyDescent="0.2">
      <c r="B3359" s="236"/>
      <c r="C3359" s="236"/>
      <c r="D3359" s="236"/>
    </row>
    <row r="3360" spans="2:4" ht="12.75" customHeight="1" x14ac:dyDescent="0.2">
      <c r="B3360" s="236"/>
      <c r="C3360" s="236"/>
      <c r="D3360" s="236"/>
    </row>
    <row r="3361" spans="2:4" x14ac:dyDescent="0.2">
      <c r="B3361" s="236"/>
      <c r="C3361" s="236"/>
      <c r="D3361" s="236"/>
    </row>
    <row r="3362" spans="2:4" x14ac:dyDescent="0.2">
      <c r="B3362" s="236"/>
      <c r="C3362" s="236"/>
      <c r="D3362" s="236"/>
    </row>
    <row r="3363" spans="2:4" x14ac:dyDescent="0.2">
      <c r="B3363" s="236"/>
      <c r="C3363" s="236"/>
      <c r="D3363" s="236"/>
    </row>
    <row r="3364" spans="2:4" ht="12.75" customHeight="1" x14ac:dyDescent="0.2">
      <c r="B3364" s="236"/>
      <c r="C3364" s="236"/>
      <c r="D3364" s="236"/>
    </row>
    <row r="3365" spans="2:4" ht="12.75" customHeight="1" x14ac:dyDescent="0.2">
      <c r="B3365" s="236"/>
      <c r="C3365" s="236"/>
      <c r="D3365" s="236"/>
    </row>
    <row r="3366" spans="2:4" ht="12.75" customHeight="1" x14ac:dyDescent="0.2">
      <c r="B3366" s="236"/>
      <c r="C3366" s="236"/>
      <c r="D3366" s="236"/>
    </row>
    <row r="3367" spans="2:4" ht="12.75" customHeight="1" x14ac:dyDescent="0.2">
      <c r="B3367" s="236"/>
      <c r="C3367" s="236"/>
      <c r="D3367" s="236"/>
    </row>
    <row r="3368" spans="2:4" ht="12.75" customHeight="1" x14ac:dyDescent="0.2">
      <c r="B3368" s="236"/>
      <c r="C3368" s="236"/>
      <c r="D3368" s="236"/>
    </row>
    <row r="3369" spans="2:4" ht="12.75" customHeight="1" x14ac:dyDescent="0.2">
      <c r="B3369" s="236"/>
      <c r="C3369" s="236"/>
      <c r="D3369" s="236"/>
    </row>
    <row r="3370" spans="2:4" ht="12.75" customHeight="1" x14ac:dyDescent="0.2">
      <c r="B3370" s="236"/>
      <c r="C3370" s="236"/>
      <c r="D3370" s="236"/>
    </row>
    <row r="3371" spans="2:4" ht="12.75" customHeight="1" x14ac:dyDescent="0.2">
      <c r="B3371" s="236"/>
      <c r="C3371" s="236"/>
      <c r="D3371" s="236"/>
    </row>
    <row r="3372" spans="2:4" ht="12.75" customHeight="1" x14ac:dyDescent="0.2">
      <c r="B3372" s="236"/>
      <c r="C3372" s="236"/>
      <c r="D3372" s="236"/>
    </row>
    <row r="3373" spans="2:4" ht="12.75" customHeight="1" x14ac:dyDescent="0.2">
      <c r="B3373" s="236"/>
      <c r="C3373" s="236"/>
      <c r="D3373" s="236"/>
    </row>
    <row r="3374" spans="2:4" ht="12.75" customHeight="1" x14ac:dyDescent="0.2">
      <c r="B3374" s="236"/>
      <c r="C3374" s="236"/>
      <c r="D3374" s="236"/>
    </row>
    <row r="3375" spans="2:4" ht="12.75" customHeight="1" x14ac:dyDescent="0.2">
      <c r="B3375" s="236"/>
      <c r="C3375" s="236"/>
      <c r="D3375" s="236"/>
    </row>
    <row r="3376" spans="2:4" x14ac:dyDescent="0.2">
      <c r="B3376" s="236"/>
      <c r="C3376" s="236"/>
      <c r="D3376" s="236"/>
    </row>
    <row r="3377" spans="2:4" x14ac:dyDescent="0.2">
      <c r="B3377" s="236"/>
      <c r="C3377" s="236"/>
      <c r="D3377" s="236"/>
    </row>
    <row r="3378" spans="2:4" x14ac:dyDescent="0.2">
      <c r="B3378" s="236"/>
      <c r="C3378" s="236"/>
      <c r="D3378" s="236"/>
    </row>
    <row r="3379" spans="2:4" ht="12.75" customHeight="1" x14ac:dyDescent="0.2">
      <c r="B3379" s="236"/>
      <c r="C3379" s="236"/>
      <c r="D3379" s="236"/>
    </row>
    <row r="3380" spans="2:4" ht="12.75" customHeight="1" x14ac:dyDescent="0.2">
      <c r="B3380" s="236"/>
      <c r="C3380" s="236"/>
      <c r="D3380" s="236"/>
    </row>
    <row r="3381" spans="2:4" ht="12.75" customHeight="1" x14ac:dyDescent="0.2">
      <c r="B3381" s="236"/>
      <c r="C3381" s="236"/>
      <c r="D3381" s="236"/>
    </row>
    <row r="3382" spans="2:4" x14ac:dyDescent="0.2">
      <c r="B3382" s="236"/>
      <c r="C3382" s="236"/>
      <c r="D3382" s="236"/>
    </row>
    <row r="3383" spans="2:4" ht="12.75" customHeight="1" x14ac:dyDescent="0.2">
      <c r="B3383" s="236"/>
      <c r="C3383" s="236"/>
      <c r="D3383" s="236"/>
    </row>
    <row r="3384" spans="2:4" ht="12.75" customHeight="1" x14ac:dyDescent="0.2">
      <c r="B3384" s="236"/>
      <c r="C3384" s="236"/>
      <c r="D3384" s="236"/>
    </row>
    <row r="3385" spans="2:4" ht="12.75" customHeight="1" x14ac:dyDescent="0.2">
      <c r="B3385" s="236"/>
      <c r="C3385" s="236"/>
      <c r="D3385" s="236"/>
    </row>
    <row r="3386" spans="2:4" x14ac:dyDescent="0.2">
      <c r="B3386" s="236"/>
      <c r="C3386" s="236"/>
      <c r="D3386" s="236"/>
    </row>
    <row r="3387" spans="2:4" ht="12.75" customHeight="1" x14ac:dyDescent="0.2">
      <c r="B3387" s="236"/>
      <c r="C3387" s="236"/>
      <c r="D3387" s="236"/>
    </row>
    <row r="3388" spans="2:4" ht="12.75" customHeight="1" x14ac:dyDescent="0.2">
      <c r="B3388" s="236"/>
      <c r="C3388" s="236"/>
      <c r="D3388" s="236"/>
    </row>
    <row r="3389" spans="2:4" x14ac:dyDescent="0.2">
      <c r="B3389" s="236"/>
      <c r="C3389" s="236"/>
      <c r="D3389" s="236"/>
    </row>
    <row r="3390" spans="2:4" ht="12.75" customHeight="1" x14ac:dyDescent="0.2">
      <c r="B3390" s="236"/>
      <c r="C3390" s="236"/>
      <c r="D3390" s="236"/>
    </row>
    <row r="3391" spans="2:4" ht="12.75" customHeight="1" x14ac:dyDescent="0.2">
      <c r="B3391" s="236"/>
      <c r="C3391" s="236"/>
      <c r="D3391" s="236"/>
    </row>
    <row r="3392" spans="2:4" x14ac:dyDescent="0.2">
      <c r="B3392" s="236"/>
      <c r="C3392" s="236"/>
      <c r="D3392" s="236"/>
    </row>
    <row r="3393" spans="2:4" ht="12.75" customHeight="1" x14ac:dyDescent="0.2">
      <c r="B3393" s="236"/>
      <c r="C3393" s="236"/>
      <c r="D3393" s="236"/>
    </row>
    <row r="3394" spans="2:4" ht="12.75" customHeight="1" x14ac:dyDescent="0.2">
      <c r="B3394" s="236"/>
      <c r="C3394" s="236"/>
      <c r="D3394" s="236"/>
    </row>
    <row r="3395" spans="2:4" ht="12.75" customHeight="1" x14ac:dyDescent="0.2">
      <c r="B3395" s="236"/>
      <c r="C3395" s="236"/>
      <c r="D3395" s="236"/>
    </row>
    <row r="3396" spans="2:4" ht="12.75" customHeight="1" x14ac:dyDescent="0.2">
      <c r="B3396" s="236"/>
      <c r="C3396" s="236"/>
      <c r="D3396" s="236"/>
    </row>
    <row r="3397" spans="2:4" ht="12.75" customHeight="1" x14ac:dyDescent="0.2">
      <c r="B3397" s="236"/>
      <c r="C3397" s="236"/>
      <c r="D3397" s="236"/>
    </row>
    <row r="3398" spans="2:4" x14ac:dyDescent="0.2">
      <c r="B3398" s="236"/>
      <c r="C3398" s="236"/>
      <c r="D3398" s="236"/>
    </row>
    <row r="3399" spans="2:4" ht="12.75" customHeight="1" x14ac:dyDescent="0.2">
      <c r="B3399" s="236"/>
      <c r="C3399" s="236"/>
      <c r="D3399" s="236"/>
    </row>
    <row r="3400" spans="2:4" ht="12.75" customHeight="1" x14ac:dyDescent="0.2">
      <c r="B3400" s="236"/>
      <c r="C3400" s="236"/>
      <c r="D3400" s="236"/>
    </row>
    <row r="3401" spans="2:4" ht="12.75" customHeight="1" x14ac:dyDescent="0.2">
      <c r="B3401" s="236"/>
      <c r="C3401" s="236"/>
      <c r="D3401" s="236"/>
    </row>
    <row r="3402" spans="2:4" ht="12.75" customHeight="1" x14ac:dyDescent="0.2">
      <c r="B3402" s="236"/>
      <c r="C3402" s="236"/>
      <c r="D3402" s="236"/>
    </row>
    <row r="3403" spans="2:4" ht="12.75" customHeight="1" x14ac:dyDescent="0.2">
      <c r="B3403" s="236"/>
      <c r="C3403" s="236"/>
      <c r="D3403" s="236"/>
    </row>
    <row r="3404" spans="2:4" ht="12.75" customHeight="1" x14ac:dyDescent="0.2">
      <c r="B3404" s="236"/>
      <c r="C3404" s="236"/>
      <c r="D3404" s="236"/>
    </row>
    <row r="3405" spans="2:4" ht="12.75" customHeight="1" x14ac:dyDescent="0.2">
      <c r="B3405" s="236"/>
      <c r="C3405" s="236"/>
      <c r="D3405" s="236"/>
    </row>
    <row r="3406" spans="2:4" ht="12.75" customHeight="1" x14ac:dyDescent="0.2">
      <c r="B3406" s="236"/>
      <c r="C3406" s="236"/>
      <c r="D3406" s="236"/>
    </row>
    <row r="3407" spans="2:4" ht="12.75" customHeight="1" x14ac:dyDescent="0.2">
      <c r="B3407" s="236"/>
      <c r="C3407" s="236"/>
      <c r="D3407" s="236"/>
    </row>
    <row r="3408" spans="2:4" x14ac:dyDescent="0.2">
      <c r="B3408" s="236"/>
      <c r="C3408" s="236"/>
      <c r="D3408" s="236"/>
    </row>
    <row r="3409" spans="2:4" ht="12.75" customHeight="1" x14ac:dyDescent="0.2">
      <c r="B3409" s="236"/>
      <c r="C3409" s="236"/>
      <c r="D3409" s="236"/>
    </row>
    <row r="3410" spans="2:4" ht="12.75" customHeight="1" x14ac:dyDescent="0.2">
      <c r="B3410" s="236"/>
      <c r="C3410" s="236"/>
      <c r="D3410" s="236"/>
    </row>
    <row r="3411" spans="2:4" ht="12.75" customHeight="1" x14ac:dyDescent="0.2">
      <c r="B3411" s="236"/>
      <c r="C3411" s="236"/>
      <c r="D3411" s="236"/>
    </row>
    <row r="3412" spans="2:4" ht="12.75" customHeight="1" x14ac:dyDescent="0.2">
      <c r="B3412" s="236"/>
      <c r="C3412" s="236"/>
      <c r="D3412" s="236"/>
    </row>
    <row r="3413" spans="2:4" ht="12.75" customHeight="1" x14ac:dyDescent="0.2">
      <c r="B3413" s="236"/>
      <c r="C3413" s="236"/>
      <c r="D3413" s="236"/>
    </row>
    <row r="3414" spans="2:4" x14ac:dyDescent="0.2">
      <c r="B3414" s="236"/>
      <c r="C3414" s="236"/>
      <c r="D3414" s="236"/>
    </row>
    <row r="3415" spans="2:4" ht="12.75" customHeight="1" x14ac:dyDescent="0.2">
      <c r="B3415" s="236"/>
      <c r="C3415" s="236"/>
      <c r="D3415" s="236"/>
    </row>
    <row r="3416" spans="2:4" ht="12.75" customHeight="1" x14ac:dyDescent="0.2">
      <c r="B3416" s="236"/>
      <c r="C3416" s="236"/>
      <c r="D3416" s="236"/>
    </row>
    <row r="3417" spans="2:4" x14ac:dyDescent="0.2">
      <c r="B3417" s="236"/>
      <c r="C3417" s="236"/>
      <c r="D3417" s="236"/>
    </row>
    <row r="3418" spans="2:4" x14ac:dyDescent="0.2">
      <c r="B3418" s="236"/>
      <c r="C3418" s="236"/>
      <c r="D3418" s="236"/>
    </row>
    <row r="3419" spans="2:4" ht="12.75" customHeight="1" x14ac:dyDescent="0.2">
      <c r="B3419" s="236"/>
      <c r="C3419" s="236"/>
      <c r="D3419" s="236"/>
    </row>
    <row r="3420" spans="2:4" ht="12.75" customHeight="1" x14ac:dyDescent="0.2">
      <c r="B3420" s="236"/>
      <c r="C3420" s="236"/>
      <c r="D3420" s="236"/>
    </row>
    <row r="3421" spans="2:4" ht="12.75" customHeight="1" x14ac:dyDescent="0.2">
      <c r="B3421" s="236"/>
      <c r="C3421" s="236"/>
      <c r="D3421" s="236"/>
    </row>
    <row r="3422" spans="2:4" ht="12.75" customHeight="1" x14ac:dyDescent="0.2">
      <c r="B3422" s="236"/>
      <c r="C3422" s="236"/>
      <c r="D3422" s="236"/>
    </row>
    <row r="3423" spans="2:4" ht="12.75" customHeight="1" x14ac:dyDescent="0.2">
      <c r="B3423" s="236"/>
      <c r="C3423" s="236"/>
      <c r="D3423" s="236"/>
    </row>
    <row r="3424" spans="2:4" ht="12.75" customHeight="1" x14ac:dyDescent="0.2">
      <c r="B3424" s="236"/>
      <c r="C3424" s="236"/>
      <c r="D3424" s="236"/>
    </row>
    <row r="3425" spans="2:4" ht="12.75" customHeight="1" x14ac:dyDescent="0.2">
      <c r="B3425" s="236"/>
      <c r="C3425" s="236"/>
      <c r="D3425" s="236"/>
    </row>
    <row r="3426" spans="2:4" ht="12.75" customHeight="1" x14ac:dyDescent="0.2">
      <c r="B3426" s="236"/>
      <c r="C3426" s="236"/>
      <c r="D3426" s="236"/>
    </row>
    <row r="3427" spans="2:4" ht="12.75" customHeight="1" x14ac:dyDescent="0.2">
      <c r="B3427" s="236"/>
      <c r="C3427" s="236"/>
      <c r="D3427" s="236"/>
    </row>
    <row r="3428" spans="2:4" x14ac:dyDescent="0.2">
      <c r="B3428" s="236"/>
      <c r="C3428" s="236"/>
      <c r="D3428" s="236"/>
    </row>
    <row r="3429" spans="2:4" ht="12.75" customHeight="1" x14ac:dyDescent="0.2">
      <c r="B3429" s="236"/>
      <c r="C3429" s="236"/>
      <c r="D3429" s="236"/>
    </row>
    <row r="3430" spans="2:4" x14ac:dyDescent="0.2">
      <c r="B3430" s="236"/>
      <c r="C3430" s="236"/>
      <c r="D3430" s="236"/>
    </row>
    <row r="3431" spans="2:4" ht="12.75" customHeight="1" x14ac:dyDescent="0.2">
      <c r="B3431" s="236"/>
      <c r="C3431" s="236"/>
      <c r="D3431" s="236"/>
    </row>
    <row r="3432" spans="2:4" x14ac:dyDescent="0.2">
      <c r="B3432" s="236"/>
      <c r="C3432" s="236"/>
      <c r="D3432" s="236"/>
    </row>
    <row r="3433" spans="2:4" x14ac:dyDescent="0.2">
      <c r="B3433" s="236"/>
      <c r="C3433" s="236"/>
      <c r="D3433" s="236"/>
    </row>
    <row r="3434" spans="2:4" ht="12.75" customHeight="1" x14ac:dyDescent="0.2">
      <c r="B3434" s="236"/>
      <c r="C3434" s="236"/>
      <c r="D3434" s="236"/>
    </row>
    <row r="3435" spans="2:4" ht="12.75" customHeight="1" x14ac:dyDescent="0.2">
      <c r="B3435" s="236"/>
      <c r="C3435" s="236"/>
      <c r="D3435" s="236"/>
    </row>
    <row r="3436" spans="2:4" ht="12.75" customHeight="1" x14ac:dyDescent="0.2">
      <c r="B3436" s="236"/>
      <c r="C3436" s="236"/>
      <c r="D3436" s="236"/>
    </row>
    <row r="3437" spans="2:4" ht="12.75" customHeight="1" x14ac:dyDescent="0.2">
      <c r="B3437" s="236"/>
      <c r="C3437" s="236"/>
      <c r="D3437" s="236"/>
    </row>
    <row r="3438" spans="2:4" ht="12.75" customHeight="1" x14ac:dyDescent="0.2">
      <c r="B3438" s="236"/>
      <c r="C3438" s="236"/>
      <c r="D3438" s="236"/>
    </row>
    <row r="3439" spans="2:4" ht="12.75" customHeight="1" x14ac:dyDescent="0.2">
      <c r="B3439" s="236"/>
      <c r="C3439" s="236"/>
      <c r="D3439" s="236"/>
    </row>
    <row r="3440" spans="2:4" ht="12.75" customHeight="1" x14ac:dyDescent="0.2">
      <c r="B3440" s="236"/>
      <c r="C3440" s="236"/>
      <c r="D3440" s="236"/>
    </row>
    <row r="3441" spans="2:4" ht="12.75" customHeight="1" x14ac:dyDescent="0.2">
      <c r="B3441" s="236"/>
      <c r="C3441" s="236"/>
      <c r="D3441" s="236"/>
    </row>
    <row r="3442" spans="2:4" ht="12.75" customHeight="1" x14ac:dyDescent="0.2">
      <c r="B3442" s="236"/>
      <c r="C3442" s="236"/>
      <c r="D3442" s="236"/>
    </row>
    <row r="3443" spans="2:4" ht="12.75" customHeight="1" x14ac:dyDescent="0.2">
      <c r="B3443" s="236"/>
      <c r="C3443" s="236"/>
      <c r="D3443" s="236"/>
    </row>
    <row r="3444" spans="2:4" ht="12.75" customHeight="1" x14ac:dyDescent="0.2">
      <c r="B3444" s="236"/>
      <c r="C3444" s="236"/>
      <c r="D3444" s="236"/>
    </row>
    <row r="3445" spans="2:4" ht="12.75" customHeight="1" x14ac:dyDescent="0.2">
      <c r="B3445" s="236"/>
      <c r="C3445" s="236"/>
      <c r="D3445" s="236"/>
    </row>
    <row r="3446" spans="2:4" ht="12.75" customHeight="1" x14ac:dyDescent="0.2">
      <c r="B3446" s="236"/>
      <c r="C3446" s="236"/>
      <c r="D3446" s="236"/>
    </row>
    <row r="3447" spans="2:4" ht="12.75" customHeight="1" x14ac:dyDescent="0.2">
      <c r="B3447" s="236"/>
      <c r="C3447" s="236"/>
      <c r="D3447" s="236"/>
    </row>
    <row r="3448" spans="2:4" ht="12.75" customHeight="1" x14ac:dyDescent="0.2">
      <c r="B3448" s="236"/>
      <c r="C3448" s="236"/>
      <c r="D3448" s="236"/>
    </row>
    <row r="3449" spans="2:4" ht="12.75" customHeight="1" x14ac:dyDescent="0.2">
      <c r="B3449" s="236"/>
      <c r="C3449" s="236"/>
      <c r="D3449" s="236"/>
    </row>
    <row r="3450" spans="2:4" ht="12.75" customHeight="1" x14ac:dyDescent="0.2">
      <c r="B3450" s="236"/>
      <c r="C3450" s="236"/>
      <c r="D3450" s="236"/>
    </row>
    <row r="3451" spans="2:4" ht="12.75" customHeight="1" x14ac:dyDescent="0.2">
      <c r="B3451" s="236"/>
      <c r="C3451" s="236"/>
      <c r="D3451" s="236"/>
    </row>
    <row r="3452" spans="2:4" ht="12.75" customHeight="1" x14ac:dyDescent="0.2">
      <c r="B3452" s="236"/>
      <c r="C3452" s="236"/>
      <c r="D3452" s="236"/>
    </row>
    <row r="3453" spans="2:4" ht="12.75" customHeight="1" x14ac:dyDescent="0.2">
      <c r="B3453" s="236"/>
      <c r="C3453" s="236"/>
      <c r="D3453" s="236"/>
    </row>
    <row r="3454" spans="2:4" x14ac:dyDescent="0.2">
      <c r="B3454" s="236"/>
      <c r="C3454" s="236"/>
      <c r="D3454" s="236"/>
    </row>
    <row r="3455" spans="2:4" ht="12.75" customHeight="1" x14ac:dyDescent="0.2">
      <c r="B3455" s="236"/>
      <c r="C3455" s="236"/>
      <c r="D3455" s="236"/>
    </row>
    <row r="3456" spans="2:4" ht="12.75" customHeight="1" x14ac:dyDescent="0.2">
      <c r="B3456" s="236"/>
      <c r="C3456" s="236"/>
      <c r="D3456" s="236"/>
    </row>
    <row r="3457" spans="2:4" ht="12.75" customHeight="1" x14ac:dyDescent="0.2">
      <c r="B3457" s="236"/>
      <c r="C3457" s="236"/>
      <c r="D3457" s="236"/>
    </row>
    <row r="3458" spans="2:4" ht="12.75" customHeight="1" x14ac:dyDescent="0.2">
      <c r="B3458" s="236"/>
      <c r="C3458" s="236"/>
      <c r="D3458" s="236"/>
    </row>
    <row r="3459" spans="2:4" ht="12.75" customHeight="1" x14ac:dyDescent="0.2">
      <c r="B3459" s="236"/>
      <c r="C3459" s="236"/>
      <c r="D3459" s="236"/>
    </row>
    <row r="3460" spans="2:4" ht="12.75" customHeight="1" x14ac:dyDescent="0.2">
      <c r="B3460" s="236"/>
      <c r="C3460" s="236"/>
      <c r="D3460" s="236"/>
    </row>
    <row r="3461" spans="2:4" ht="12.75" customHeight="1" x14ac:dyDescent="0.2">
      <c r="B3461" s="236"/>
      <c r="C3461" s="236"/>
      <c r="D3461" s="236"/>
    </row>
    <row r="3462" spans="2:4" ht="12.75" customHeight="1" x14ac:dyDescent="0.2">
      <c r="B3462" s="236"/>
      <c r="C3462" s="236"/>
      <c r="D3462" s="236"/>
    </row>
    <row r="3463" spans="2:4" ht="12.75" customHeight="1" x14ac:dyDescent="0.2">
      <c r="B3463" s="236"/>
      <c r="C3463" s="236"/>
      <c r="D3463" s="236"/>
    </row>
    <row r="3464" spans="2:4" ht="12.75" customHeight="1" x14ac:dyDescent="0.2">
      <c r="B3464" s="236"/>
      <c r="C3464" s="236"/>
      <c r="D3464" s="236"/>
    </row>
    <row r="3465" spans="2:4" ht="12.75" customHeight="1" x14ac:dyDescent="0.2">
      <c r="B3465" s="236"/>
      <c r="C3465" s="236"/>
      <c r="D3465" s="236"/>
    </row>
    <row r="3466" spans="2:4" ht="12.75" customHeight="1" x14ac:dyDescent="0.2">
      <c r="B3466" s="236"/>
      <c r="C3466" s="236"/>
      <c r="D3466" s="236"/>
    </row>
    <row r="3467" spans="2:4" ht="12.75" customHeight="1" x14ac:dyDescent="0.2">
      <c r="B3467" s="236"/>
      <c r="C3467" s="236"/>
      <c r="D3467" s="236"/>
    </row>
    <row r="3468" spans="2:4" ht="12.75" customHeight="1" x14ac:dyDescent="0.2">
      <c r="B3468" s="236"/>
      <c r="C3468" s="236"/>
      <c r="D3468" s="236"/>
    </row>
    <row r="3469" spans="2:4" ht="12.75" customHeight="1" x14ac:dyDescent="0.2">
      <c r="B3469" s="236"/>
      <c r="C3469" s="236"/>
      <c r="D3469" s="236"/>
    </row>
    <row r="3470" spans="2:4" ht="12.75" customHeight="1" x14ac:dyDescent="0.2">
      <c r="B3470" s="236"/>
      <c r="C3470" s="236"/>
      <c r="D3470" s="236"/>
    </row>
    <row r="3471" spans="2:4" ht="12.75" customHeight="1" x14ac:dyDescent="0.2">
      <c r="B3471" s="236"/>
      <c r="C3471" s="236"/>
      <c r="D3471" s="236"/>
    </row>
    <row r="3472" spans="2:4" ht="12.75" customHeight="1" x14ac:dyDescent="0.2">
      <c r="B3472" s="236"/>
      <c r="C3472" s="236"/>
      <c r="D3472" s="236"/>
    </row>
    <row r="3473" spans="2:4" ht="12.75" customHeight="1" x14ac:dyDescent="0.2">
      <c r="B3473" s="236"/>
      <c r="C3473" s="236"/>
      <c r="D3473" s="236"/>
    </row>
    <row r="3474" spans="2:4" ht="12.75" customHeight="1" x14ac:dyDescent="0.2">
      <c r="B3474" s="236"/>
      <c r="C3474" s="236"/>
      <c r="D3474" s="236"/>
    </row>
    <row r="3475" spans="2:4" ht="12.75" customHeight="1" x14ac:dyDescent="0.2">
      <c r="B3475" s="236"/>
      <c r="C3475" s="236"/>
      <c r="D3475" s="236"/>
    </row>
    <row r="3476" spans="2:4" ht="12.75" customHeight="1" x14ac:dyDescent="0.2">
      <c r="B3476" s="236"/>
      <c r="C3476" s="236"/>
      <c r="D3476" s="236"/>
    </row>
    <row r="3477" spans="2:4" ht="12.75" customHeight="1" x14ac:dyDescent="0.2">
      <c r="B3477" s="236"/>
      <c r="C3477" s="236"/>
      <c r="D3477" s="236"/>
    </row>
    <row r="3478" spans="2:4" ht="12.75" customHeight="1" x14ac:dyDescent="0.2">
      <c r="B3478" s="236"/>
      <c r="C3478" s="236"/>
      <c r="D3478" s="236"/>
    </row>
    <row r="3479" spans="2:4" ht="12.75" customHeight="1" x14ac:dyDescent="0.2">
      <c r="B3479" s="236"/>
      <c r="C3479" s="236"/>
      <c r="D3479" s="236"/>
    </row>
    <row r="3480" spans="2:4" ht="12.75" customHeight="1" x14ac:dyDescent="0.2">
      <c r="B3480" s="236"/>
      <c r="C3480" s="236"/>
      <c r="D3480" s="236"/>
    </row>
    <row r="3481" spans="2:4" x14ac:dyDescent="0.2">
      <c r="B3481" s="236"/>
      <c r="C3481" s="236"/>
      <c r="D3481" s="236"/>
    </row>
    <row r="3482" spans="2:4" ht="12.75" customHeight="1" x14ac:dyDescent="0.2">
      <c r="B3482" s="236"/>
      <c r="C3482" s="236"/>
      <c r="D3482" s="236"/>
    </row>
    <row r="3483" spans="2:4" x14ac:dyDescent="0.2">
      <c r="B3483" s="236"/>
      <c r="C3483" s="236"/>
      <c r="D3483" s="236"/>
    </row>
    <row r="3484" spans="2:4" x14ac:dyDescent="0.2">
      <c r="B3484" s="236"/>
      <c r="C3484" s="236"/>
      <c r="D3484" s="236"/>
    </row>
    <row r="3485" spans="2:4" x14ac:dyDescent="0.2">
      <c r="B3485" s="236"/>
      <c r="C3485" s="236"/>
      <c r="D3485" s="236"/>
    </row>
    <row r="3486" spans="2:4" ht="12.75" customHeight="1" x14ac:dyDescent="0.2">
      <c r="B3486" s="236"/>
      <c r="C3486" s="236"/>
      <c r="D3486" s="236"/>
    </row>
    <row r="3487" spans="2:4" x14ac:dyDescent="0.2">
      <c r="B3487" s="236"/>
      <c r="C3487" s="236"/>
      <c r="D3487" s="236"/>
    </row>
    <row r="3488" spans="2:4" ht="12.75" customHeight="1" x14ac:dyDescent="0.2">
      <c r="B3488" s="236"/>
      <c r="C3488" s="236"/>
      <c r="D3488" s="236"/>
    </row>
    <row r="3489" spans="2:4" ht="12.75" customHeight="1" x14ac:dyDescent="0.2">
      <c r="B3489" s="236"/>
      <c r="C3489" s="236"/>
      <c r="D3489" s="236"/>
    </row>
    <row r="3490" spans="2:4" ht="12.75" customHeight="1" x14ac:dyDescent="0.2">
      <c r="B3490" s="236"/>
      <c r="C3490" s="236"/>
      <c r="D3490" s="236"/>
    </row>
    <row r="3491" spans="2:4" ht="12.75" customHeight="1" x14ac:dyDescent="0.2">
      <c r="B3491" s="236"/>
      <c r="C3491" s="236"/>
      <c r="D3491" s="236"/>
    </row>
    <row r="3492" spans="2:4" ht="12.75" customHeight="1" x14ac:dyDescent="0.2">
      <c r="B3492" s="236"/>
      <c r="C3492" s="236"/>
      <c r="D3492" s="236"/>
    </row>
    <row r="3493" spans="2:4" ht="12.75" customHeight="1" x14ac:dyDescent="0.2">
      <c r="B3493" s="236"/>
      <c r="C3493" s="236"/>
      <c r="D3493" s="236"/>
    </row>
    <row r="3494" spans="2:4" ht="12.75" customHeight="1" x14ac:dyDescent="0.2">
      <c r="B3494" s="236"/>
      <c r="C3494" s="236"/>
      <c r="D3494" s="236"/>
    </row>
    <row r="3495" spans="2:4" ht="12.75" customHeight="1" x14ac:dyDescent="0.2">
      <c r="B3495" s="236"/>
      <c r="C3495" s="236"/>
      <c r="D3495" s="236"/>
    </row>
    <row r="3496" spans="2:4" ht="12.75" customHeight="1" x14ac:dyDescent="0.2">
      <c r="B3496" s="236"/>
      <c r="C3496" s="236"/>
      <c r="D3496" s="236"/>
    </row>
    <row r="3497" spans="2:4" ht="12.75" customHeight="1" x14ac:dyDescent="0.2">
      <c r="B3497" s="236"/>
      <c r="C3497" s="236"/>
      <c r="D3497" s="236"/>
    </row>
    <row r="3498" spans="2:4" ht="12.75" customHeight="1" x14ac:dyDescent="0.2">
      <c r="B3498" s="236"/>
      <c r="C3498" s="236"/>
      <c r="D3498" s="236"/>
    </row>
    <row r="3499" spans="2:4" ht="12.75" customHeight="1" x14ac:dyDescent="0.2">
      <c r="B3499" s="236"/>
      <c r="C3499" s="236"/>
      <c r="D3499" s="236"/>
    </row>
    <row r="3500" spans="2:4" ht="12.75" customHeight="1" x14ac:dyDescent="0.2">
      <c r="B3500" s="236"/>
      <c r="C3500" s="236"/>
      <c r="D3500" s="236"/>
    </row>
    <row r="3501" spans="2:4" ht="12.75" customHeight="1" x14ac:dyDescent="0.2">
      <c r="B3501" s="236"/>
      <c r="C3501" s="236"/>
      <c r="D3501" s="236"/>
    </row>
    <row r="3502" spans="2:4" ht="12.75" customHeight="1" x14ac:dyDescent="0.2">
      <c r="B3502" s="236"/>
      <c r="C3502" s="236"/>
      <c r="D3502" s="236"/>
    </row>
    <row r="3503" spans="2:4" x14ac:dyDescent="0.2">
      <c r="B3503" s="236"/>
      <c r="C3503" s="236"/>
      <c r="D3503" s="236"/>
    </row>
    <row r="3504" spans="2:4" ht="12.75" customHeight="1" x14ac:dyDescent="0.2">
      <c r="B3504" s="236"/>
      <c r="C3504" s="236"/>
      <c r="D3504" s="236"/>
    </row>
    <row r="3505" spans="2:4" x14ac:dyDescent="0.2">
      <c r="B3505" s="236"/>
      <c r="C3505" s="236"/>
      <c r="D3505" s="236"/>
    </row>
    <row r="3506" spans="2:4" x14ac:dyDescent="0.2">
      <c r="B3506" s="236"/>
      <c r="C3506" s="236"/>
      <c r="D3506" s="236"/>
    </row>
    <row r="3507" spans="2:4" x14ac:dyDescent="0.2">
      <c r="B3507" s="236"/>
      <c r="C3507" s="236"/>
      <c r="D3507" s="236"/>
    </row>
    <row r="3508" spans="2:4" ht="12.75" customHeight="1" x14ac:dyDescent="0.2">
      <c r="B3508" s="236"/>
      <c r="C3508" s="236"/>
      <c r="D3508" s="236"/>
    </row>
    <row r="3509" spans="2:4" x14ac:dyDescent="0.2">
      <c r="B3509" s="236"/>
      <c r="C3509" s="236"/>
      <c r="D3509" s="236"/>
    </row>
    <row r="3510" spans="2:4" ht="12.75" customHeight="1" x14ac:dyDescent="0.2">
      <c r="B3510" s="236"/>
      <c r="C3510" s="236"/>
      <c r="D3510" s="236"/>
    </row>
    <row r="3511" spans="2:4" ht="12.75" customHeight="1" x14ac:dyDescent="0.2">
      <c r="B3511" s="236"/>
      <c r="C3511" s="236"/>
      <c r="D3511" s="236"/>
    </row>
    <row r="3512" spans="2:4" ht="12.75" customHeight="1" x14ac:dyDescent="0.2">
      <c r="B3512" s="236"/>
      <c r="C3512" s="236"/>
      <c r="D3512" s="236"/>
    </row>
    <row r="3513" spans="2:4" ht="12.75" customHeight="1" x14ac:dyDescent="0.2">
      <c r="B3513" s="236"/>
      <c r="C3513" s="236"/>
      <c r="D3513" s="236"/>
    </row>
    <row r="3514" spans="2:4" ht="12.75" customHeight="1" x14ac:dyDescent="0.2">
      <c r="B3514" s="236"/>
      <c r="C3514" s="236"/>
      <c r="D3514" s="236"/>
    </row>
    <row r="3515" spans="2:4" ht="12.75" customHeight="1" x14ac:dyDescent="0.2">
      <c r="B3515" s="236"/>
      <c r="C3515" s="236"/>
      <c r="D3515" s="236"/>
    </row>
    <row r="3516" spans="2:4" ht="12.75" customHeight="1" x14ac:dyDescent="0.2">
      <c r="B3516" s="236"/>
      <c r="C3516" s="236"/>
      <c r="D3516" s="236"/>
    </row>
    <row r="3517" spans="2:4" ht="12.75" customHeight="1" x14ac:dyDescent="0.2">
      <c r="B3517" s="236"/>
      <c r="C3517" s="236"/>
      <c r="D3517" s="236"/>
    </row>
    <row r="3518" spans="2:4" ht="12.75" customHeight="1" x14ac:dyDescent="0.2">
      <c r="B3518" s="236"/>
      <c r="C3518" s="236"/>
      <c r="D3518" s="236"/>
    </row>
    <row r="3519" spans="2:4" ht="12.75" customHeight="1" x14ac:dyDescent="0.2">
      <c r="B3519" s="236"/>
      <c r="C3519" s="236"/>
      <c r="D3519" s="236"/>
    </row>
    <row r="3520" spans="2:4" ht="12.75" customHeight="1" x14ac:dyDescent="0.2">
      <c r="B3520" s="236"/>
      <c r="C3520" s="236"/>
      <c r="D3520" s="236"/>
    </row>
    <row r="3521" spans="2:4" ht="12.75" customHeight="1" x14ac:dyDescent="0.2">
      <c r="B3521" s="236"/>
      <c r="C3521" s="236"/>
      <c r="D3521" s="236"/>
    </row>
    <row r="3522" spans="2:4" ht="12.75" customHeight="1" x14ac:dyDescent="0.2">
      <c r="B3522" s="236"/>
      <c r="C3522" s="236"/>
      <c r="D3522" s="236"/>
    </row>
    <row r="3523" spans="2:4" ht="12.75" customHeight="1" x14ac:dyDescent="0.2">
      <c r="B3523" s="236"/>
      <c r="C3523" s="236"/>
      <c r="D3523" s="236"/>
    </row>
    <row r="3524" spans="2:4" ht="12.75" customHeight="1" x14ac:dyDescent="0.2">
      <c r="B3524" s="236"/>
      <c r="C3524" s="236"/>
      <c r="D3524" s="236"/>
    </row>
    <row r="3525" spans="2:4" ht="12.75" customHeight="1" x14ac:dyDescent="0.2">
      <c r="B3525" s="236"/>
      <c r="C3525" s="236"/>
      <c r="D3525" s="236"/>
    </row>
    <row r="3526" spans="2:4" x14ac:dyDescent="0.2">
      <c r="B3526" s="236"/>
      <c r="C3526" s="236"/>
      <c r="D3526" s="236"/>
    </row>
    <row r="3527" spans="2:4" x14ac:dyDescent="0.2">
      <c r="B3527" s="236"/>
      <c r="C3527" s="236"/>
      <c r="D3527" s="236"/>
    </row>
    <row r="3528" spans="2:4" x14ac:dyDescent="0.2">
      <c r="B3528" s="236"/>
      <c r="C3528" s="236"/>
      <c r="D3528" s="236"/>
    </row>
    <row r="3529" spans="2:4" ht="12.75" customHeight="1" x14ac:dyDescent="0.2">
      <c r="B3529" s="236"/>
      <c r="C3529" s="236"/>
      <c r="D3529" s="236"/>
    </row>
    <row r="3530" spans="2:4" x14ac:dyDescent="0.2">
      <c r="B3530" s="236"/>
      <c r="C3530" s="236"/>
      <c r="D3530" s="236"/>
    </row>
    <row r="3531" spans="2:4" ht="12.75" customHeight="1" x14ac:dyDescent="0.2">
      <c r="B3531" s="236"/>
      <c r="C3531" s="236"/>
      <c r="D3531" s="236"/>
    </row>
    <row r="3532" spans="2:4" x14ac:dyDescent="0.2">
      <c r="B3532" s="236"/>
      <c r="C3532" s="236"/>
      <c r="D3532" s="236"/>
    </row>
    <row r="3533" spans="2:4" ht="12.75" customHeight="1" x14ac:dyDescent="0.2">
      <c r="B3533" s="236"/>
      <c r="C3533" s="236"/>
      <c r="D3533" s="236"/>
    </row>
    <row r="3534" spans="2:4" ht="12.75" customHeight="1" x14ac:dyDescent="0.2">
      <c r="B3534" s="236"/>
      <c r="C3534" s="236"/>
      <c r="D3534" s="236"/>
    </row>
    <row r="3535" spans="2:4" ht="12.75" customHeight="1" x14ac:dyDescent="0.2">
      <c r="B3535" s="236"/>
      <c r="C3535" s="236"/>
      <c r="D3535" s="236"/>
    </row>
    <row r="3536" spans="2:4" ht="12.75" customHeight="1" x14ac:dyDescent="0.2">
      <c r="B3536" s="236"/>
      <c r="C3536" s="236"/>
      <c r="D3536" s="236"/>
    </row>
    <row r="3537" spans="2:4" x14ac:dyDescent="0.2">
      <c r="B3537" s="236"/>
      <c r="C3537" s="236"/>
      <c r="D3537" s="236"/>
    </row>
    <row r="3538" spans="2:4" ht="12.75" customHeight="1" x14ac:dyDescent="0.2">
      <c r="B3538" s="236"/>
      <c r="C3538" s="236"/>
      <c r="D3538" s="236"/>
    </row>
    <row r="3539" spans="2:4" x14ac:dyDescent="0.2">
      <c r="B3539" s="236"/>
      <c r="C3539" s="236"/>
      <c r="D3539" s="236"/>
    </row>
    <row r="3540" spans="2:4" ht="12.75" customHeight="1" x14ac:dyDescent="0.2">
      <c r="B3540" s="236"/>
      <c r="C3540" s="236"/>
      <c r="D3540" s="236"/>
    </row>
    <row r="3541" spans="2:4" x14ac:dyDescent="0.2">
      <c r="B3541" s="236"/>
      <c r="C3541" s="236"/>
      <c r="D3541" s="236"/>
    </row>
    <row r="3542" spans="2:4" ht="12.75" customHeight="1" x14ac:dyDescent="0.2">
      <c r="B3542" s="236"/>
      <c r="C3542" s="236"/>
      <c r="D3542" s="236"/>
    </row>
    <row r="3543" spans="2:4" x14ac:dyDescent="0.2">
      <c r="B3543" s="236"/>
      <c r="C3543" s="236"/>
      <c r="D3543" s="236"/>
    </row>
    <row r="3544" spans="2:4" ht="12.75" customHeight="1" x14ac:dyDescent="0.2">
      <c r="B3544" s="236"/>
      <c r="C3544" s="236"/>
      <c r="D3544" s="236"/>
    </row>
    <row r="3545" spans="2:4" x14ac:dyDescent="0.2">
      <c r="B3545" s="236"/>
      <c r="C3545" s="236"/>
      <c r="D3545" s="236"/>
    </row>
    <row r="3546" spans="2:4" ht="12.75" customHeight="1" x14ac:dyDescent="0.2">
      <c r="B3546" s="236"/>
      <c r="C3546" s="236"/>
      <c r="D3546" s="236"/>
    </row>
    <row r="3547" spans="2:4" x14ac:dyDescent="0.2">
      <c r="B3547" s="236"/>
      <c r="C3547" s="236"/>
      <c r="D3547" s="236"/>
    </row>
    <row r="3548" spans="2:4" ht="12.75" customHeight="1" x14ac:dyDescent="0.2">
      <c r="B3548" s="236"/>
      <c r="C3548" s="236"/>
      <c r="D3548" s="236"/>
    </row>
    <row r="3549" spans="2:4" x14ac:dyDescent="0.2">
      <c r="B3549" s="236"/>
      <c r="C3549" s="236"/>
      <c r="D3549" s="236"/>
    </row>
    <row r="3550" spans="2:4" ht="12.75" customHeight="1" x14ac:dyDescent="0.2">
      <c r="B3550" s="236"/>
      <c r="C3550" s="236"/>
      <c r="D3550" s="236"/>
    </row>
    <row r="3551" spans="2:4" x14ac:dyDescent="0.2">
      <c r="B3551" s="236"/>
      <c r="C3551" s="236"/>
      <c r="D3551" s="236"/>
    </row>
    <row r="3552" spans="2:4" ht="12.75" customHeight="1" x14ac:dyDescent="0.2">
      <c r="B3552" s="236"/>
      <c r="C3552" s="236"/>
      <c r="D3552" s="236"/>
    </row>
    <row r="3553" spans="2:4" ht="12.75" customHeight="1" x14ac:dyDescent="0.2">
      <c r="B3553" s="236"/>
      <c r="C3553" s="236"/>
      <c r="D3553" s="236"/>
    </row>
    <row r="3554" spans="2:4" ht="12.75" customHeight="1" x14ac:dyDescent="0.2">
      <c r="B3554" s="236"/>
      <c r="C3554" s="236"/>
      <c r="D3554" s="236"/>
    </row>
    <row r="3555" spans="2:4" ht="12.75" customHeight="1" x14ac:dyDescent="0.2">
      <c r="B3555" s="236"/>
      <c r="C3555" s="236"/>
      <c r="D3555" s="236"/>
    </row>
    <row r="3556" spans="2:4" ht="12.75" customHeight="1" x14ac:dyDescent="0.2">
      <c r="B3556" s="236"/>
      <c r="C3556" s="236"/>
      <c r="D3556" s="236"/>
    </row>
    <row r="3557" spans="2:4" ht="12.75" customHeight="1" x14ac:dyDescent="0.2">
      <c r="B3557" s="236"/>
      <c r="C3557" s="236"/>
      <c r="D3557" s="236"/>
    </row>
    <row r="3558" spans="2:4" ht="12.75" customHeight="1" x14ac:dyDescent="0.2">
      <c r="B3558" s="236"/>
      <c r="C3558" s="236"/>
      <c r="D3558" s="236"/>
    </row>
    <row r="3559" spans="2:4" ht="12.75" customHeight="1" x14ac:dyDescent="0.2">
      <c r="B3559" s="236"/>
      <c r="C3559" s="236"/>
      <c r="D3559" s="236"/>
    </row>
    <row r="3560" spans="2:4" ht="12.75" customHeight="1" x14ac:dyDescent="0.2">
      <c r="B3560" s="236"/>
      <c r="C3560" s="236"/>
      <c r="D3560" s="236"/>
    </row>
    <row r="3561" spans="2:4" ht="12.75" customHeight="1" x14ac:dyDescent="0.2">
      <c r="B3561" s="236"/>
      <c r="C3561" s="236"/>
      <c r="D3561" s="236"/>
    </row>
    <row r="3562" spans="2:4" ht="12.75" customHeight="1" x14ac:dyDescent="0.2">
      <c r="B3562" s="236"/>
      <c r="C3562" s="236"/>
      <c r="D3562" s="236"/>
    </row>
    <row r="3563" spans="2:4" ht="12.75" customHeight="1" x14ac:dyDescent="0.2">
      <c r="B3563" s="236"/>
      <c r="C3563" s="236"/>
      <c r="D3563" s="236"/>
    </row>
    <row r="3564" spans="2:4" ht="12.75" customHeight="1" x14ac:dyDescent="0.2">
      <c r="B3564" s="236"/>
      <c r="C3564" s="236"/>
      <c r="D3564" s="236"/>
    </row>
    <row r="3565" spans="2:4" x14ac:dyDescent="0.2">
      <c r="B3565" s="236"/>
      <c r="C3565" s="236"/>
      <c r="D3565" s="236"/>
    </row>
    <row r="3566" spans="2:4" ht="12.75" customHeight="1" x14ac:dyDescent="0.2">
      <c r="B3566" s="236"/>
      <c r="C3566" s="236"/>
      <c r="D3566" s="236"/>
    </row>
    <row r="3567" spans="2:4" x14ac:dyDescent="0.2">
      <c r="B3567" s="236"/>
      <c r="C3567" s="236"/>
      <c r="D3567" s="236"/>
    </row>
    <row r="3568" spans="2:4" x14ac:dyDescent="0.2">
      <c r="B3568" s="236"/>
      <c r="C3568" s="236"/>
      <c r="D3568" s="236"/>
    </row>
    <row r="3569" spans="2:4" x14ac:dyDescent="0.2">
      <c r="B3569" s="236"/>
      <c r="C3569" s="236"/>
      <c r="D3569" s="236"/>
    </row>
    <row r="3570" spans="2:4" ht="12.75" customHeight="1" x14ac:dyDescent="0.2">
      <c r="B3570" s="236"/>
      <c r="C3570" s="236"/>
      <c r="D3570" s="236"/>
    </row>
    <row r="3571" spans="2:4" ht="12.75" customHeight="1" x14ac:dyDescent="0.2">
      <c r="B3571" s="236"/>
      <c r="C3571" s="236"/>
      <c r="D3571" s="236"/>
    </row>
    <row r="3572" spans="2:4" ht="12.75" customHeight="1" x14ac:dyDescent="0.2">
      <c r="B3572" s="236"/>
      <c r="C3572" s="236"/>
      <c r="D3572" s="236"/>
    </row>
    <row r="3573" spans="2:4" x14ac:dyDescent="0.2">
      <c r="B3573" s="236"/>
      <c r="C3573" s="236"/>
      <c r="D3573" s="236"/>
    </row>
    <row r="3574" spans="2:4" ht="12.75" customHeight="1" x14ac:dyDescent="0.2">
      <c r="B3574" s="236"/>
      <c r="C3574" s="236"/>
      <c r="D3574" s="236"/>
    </row>
    <row r="3575" spans="2:4" ht="12.75" customHeight="1" x14ac:dyDescent="0.2">
      <c r="B3575" s="236"/>
      <c r="C3575" s="236"/>
      <c r="D3575" s="236"/>
    </row>
    <row r="3576" spans="2:4" x14ac:dyDescent="0.2">
      <c r="B3576" s="236"/>
      <c r="C3576" s="236"/>
      <c r="D3576" s="236"/>
    </row>
    <row r="3577" spans="2:4" x14ac:dyDescent="0.2">
      <c r="B3577" s="236"/>
      <c r="C3577" s="236"/>
      <c r="D3577" s="236"/>
    </row>
    <row r="3578" spans="2:4" ht="12.75" customHeight="1" x14ac:dyDescent="0.2">
      <c r="B3578" s="236"/>
      <c r="C3578" s="236"/>
      <c r="D3578" s="236"/>
    </row>
    <row r="3579" spans="2:4" x14ac:dyDescent="0.2">
      <c r="B3579" s="236"/>
      <c r="C3579" s="236"/>
      <c r="D3579" s="236"/>
    </row>
    <row r="3580" spans="2:4" x14ac:dyDescent="0.2">
      <c r="B3580" s="236"/>
      <c r="C3580" s="236"/>
      <c r="D3580" s="236"/>
    </row>
    <row r="3581" spans="2:4" x14ac:dyDescent="0.2">
      <c r="B3581" s="236"/>
      <c r="C3581" s="236"/>
      <c r="D3581" s="236"/>
    </row>
    <row r="3582" spans="2:4" ht="12.75" customHeight="1" x14ac:dyDescent="0.2">
      <c r="B3582" s="236"/>
      <c r="C3582" s="236"/>
      <c r="D3582" s="236"/>
    </row>
    <row r="3583" spans="2:4" ht="12.75" customHeight="1" x14ac:dyDescent="0.2">
      <c r="B3583" s="236"/>
      <c r="C3583" s="236"/>
      <c r="D3583" s="236"/>
    </row>
    <row r="3584" spans="2:4" x14ac:dyDescent="0.2">
      <c r="B3584" s="236"/>
      <c r="C3584" s="236"/>
      <c r="D3584" s="236"/>
    </row>
    <row r="3585" spans="2:4" x14ac:dyDescent="0.2">
      <c r="B3585" s="236"/>
      <c r="C3585" s="236"/>
      <c r="D3585" s="236"/>
    </row>
    <row r="3586" spans="2:4" ht="12.75" customHeight="1" x14ac:dyDescent="0.2">
      <c r="B3586" s="236"/>
      <c r="C3586" s="236"/>
      <c r="D3586" s="236"/>
    </row>
    <row r="3587" spans="2:4" x14ac:dyDescent="0.2">
      <c r="B3587" s="236"/>
      <c r="C3587" s="236"/>
      <c r="D3587" s="236"/>
    </row>
    <row r="3588" spans="2:4" ht="12.75" customHeight="1" x14ac:dyDescent="0.2">
      <c r="B3588" s="236"/>
      <c r="C3588" s="236"/>
      <c r="D3588" s="236"/>
    </row>
    <row r="3589" spans="2:4" ht="12.75" customHeight="1" x14ac:dyDescent="0.2">
      <c r="B3589" s="236"/>
      <c r="C3589" s="236"/>
      <c r="D3589" s="236"/>
    </row>
    <row r="3590" spans="2:4" ht="12.75" customHeight="1" x14ac:dyDescent="0.2">
      <c r="B3590" s="236"/>
      <c r="C3590" s="236"/>
      <c r="D3590" s="236"/>
    </row>
    <row r="3591" spans="2:4" x14ac:dyDescent="0.2">
      <c r="B3591" s="236"/>
      <c r="C3591" s="236"/>
      <c r="D3591" s="236"/>
    </row>
    <row r="3592" spans="2:4" ht="12.75" customHeight="1" x14ac:dyDescent="0.2">
      <c r="B3592" s="236"/>
      <c r="C3592" s="236"/>
      <c r="D3592" s="236"/>
    </row>
    <row r="3593" spans="2:4" x14ac:dyDescent="0.2">
      <c r="B3593" s="236"/>
      <c r="C3593" s="236"/>
      <c r="D3593" s="236"/>
    </row>
    <row r="3594" spans="2:4" ht="12.75" customHeight="1" x14ac:dyDescent="0.2">
      <c r="B3594" s="236"/>
      <c r="C3594" s="236"/>
      <c r="D3594" s="236"/>
    </row>
    <row r="3595" spans="2:4" ht="12.75" customHeight="1" x14ac:dyDescent="0.2">
      <c r="B3595" s="236"/>
      <c r="C3595" s="236"/>
      <c r="D3595" s="236"/>
    </row>
    <row r="3596" spans="2:4" ht="12.75" customHeight="1" x14ac:dyDescent="0.2">
      <c r="B3596" s="236"/>
      <c r="C3596" s="236"/>
      <c r="D3596" s="236"/>
    </row>
    <row r="3597" spans="2:4" ht="12.75" customHeight="1" x14ac:dyDescent="0.2">
      <c r="B3597" s="236"/>
      <c r="C3597" s="236"/>
      <c r="D3597" s="236"/>
    </row>
    <row r="3598" spans="2:4" ht="12.75" customHeight="1" x14ac:dyDescent="0.2">
      <c r="B3598" s="236"/>
      <c r="C3598" s="236"/>
      <c r="D3598" s="236"/>
    </row>
    <row r="3599" spans="2:4" ht="12.75" customHeight="1" x14ac:dyDescent="0.2">
      <c r="B3599" s="236"/>
      <c r="C3599" s="236"/>
      <c r="D3599" s="236"/>
    </row>
    <row r="3600" spans="2:4" ht="12.75" customHeight="1" x14ac:dyDescent="0.2">
      <c r="B3600" s="236"/>
      <c r="C3600" s="236"/>
      <c r="D3600" s="236"/>
    </row>
    <row r="3601" spans="2:4" x14ac:dyDescent="0.2">
      <c r="B3601" s="236"/>
      <c r="C3601" s="236"/>
      <c r="D3601" s="236"/>
    </row>
    <row r="3602" spans="2:4" ht="12.75" customHeight="1" x14ac:dyDescent="0.2">
      <c r="B3602" s="236"/>
      <c r="C3602" s="236"/>
      <c r="D3602" s="236"/>
    </row>
    <row r="3603" spans="2:4" x14ac:dyDescent="0.2">
      <c r="B3603" s="236"/>
      <c r="C3603" s="236"/>
      <c r="D3603" s="236"/>
    </row>
    <row r="3604" spans="2:4" ht="12.75" customHeight="1" x14ac:dyDescent="0.2">
      <c r="B3604" s="236"/>
      <c r="C3604" s="236"/>
      <c r="D3604" s="236"/>
    </row>
    <row r="3605" spans="2:4" ht="12.75" customHeight="1" x14ac:dyDescent="0.2">
      <c r="B3605" s="236"/>
      <c r="C3605" s="236"/>
      <c r="D3605" s="236"/>
    </row>
    <row r="3606" spans="2:4" ht="12.75" customHeight="1" x14ac:dyDescent="0.2">
      <c r="B3606" s="236"/>
      <c r="C3606" s="236"/>
      <c r="D3606" s="236"/>
    </row>
    <row r="3607" spans="2:4" ht="12.75" customHeight="1" x14ac:dyDescent="0.2">
      <c r="B3607" s="236"/>
      <c r="C3607" s="236"/>
      <c r="D3607" s="236"/>
    </row>
    <row r="3608" spans="2:4" ht="12.75" customHeight="1" x14ac:dyDescent="0.2">
      <c r="B3608" s="236"/>
      <c r="C3608" s="236"/>
      <c r="D3608" s="236"/>
    </row>
    <row r="3609" spans="2:4" ht="12.75" customHeight="1" x14ac:dyDescent="0.2">
      <c r="B3609" s="236"/>
      <c r="C3609" s="236"/>
      <c r="D3609" s="236"/>
    </row>
    <row r="3610" spans="2:4" ht="12.75" customHeight="1" x14ac:dyDescent="0.2">
      <c r="B3610" s="236"/>
      <c r="C3610" s="236"/>
      <c r="D3610" s="236"/>
    </row>
    <row r="3611" spans="2:4" ht="12.75" customHeight="1" x14ac:dyDescent="0.2">
      <c r="B3611" s="236"/>
      <c r="C3611" s="236"/>
      <c r="D3611" s="236"/>
    </row>
    <row r="3612" spans="2:4" ht="12.75" customHeight="1" x14ac:dyDescent="0.2">
      <c r="B3612" s="236"/>
      <c r="C3612" s="236"/>
      <c r="D3612" s="236"/>
    </row>
    <row r="3613" spans="2:4" ht="12.75" customHeight="1" x14ac:dyDescent="0.2">
      <c r="B3613" s="236"/>
      <c r="C3613" s="236"/>
      <c r="D3613" s="236"/>
    </row>
    <row r="3614" spans="2:4" ht="12.75" customHeight="1" x14ac:dyDescent="0.2">
      <c r="B3614" s="236"/>
      <c r="C3614" s="236"/>
      <c r="D3614" s="236"/>
    </row>
    <row r="3615" spans="2:4" ht="12.75" customHeight="1" x14ac:dyDescent="0.2">
      <c r="B3615" s="236"/>
      <c r="C3615" s="236"/>
      <c r="D3615" s="236"/>
    </row>
    <row r="3616" spans="2:4" ht="12.75" customHeight="1" x14ac:dyDescent="0.2">
      <c r="B3616" s="236"/>
      <c r="C3616" s="236"/>
      <c r="D3616" s="236"/>
    </row>
    <row r="3617" spans="2:4" ht="12.75" customHeight="1" x14ac:dyDescent="0.2">
      <c r="B3617" s="236"/>
      <c r="C3617" s="236"/>
      <c r="D3617" s="236"/>
    </row>
    <row r="3618" spans="2:4" ht="12.75" customHeight="1" x14ac:dyDescent="0.2">
      <c r="B3618" s="236"/>
      <c r="C3618" s="236"/>
      <c r="D3618" s="236"/>
    </row>
    <row r="3619" spans="2:4" ht="12.75" customHeight="1" x14ac:dyDescent="0.2">
      <c r="B3619" s="236"/>
      <c r="C3619" s="236"/>
      <c r="D3619" s="236"/>
    </row>
    <row r="3620" spans="2:4" ht="12.75" customHeight="1" x14ac:dyDescent="0.2">
      <c r="B3620" s="236"/>
      <c r="C3620" s="236"/>
      <c r="D3620" s="236"/>
    </row>
    <row r="3621" spans="2:4" ht="12.75" customHeight="1" x14ac:dyDescent="0.2">
      <c r="B3621" s="236"/>
      <c r="C3621" s="236"/>
      <c r="D3621" s="236"/>
    </row>
    <row r="3622" spans="2:4" ht="12.75" customHeight="1" x14ac:dyDescent="0.2">
      <c r="B3622" s="236"/>
      <c r="C3622" s="236"/>
      <c r="D3622" s="236"/>
    </row>
    <row r="3623" spans="2:4" ht="12.75" customHeight="1" x14ac:dyDescent="0.2">
      <c r="B3623" s="236"/>
      <c r="C3623" s="236"/>
      <c r="D3623" s="236"/>
    </row>
    <row r="3624" spans="2:4" ht="12.75" customHeight="1" x14ac:dyDescent="0.2">
      <c r="B3624" s="236"/>
      <c r="C3624" s="236"/>
      <c r="D3624" s="236"/>
    </row>
    <row r="3625" spans="2:4" ht="12.75" customHeight="1" x14ac:dyDescent="0.2">
      <c r="B3625" s="236"/>
      <c r="C3625" s="236"/>
      <c r="D3625" s="236"/>
    </row>
    <row r="3626" spans="2:4" ht="12.75" customHeight="1" x14ac:dyDescent="0.2">
      <c r="B3626" s="236"/>
      <c r="C3626" s="236"/>
      <c r="D3626" s="236"/>
    </row>
    <row r="3627" spans="2:4" ht="12.75" customHeight="1" x14ac:dyDescent="0.2">
      <c r="B3627" s="236"/>
      <c r="C3627" s="236"/>
      <c r="D3627" s="236"/>
    </row>
    <row r="3628" spans="2:4" ht="12.75" customHeight="1" x14ac:dyDescent="0.2">
      <c r="B3628" s="236"/>
      <c r="C3628" s="236"/>
      <c r="D3628" s="236"/>
    </row>
    <row r="3629" spans="2:4" ht="12.75" customHeight="1" x14ac:dyDescent="0.2">
      <c r="B3629" s="236"/>
      <c r="C3629" s="236"/>
      <c r="D3629" s="236"/>
    </row>
    <row r="3630" spans="2:4" ht="12.75" customHeight="1" x14ac:dyDescent="0.2">
      <c r="B3630" s="236"/>
      <c r="C3630" s="236"/>
      <c r="D3630" s="236"/>
    </row>
    <row r="3631" spans="2:4" ht="12.75" customHeight="1" x14ac:dyDescent="0.2">
      <c r="B3631" s="236"/>
      <c r="C3631" s="236"/>
      <c r="D3631" s="236"/>
    </row>
    <row r="3632" spans="2:4" x14ac:dyDescent="0.2">
      <c r="B3632" s="236"/>
      <c r="C3632" s="236"/>
      <c r="D3632" s="236"/>
    </row>
    <row r="3633" spans="2:4" x14ac:dyDescent="0.2">
      <c r="B3633" s="236"/>
      <c r="C3633" s="236"/>
      <c r="D3633" s="236"/>
    </row>
    <row r="3634" spans="2:4" x14ac:dyDescent="0.2">
      <c r="B3634" s="236"/>
      <c r="C3634" s="236"/>
      <c r="D3634" s="236"/>
    </row>
    <row r="3635" spans="2:4" ht="12.75" customHeight="1" x14ac:dyDescent="0.2">
      <c r="B3635" s="236"/>
      <c r="C3635" s="236"/>
      <c r="D3635" s="236"/>
    </row>
    <row r="3636" spans="2:4" x14ac:dyDescent="0.2">
      <c r="B3636" s="236"/>
      <c r="C3636" s="236"/>
      <c r="D3636" s="236"/>
    </row>
    <row r="3637" spans="2:4" x14ac:dyDescent="0.2">
      <c r="B3637" s="236"/>
      <c r="C3637" s="236"/>
      <c r="D3637" s="236"/>
    </row>
    <row r="3638" spans="2:4" ht="12.75" customHeight="1" x14ac:dyDescent="0.2">
      <c r="B3638" s="236"/>
      <c r="C3638" s="236"/>
      <c r="D3638" s="236"/>
    </row>
    <row r="3639" spans="2:4" ht="12.75" customHeight="1" x14ac:dyDescent="0.2">
      <c r="B3639" s="236"/>
      <c r="C3639" s="236"/>
      <c r="D3639" s="236"/>
    </row>
    <row r="3640" spans="2:4" ht="12.75" customHeight="1" x14ac:dyDescent="0.2">
      <c r="B3640" s="236"/>
      <c r="C3640" s="236"/>
      <c r="D3640" s="236"/>
    </row>
    <row r="3641" spans="2:4" ht="12.75" customHeight="1" x14ac:dyDescent="0.2">
      <c r="B3641" s="236"/>
      <c r="C3641" s="236"/>
      <c r="D3641" s="236"/>
    </row>
    <row r="3642" spans="2:4" ht="12.75" customHeight="1" x14ac:dyDescent="0.2">
      <c r="B3642" s="236"/>
      <c r="C3642" s="236"/>
      <c r="D3642" s="236"/>
    </row>
    <row r="3643" spans="2:4" ht="12.75" customHeight="1" x14ac:dyDescent="0.2">
      <c r="B3643" s="236"/>
      <c r="C3643" s="236"/>
      <c r="D3643" s="236"/>
    </row>
    <row r="3644" spans="2:4" ht="12.75" customHeight="1" x14ac:dyDescent="0.2">
      <c r="B3644" s="236"/>
      <c r="C3644" s="236"/>
      <c r="D3644" s="236"/>
    </row>
    <row r="3645" spans="2:4" ht="12.75" customHeight="1" x14ac:dyDescent="0.2">
      <c r="B3645" s="236"/>
      <c r="C3645" s="236"/>
      <c r="D3645" s="236"/>
    </row>
    <row r="3646" spans="2:4" ht="12.75" customHeight="1" x14ac:dyDescent="0.2">
      <c r="B3646" s="236"/>
      <c r="C3646" s="236"/>
      <c r="D3646" s="236"/>
    </row>
    <row r="3647" spans="2:4" ht="12.75" customHeight="1" x14ac:dyDescent="0.2">
      <c r="B3647" s="236"/>
      <c r="C3647" s="236"/>
      <c r="D3647" s="236"/>
    </row>
    <row r="3648" spans="2:4" ht="12.75" customHeight="1" x14ac:dyDescent="0.2">
      <c r="B3648" s="236"/>
      <c r="C3648" s="236"/>
      <c r="D3648" s="236"/>
    </row>
    <row r="3649" spans="2:4" ht="12.75" customHeight="1" x14ac:dyDescent="0.2">
      <c r="B3649" s="236"/>
      <c r="C3649" s="236"/>
      <c r="D3649" s="236"/>
    </row>
    <row r="3650" spans="2:4" ht="12.75" customHeight="1" x14ac:dyDescent="0.2">
      <c r="B3650" s="236"/>
      <c r="C3650" s="236"/>
      <c r="D3650" s="236"/>
    </row>
    <row r="3651" spans="2:4" ht="12.75" customHeight="1" x14ac:dyDescent="0.2">
      <c r="B3651" s="236"/>
      <c r="C3651" s="236"/>
      <c r="D3651" s="236"/>
    </row>
    <row r="3652" spans="2:4" ht="12.75" customHeight="1" x14ac:dyDescent="0.2">
      <c r="B3652" s="236"/>
      <c r="C3652" s="236"/>
      <c r="D3652" s="236"/>
    </row>
    <row r="3653" spans="2:4" ht="12.75" customHeight="1" x14ac:dyDescent="0.2">
      <c r="B3653" s="236"/>
      <c r="C3653" s="236"/>
      <c r="D3653" s="236"/>
    </row>
    <row r="3654" spans="2:4" x14ac:dyDescent="0.2">
      <c r="B3654" s="236"/>
      <c r="C3654" s="236"/>
      <c r="D3654" s="236"/>
    </row>
    <row r="3655" spans="2:4" x14ac:dyDescent="0.2">
      <c r="B3655" s="236"/>
      <c r="C3655" s="236"/>
      <c r="D3655" s="236"/>
    </row>
    <row r="3656" spans="2:4" x14ac:dyDescent="0.2">
      <c r="B3656" s="236"/>
      <c r="C3656" s="236"/>
      <c r="D3656" s="236"/>
    </row>
    <row r="3657" spans="2:4" ht="12.75" customHeight="1" x14ac:dyDescent="0.2">
      <c r="B3657" s="236"/>
      <c r="C3657" s="236"/>
      <c r="D3657" s="236"/>
    </row>
    <row r="3658" spans="2:4" x14ac:dyDescent="0.2">
      <c r="B3658" s="236"/>
      <c r="C3658" s="236"/>
      <c r="D3658" s="236"/>
    </row>
    <row r="3659" spans="2:4" x14ac:dyDescent="0.2">
      <c r="B3659" s="236"/>
      <c r="C3659" s="236"/>
      <c r="D3659" s="236"/>
    </row>
    <row r="3660" spans="2:4" ht="12.75" customHeight="1" x14ac:dyDescent="0.2">
      <c r="B3660" s="236"/>
      <c r="C3660" s="236"/>
      <c r="D3660" s="236"/>
    </row>
    <row r="3661" spans="2:4" ht="12.75" customHeight="1" x14ac:dyDescent="0.2">
      <c r="B3661" s="236"/>
      <c r="C3661" s="236"/>
      <c r="D3661" s="236"/>
    </row>
    <row r="3662" spans="2:4" ht="12.75" customHeight="1" x14ac:dyDescent="0.2">
      <c r="B3662" s="236"/>
      <c r="C3662" s="236"/>
      <c r="D3662" s="236"/>
    </row>
    <row r="3663" spans="2:4" ht="12.75" customHeight="1" x14ac:dyDescent="0.2">
      <c r="B3663" s="236"/>
      <c r="C3663" s="236"/>
      <c r="D3663" s="236"/>
    </row>
    <row r="3664" spans="2:4" ht="12.75" customHeight="1" x14ac:dyDescent="0.2">
      <c r="B3664" s="236"/>
      <c r="C3664" s="236"/>
      <c r="D3664" s="236"/>
    </row>
    <row r="3665" spans="2:4" ht="12.75" customHeight="1" x14ac:dyDescent="0.2">
      <c r="B3665" s="236"/>
      <c r="C3665" s="236"/>
      <c r="D3665" s="236"/>
    </row>
    <row r="3666" spans="2:4" ht="12.75" customHeight="1" x14ac:dyDescent="0.2">
      <c r="B3666" s="236"/>
      <c r="C3666" s="236"/>
      <c r="D3666" s="236"/>
    </row>
    <row r="3667" spans="2:4" ht="12.75" customHeight="1" x14ac:dyDescent="0.2">
      <c r="B3667" s="236"/>
      <c r="C3667" s="236"/>
      <c r="D3667" s="236"/>
    </row>
    <row r="3668" spans="2:4" ht="12.75" customHeight="1" x14ac:dyDescent="0.2">
      <c r="B3668" s="236"/>
      <c r="C3668" s="236"/>
      <c r="D3668" s="236"/>
    </row>
    <row r="3669" spans="2:4" ht="12.75" customHeight="1" x14ac:dyDescent="0.2">
      <c r="B3669" s="236"/>
      <c r="C3669" s="236"/>
      <c r="D3669" s="236"/>
    </row>
    <row r="3670" spans="2:4" ht="12.75" customHeight="1" x14ac:dyDescent="0.2">
      <c r="B3670" s="236"/>
      <c r="C3670" s="236"/>
      <c r="D3670" s="236"/>
    </row>
    <row r="3671" spans="2:4" ht="12.75" customHeight="1" x14ac:dyDescent="0.2">
      <c r="B3671" s="236"/>
      <c r="C3671" s="236"/>
      <c r="D3671" s="236"/>
    </row>
    <row r="3672" spans="2:4" ht="12.75" customHeight="1" x14ac:dyDescent="0.2">
      <c r="B3672" s="236"/>
      <c r="C3672" s="236"/>
      <c r="D3672" s="236"/>
    </row>
    <row r="3673" spans="2:4" ht="12.75" customHeight="1" x14ac:dyDescent="0.2">
      <c r="B3673" s="236"/>
      <c r="C3673" s="236"/>
      <c r="D3673" s="236"/>
    </row>
    <row r="3674" spans="2:4" ht="12.75" customHeight="1" x14ac:dyDescent="0.2">
      <c r="B3674" s="236"/>
      <c r="C3674" s="236"/>
      <c r="D3674" s="236"/>
    </row>
    <row r="3675" spans="2:4" ht="12.75" customHeight="1" x14ac:dyDescent="0.2">
      <c r="B3675" s="236"/>
      <c r="C3675" s="236"/>
      <c r="D3675" s="236"/>
    </row>
    <row r="3676" spans="2:4" x14ac:dyDescent="0.2">
      <c r="B3676" s="236"/>
      <c r="C3676" s="236"/>
      <c r="D3676" s="236"/>
    </row>
    <row r="3677" spans="2:4" x14ac:dyDescent="0.2">
      <c r="B3677" s="236"/>
      <c r="C3677" s="236"/>
      <c r="D3677" s="236"/>
    </row>
    <row r="3678" spans="2:4" x14ac:dyDescent="0.2">
      <c r="B3678" s="236"/>
      <c r="C3678" s="236"/>
      <c r="D3678" s="236"/>
    </row>
    <row r="3679" spans="2:4" ht="12.75" customHeight="1" x14ac:dyDescent="0.2">
      <c r="B3679" s="236"/>
      <c r="C3679" s="236"/>
      <c r="D3679" s="236"/>
    </row>
    <row r="3680" spans="2:4" x14ac:dyDescent="0.2">
      <c r="B3680" s="236"/>
      <c r="C3680" s="236"/>
      <c r="D3680" s="236"/>
    </row>
    <row r="3681" spans="2:4" x14ac:dyDescent="0.2">
      <c r="B3681" s="236"/>
      <c r="C3681" s="236"/>
      <c r="D3681" s="236"/>
    </row>
    <row r="3682" spans="2:4" ht="12.75" customHeight="1" x14ac:dyDescent="0.2">
      <c r="B3682" s="236"/>
      <c r="C3682" s="236"/>
      <c r="D3682" s="236"/>
    </row>
    <row r="3683" spans="2:4" ht="12.75" customHeight="1" x14ac:dyDescent="0.2">
      <c r="B3683" s="236"/>
      <c r="C3683" s="236"/>
      <c r="D3683" s="236"/>
    </row>
    <row r="3684" spans="2:4" ht="12.75" customHeight="1" x14ac:dyDescent="0.2">
      <c r="B3684" s="236"/>
      <c r="C3684" s="236"/>
      <c r="D3684" s="236"/>
    </row>
    <row r="3685" spans="2:4" ht="12.75" customHeight="1" x14ac:dyDescent="0.2">
      <c r="B3685" s="236"/>
      <c r="C3685" s="236"/>
      <c r="D3685" s="236"/>
    </row>
    <row r="3686" spans="2:4" ht="12.75" customHeight="1" x14ac:dyDescent="0.2">
      <c r="B3686" s="236"/>
      <c r="C3686" s="236"/>
      <c r="D3686" s="236"/>
    </row>
    <row r="3687" spans="2:4" ht="12.75" customHeight="1" x14ac:dyDescent="0.2">
      <c r="B3687" s="236"/>
      <c r="C3687" s="236"/>
      <c r="D3687" s="236"/>
    </row>
    <row r="3688" spans="2:4" ht="12.75" customHeight="1" x14ac:dyDescent="0.2">
      <c r="B3688" s="236"/>
      <c r="C3688" s="236"/>
      <c r="D3688" s="236"/>
    </row>
    <row r="3689" spans="2:4" ht="12.75" customHeight="1" x14ac:dyDescent="0.2">
      <c r="B3689" s="236"/>
      <c r="C3689" s="236"/>
      <c r="D3689" s="236"/>
    </row>
    <row r="3690" spans="2:4" ht="12.75" customHeight="1" x14ac:dyDescent="0.2">
      <c r="B3690" s="236"/>
      <c r="C3690" s="236"/>
      <c r="D3690" s="236"/>
    </row>
    <row r="3691" spans="2:4" ht="12.75" customHeight="1" x14ac:dyDescent="0.2">
      <c r="B3691" s="236"/>
      <c r="C3691" s="236"/>
      <c r="D3691" s="236"/>
    </row>
    <row r="3692" spans="2:4" ht="12.75" customHeight="1" x14ac:dyDescent="0.2">
      <c r="B3692" s="236"/>
      <c r="C3692" s="236"/>
      <c r="D3692" s="236"/>
    </row>
    <row r="3693" spans="2:4" ht="12.75" customHeight="1" x14ac:dyDescent="0.2">
      <c r="B3693" s="236"/>
      <c r="C3693" s="236"/>
      <c r="D3693" s="236"/>
    </row>
    <row r="3694" spans="2:4" ht="12.75" customHeight="1" x14ac:dyDescent="0.2">
      <c r="B3694" s="236"/>
      <c r="C3694" s="236"/>
      <c r="D3694" s="236"/>
    </row>
    <row r="3695" spans="2:4" ht="12.75" customHeight="1" x14ac:dyDescent="0.2">
      <c r="B3695" s="236"/>
      <c r="C3695" s="236"/>
      <c r="D3695" s="236"/>
    </row>
    <row r="3696" spans="2:4" ht="12.75" customHeight="1" x14ac:dyDescent="0.2">
      <c r="B3696" s="236"/>
      <c r="C3696" s="236"/>
      <c r="D3696" s="236"/>
    </row>
    <row r="3697" spans="2:4" ht="12.75" customHeight="1" x14ac:dyDescent="0.2">
      <c r="B3697" s="236"/>
      <c r="C3697" s="236"/>
      <c r="D3697" s="236"/>
    </row>
    <row r="3698" spans="2:4" x14ac:dyDescent="0.2">
      <c r="B3698" s="236"/>
      <c r="C3698" s="236"/>
      <c r="D3698" s="236"/>
    </row>
    <row r="3699" spans="2:4" ht="12.75" customHeight="1" x14ac:dyDescent="0.2">
      <c r="B3699" s="236"/>
      <c r="C3699" s="236"/>
      <c r="D3699" s="236"/>
    </row>
    <row r="3700" spans="2:4" ht="12.75" customHeight="1" x14ac:dyDescent="0.2">
      <c r="B3700" s="236"/>
      <c r="C3700" s="236"/>
      <c r="D3700" s="236"/>
    </row>
    <row r="3701" spans="2:4" x14ac:dyDescent="0.2">
      <c r="B3701" s="236"/>
      <c r="C3701" s="236"/>
      <c r="D3701" s="236"/>
    </row>
    <row r="3702" spans="2:4" ht="12.75" customHeight="1" x14ac:dyDescent="0.2">
      <c r="B3702" s="236"/>
      <c r="C3702" s="236"/>
      <c r="D3702" s="236"/>
    </row>
    <row r="3703" spans="2:4" ht="12.75" customHeight="1" x14ac:dyDescent="0.2">
      <c r="B3703" s="236"/>
      <c r="C3703" s="236"/>
      <c r="D3703" s="236"/>
    </row>
    <row r="3704" spans="2:4" ht="12.75" customHeight="1" x14ac:dyDescent="0.2">
      <c r="B3704" s="236"/>
      <c r="C3704" s="236"/>
      <c r="D3704" s="236"/>
    </row>
    <row r="3705" spans="2:4" ht="12.75" customHeight="1" x14ac:dyDescent="0.2">
      <c r="B3705" s="236"/>
      <c r="C3705" s="236"/>
      <c r="D3705" s="236"/>
    </row>
    <row r="3706" spans="2:4" ht="12.75" customHeight="1" x14ac:dyDescent="0.2">
      <c r="B3706" s="236"/>
      <c r="C3706" s="236"/>
      <c r="D3706" s="236"/>
    </row>
    <row r="3707" spans="2:4" ht="12.75" customHeight="1" x14ac:dyDescent="0.2">
      <c r="B3707" s="236"/>
      <c r="C3707" s="236"/>
      <c r="D3707" s="236"/>
    </row>
    <row r="3708" spans="2:4" ht="12.75" customHeight="1" x14ac:dyDescent="0.2">
      <c r="B3708" s="236"/>
      <c r="C3708" s="236"/>
      <c r="D3708" s="236"/>
    </row>
    <row r="3709" spans="2:4" x14ac:dyDescent="0.2">
      <c r="B3709" s="236"/>
      <c r="C3709" s="236"/>
      <c r="D3709" s="236"/>
    </row>
    <row r="3710" spans="2:4" ht="12.75" customHeight="1" x14ac:dyDescent="0.2">
      <c r="B3710" s="236"/>
      <c r="C3710" s="236"/>
      <c r="D3710" s="236"/>
    </row>
    <row r="3711" spans="2:4" ht="12.75" customHeight="1" x14ac:dyDescent="0.2">
      <c r="B3711" s="236"/>
      <c r="C3711" s="236"/>
      <c r="D3711" s="236"/>
    </row>
    <row r="3712" spans="2:4" ht="12.75" customHeight="1" x14ac:dyDescent="0.2">
      <c r="B3712" s="236"/>
      <c r="C3712" s="236"/>
      <c r="D3712" s="236"/>
    </row>
    <row r="3713" spans="2:4" x14ac:dyDescent="0.2">
      <c r="B3713" s="236"/>
      <c r="C3713" s="236"/>
      <c r="D3713" s="236"/>
    </row>
    <row r="3714" spans="2:4" ht="12.75" customHeight="1" x14ac:dyDescent="0.2">
      <c r="B3714" s="236"/>
      <c r="C3714" s="236"/>
      <c r="D3714" s="236"/>
    </row>
    <row r="3715" spans="2:4" x14ac:dyDescent="0.2">
      <c r="B3715" s="236"/>
      <c r="C3715" s="236"/>
      <c r="D3715" s="236"/>
    </row>
    <row r="3716" spans="2:4" ht="12.75" customHeight="1" x14ac:dyDescent="0.2">
      <c r="B3716" s="236"/>
      <c r="C3716" s="236"/>
      <c r="D3716" s="236"/>
    </row>
    <row r="3717" spans="2:4" ht="12.75" customHeight="1" x14ac:dyDescent="0.2">
      <c r="B3717" s="236"/>
      <c r="C3717" s="236"/>
      <c r="D3717" s="236"/>
    </row>
    <row r="3718" spans="2:4" ht="12.75" customHeight="1" x14ac:dyDescent="0.2">
      <c r="B3718" s="236"/>
      <c r="C3718" s="236"/>
      <c r="D3718" s="236"/>
    </row>
    <row r="3719" spans="2:4" x14ac:dyDescent="0.2">
      <c r="B3719" s="236"/>
      <c r="C3719" s="236"/>
      <c r="D3719" s="236"/>
    </row>
    <row r="3720" spans="2:4" ht="12.75" customHeight="1" x14ac:dyDescent="0.2">
      <c r="B3720" s="236"/>
      <c r="C3720" s="236"/>
      <c r="D3720" s="236"/>
    </row>
    <row r="3721" spans="2:4" ht="12.75" customHeight="1" x14ac:dyDescent="0.2">
      <c r="B3721" s="236"/>
      <c r="C3721" s="236"/>
      <c r="D3721" s="236"/>
    </row>
    <row r="3722" spans="2:4" ht="12.75" customHeight="1" x14ac:dyDescent="0.2">
      <c r="B3722" s="236"/>
      <c r="C3722" s="236"/>
      <c r="D3722" s="236"/>
    </row>
    <row r="3723" spans="2:4" x14ac:dyDescent="0.2">
      <c r="B3723" s="236"/>
      <c r="C3723" s="236"/>
      <c r="D3723" s="236"/>
    </row>
    <row r="3724" spans="2:4" ht="12.75" customHeight="1" x14ac:dyDescent="0.2">
      <c r="B3724" s="236"/>
      <c r="C3724" s="236"/>
      <c r="D3724" s="236"/>
    </row>
    <row r="3725" spans="2:4" x14ac:dyDescent="0.2">
      <c r="B3725" s="236"/>
      <c r="C3725" s="236"/>
      <c r="D3725" s="236"/>
    </row>
    <row r="3726" spans="2:4" x14ac:dyDescent="0.2">
      <c r="B3726" s="236"/>
      <c r="C3726" s="236"/>
      <c r="D3726" s="236"/>
    </row>
    <row r="3727" spans="2:4" ht="12.75" customHeight="1" x14ac:dyDescent="0.2">
      <c r="B3727" s="236"/>
      <c r="C3727" s="236"/>
      <c r="D3727" s="236"/>
    </row>
    <row r="3728" spans="2:4" ht="12.75" customHeight="1" x14ac:dyDescent="0.2">
      <c r="B3728" s="236"/>
      <c r="C3728" s="236"/>
      <c r="D3728" s="236"/>
    </row>
    <row r="3729" spans="2:4" ht="12.75" customHeight="1" x14ac:dyDescent="0.2">
      <c r="B3729" s="236"/>
      <c r="C3729" s="236"/>
      <c r="D3729" s="236"/>
    </row>
    <row r="3730" spans="2:4" ht="12.75" customHeight="1" x14ac:dyDescent="0.2">
      <c r="B3730" s="236"/>
      <c r="C3730" s="236"/>
      <c r="D3730" s="236"/>
    </row>
    <row r="3731" spans="2:4" ht="12.75" customHeight="1" x14ac:dyDescent="0.2">
      <c r="B3731" s="236"/>
      <c r="C3731" s="236"/>
      <c r="D3731" s="236"/>
    </row>
    <row r="3732" spans="2:4" ht="12.75" customHeight="1" x14ac:dyDescent="0.2">
      <c r="B3732" s="236"/>
      <c r="C3732" s="236"/>
      <c r="D3732" s="236"/>
    </row>
    <row r="3733" spans="2:4" ht="12.75" customHeight="1" x14ac:dyDescent="0.2">
      <c r="B3733" s="236"/>
      <c r="C3733" s="236"/>
      <c r="D3733" s="236"/>
    </row>
    <row r="3734" spans="2:4" ht="12.75" customHeight="1" x14ac:dyDescent="0.2">
      <c r="B3734" s="236"/>
      <c r="C3734" s="236"/>
      <c r="D3734" s="236"/>
    </row>
    <row r="3735" spans="2:4" ht="12.75" customHeight="1" x14ac:dyDescent="0.2">
      <c r="B3735" s="236"/>
      <c r="C3735" s="236"/>
      <c r="D3735" s="236"/>
    </row>
    <row r="3736" spans="2:4" ht="12.75" customHeight="1" x14ac:dyDescent="0.2">
      <c r="B3736" s="236"/>
      <c r="C3736" s="236"/>
      <c r="D3736" s="236"/>
    </row>
    <row r="3737" spans="2:4" ht="12.75" customHeight="1" x14ac:dyDescent="0.2">
      <c r="B3737" s="236"/>
      <c r="C3737" s="236"/>
      <c r="D3737" s="236"/>
    </row>
    <row r="3738" spans="2:4" ht="12.75" customHeight="1" x14ac:dyDescent="0.2">
      <c r="B3738" s="236"/>
      <c r="C3738" s="236"/>
      <c r="D3738" s="236"/>
    </row>
    <row r="3739" spans="2:4" ht="12.75" customHeight="1" x14ac:dyDescent="0.2">
      <c r="B3739" s="236"/>
      <c r="C3739" s="236"/>
      <c r="D3739" s="236"/>
    </row>
    <row r="3740" spans="2:4" ht="12.75" customHeight="1" x14ac:dyDescent="0.2">
      <c r="B3740" s="236"/>
      <c r="C3740" s="236"/>
      <c r="D3740" s="236"/>
    </row>
    <row r="3741" spans="2:4" x14ac:dyDescent="0.2">
      <c r="B3741" s="236"/>
      <c r="C3741" s="236"/>
      <c r="D3741" s="236"/>
    </row>
    <row r="3742" spans="2:4" ht="12.75" customHeight="1" x14ac:dyDescent="0.2">
      <c r="B3742" s="236"/>
      <c r="C3742" s="236"/>
      <c r="D3742" s="236"/>
    </row>
    <row r="3743" spans="2:4" x14ac:dyDescent="0.2">
      <c r="B3743" s="236"/>
      <c r="C3743" s="236"/>
      <c r="D3743" s="236"/>
    </row>
    <row r="3744" spans="2:4" x14ac:dyDescent="0.2">
      <c r="B3744" s="236"/>
      <c r="C3744" s="236"/>
      <c r="D3744" s="236"/>
    </row>
    <row r="3745" spans="2:4" x14ac:dyDescent="0.2">
      <c r="B3745" s="236"/>
      <c r="C3745" s="236"/>
      <c r="D3745" s="236"/>
    </row>
    <row r="3746" spans="2:4" ht="12.75" customHeight="1" x14ac:dyDescent="0.2">
      <c r="B3746" s="236"/>
      <c r="C3746" s="236"/>
      <c r="D3746" s="236"/>
    </row>
    <row r="3747" spans="2:4" x14ac:dyDescent="0.2">
      <c r="B3747" s="236"/>
      <c r="C3747" s="236"/>
      <c r="D3747" s="236"/>
    </row>
    <row r="3748" spans="2:4" ht="12.75" customHeight="1" x14ac:dyDescent="0.2">
      <c r="B3748" s="236"/>
      <c r="C3748" s="236"/>
      <c r="D3748" s="236"/>
    </row>
    <row r="3749" spans="2:4" ht="12.75" customHeight="1" x14ac:dyDescent="0.2">
      <c r="B3749" s="236"/>
      <c r="C3749" s="236"/>
      <c r="D3749" s="236"/>
    </row>
    <row r="3750" spans="2:4" ht="12.75" customHeight="1" x14ac:dyDescent="0.2">
      <c r="B3750" s="236"/>
      <c r="C3750" s="236"/>
      <c r="D3750" s="236"/>
    </row>
    <row r="3751" spans="2:4" ht="12.75" customHeight="1" x14ac:dyDescent="0.2">
      <c r="B3751" s="236"/>
      <c r="C3751" s="236"/>
      <c r="D3751" s="236"/>
    </row>
    <row r="3752" spans="2:4" ht="12.75" customHeight="1" x14ac:dyDescent="0.2">
      <c r="B3752" s="236"/>
      <c r="C3752" s="236"/>
      <c r="D3752" s="236"/>
    </row>
    <row r="3753" spans="2:4" ht="12.75" customHeight="1" x14ac:dyDescent="0.2">
      <c r="B3753" s="236"/>
      <c r="C3753" s="236"/>
      <c r="D3753" s="236"/>
    </row>
    <row r="3754" spans="2:4" ht="12.75" customHeight="1" x14ac:dyDescent="0.2">
      <c r="B3754" s="236"/>
      <c r="C3754" s="236"/>
      <c r="D3754" s="236"/>
    </row>
    <row r="3755" spans="2:4" ht="12.75" customHeight="1" x14ac:dyDescent="0.2">
      <c r="B3755" s="236"/>
      <c r="C3755" s="236"/>
      <c r="D3755" s="236"/>
    </row>
    <row r="3756" spans="2:4" ht="12.75" customHeight="1" x14ac:dyDescent="0.2">
      <c r="B3756" s="236"/>
      <c r="C3756" s="236"/>
      <c r="D3756" s="236"/>
    </row>
    <row r="3757" spans="2:4" ht="12.75" customHeight="1" x14ac:dyDescent="0.2">
      <c r="B3757" s="236"/>
      <c r="C3757" s="236"/>
      <c r="D3757" s="236"/>
    </row>
    <row r="3758" spans="2:4" ht="12.75" customHeight="1" x14ac:dyDescent="0.2">
      <c r="B3758" s="236"/>
      <c r="C3758" s="236"/>
      <c r="D3758" s="236"/>
    </row>
    <row r="3759" spans="2:4" ht="12.75" customHeight="1" x14ac:dyDescent="0.2">
      <c r="B3759" s="236"/>
      <c r="C3759" s="236"/>
      <c r="D3759" s="236"/>
    </row>
    <row r="3760" spans="2:4" ht="12.75" customHeight="1" x14ac:dyDescent="0.2">
      <c r="B3760" s="236"/>
      <c r="C3760" s="236"/>
      <c r="D3760" s="236"/>
    </row>
    <row r="3761" spans="2:4" ht="12.75" customHeight="1" x14ac:dyDescent="0.2">
      <c r="B3761" s="236"/>
      <c r="C3761" s="236"/>
      <c r="D3761" s="236"/>
    </row>
    <row r="3762" spans="2:4" ht="12.75" customHeight="1" x14ac:dyDescent="0.2">
      <c r="B3762" s="236"/>
      <c r="C3762" s="236"/>
      <c r="D3762" s="236"/>
    </row>
    <row r="3763" spans="2:4" x14ac:dyDescent="0.2">
      <c r="B3763" s="236"/>
      <c r="C3763" s="236"/>
      <c r="D3763" s="236"/>
    </row>
    <row r="3764" spans="2:4" ht="12.75" customHeight="1" x14ac:dyDescent="0.2">
      <c r="B3764" s="236"/>
      <c r="C3764" s="236"/>
      <c r="D3764" s="236"/>
    </row>
    <row r="3765" spans="2:4" x14ac:dyDescent="0.2">
      <c r="B3765" s="236"/>
      <c r="C3765" s="236"/>
      <c r="D3765" s="236"/>
    </row>
    <row r="3766" spans="2:4" x14ac:dyDescent="0.2">
      <c r="B3766" s="236"/>
      <c r="C3766" s="236"/>
      <c r="D3766" s="236"/>
    </row>
    <row r="3767" spans="2:4" x14ac:dyDescent="0.2">
      <c r="B3767" s="236"/>
      <c r="C3767" s="236"/>
      <c r="D3767" s="236"/>
    </row>
    <row r="3768" spans="2:4" ht="12.75" customHeight="1" x14ac:dyDescent="0.2">
      <c r="B3768" s="236"/>
      <c r="C3768" s="236"/>
      <c r="D3768" s="236"/>
    </row>
    <row r="3769" spans="2:4" x14ac:dyDescent="0.2">
      <c r="B3769" s="236"/>
      <c r="C3769" s="236"/>
      <c r="D3769" s="236"/>
    </row>
    <row r="3770" spans="2:4" ht="12.75" customHeight="1" x14ac:dyDescent="0.2">
      <c r="B3770" s="236"/>
      <c r="C3770" s="236"/>
      <c r="D3770" s="236"/>
    </row>
    <row r="3771" spans="2:4" x14ac:dyDescent="0.2">
      <c r="B3771" s="236"/>
      <c r="C3771" s="236"/>
      <c r="D3771" s="236"/>
    </row>
    <row r="3772" spans="2:4" ht="12.75" customHeight="1" x14ac:dyDescent="0.2">
      <c r="B3772" s="236"/>
      <c r="C3772" s="236"/>
      <c r="D3772" s="236"/>
    </row>
    <row r="3773" spans="2:4" ht="12.75" customHeight="1" x14ac:dyDescent="0.2">
      <c r="B3773" s="236"/>
      <c r="C3773" s="236"/>
      <c r="D3773" s="236"/>
    </row>
    <row r="3774" spans="2:4" ht="12.75" customHeight="1" x14ac:dyDescent="0.2">
      <c r="B3774" s="236"/>
      <c r="C3774" s="236"/>
      <c r="D3774" s="236"/>
    </row>
    <row r="3775" spans="2:4" x14ac:dyDescent="0.2">
      <c r="B3775" s="236"/>
      <c r="C3775" s="236"/>
      <c r="D3775" s="236"/>
    </row>
    <row r="3776" spans="2:4" ht="12.75" customHeight="1" x14ac:dyDescent="0.2">
      <c r="B3776" s="236"/>
      <c r="C3776" s="236"/>
      <c r="D3776" s="236"/>
    </row>
    <row r="3777" spans="2:4" ht="12.75" customHeight="1" x14ac:dyDescent="0.2">
      <c r="B3777" s="236"/>
      <c r="C3777" s="236"/>
      <c r="D3777" s="236"/>
    </row>
    <row r="3778" spans="2:4" ht="12.75" customHeight="1" x14ac:dyDescent="0.2">
      <c r="B3778" s="236"/>
      <c r="C3778" s="236"/>
      <c r="D3778" s="236"/>
    </row>
    <row r="3779" spans="2:4" ht="12.75" customHeight="1" x14ac:dyDescent="0.2">
      <c r="B3779" s="236"/>
      <c r="C3779" s="236"/>
      <c r="D3779" s="236"/>
    </row>
    <row r="3780" spans="2:4" ht="12.75" customHeight="1" x14ac:dyDescent="0.2">
      <c r="B3780" s="236"/>
      <c r="C3780" s="236"/>
      <c r="D3780" s="236"/>
    </row>
    <row r="3781" spans="2:4" ht="12.75" customHeight="1" x14ac:dyDescent="0.2">
      <c r="B3781" s="236"/>
      <c r="C3781" s="236"/>
      <c r="D3781" s="236"/>
    </row>
    <row r="3782" spans="2:4" ht="12.75" customHeight="1" x14ac:dyDescent="0.2">
      <c r="B3782" s="236"/>
      <c r="C3782" s="236"/>
      <c r="D3782" s="236"/>
    </row>
    <row r="3783" spans="2:4" ht="12.75" customHeight="1" x14ac:dyDescent="0.2">
      <c r="B3783" s="236"/>
      <c r="C3783" s="236"/>
      <c r="D3783" s="236"/>
    </row>
    <row r="3784" spans="2:4" ht="12.75" customHeight="1" x14ac:dyDescent="0.2">
      <c r="B3784" s="236"/>
      <c r="C3784" s="236"/>
      <c r="D3784" s="236"/>
    </row>
    <row r="3785" spans="2:4" ht="12.75" customHeight="1" x14ac:dyDescent="0.2">
      <c r="B3785" s="236"/>
      <c r="C3785" s="236"/>
      <c r="D3785" s="236"/>
    </row>
    <row r="3786" spans="2:4" ht="12.75" customHeight="1" x14ac:dyDescent="0.2">
      <c r="B3786" s="236"/>
      <c r="C3786" s="236"/>
      <c r="D3786" s="236"/>
    </row>
    <row r="3787" spans="2:4" ht="12.75" customHeight="1" x14ac:dyDescent="0.2">
      <c r="B3787" s="236"/>
      <c r="C3787" s="236"/>
      <c r="D3787" s="236"/>
    </row>
    <row r="3788" spans="2:4" ht="12.75" customHeight="1" x14ac:dyDescent="0.2">
      <c r="B3788" s="236"/>
      <c r="C3788" s="236"/>
      <c r="D3788" s="236"/>
    </row>
    <row r="3789" spans="2:4" ht="12.75" customHeight="1" x14ac:dyDescent="0.2">
      <c r="B3789" s="236"/>
      <c r="C3789" s="236"/>
      <c r="D3789" s="236"/>
    </row>
    <row r="3790" spans="2:4" x14ac:dyDescent="0.2">
      <c r="B3790" s="236"/>
      <c r="C3790" s="236"/>
      <c r="D3790" s="236"/>
    </row>
    <row r="3791" spans="2:4" ht="12.75" customHeight="1" x14ac:dyDescent="0.2">
      <c r="B3791" s="236"/>
      <c r="C3791" s="236"/>
      <c r="D3791" s="236"/>
    </row>
    <row r="3792" spans="2:4" x14ac:dyDescent="0.2">
      <c r="B3792" s="236"/>
      <c r="C3792" s="236"/>
      <c r="D3792" s="236"/>
    </row>
    <row r="3793" spans="2:4" x14ac:dyDescent="0.2">
      <c r="B3793" s="236"/>
      <c r="C3793" s="236"/>
      <c r="D3793" s="236"/>
    </row>
    <row r="3794" spans="2:4" x14ac:dyDescent="0.2">
      <c r="B3794" s="236"/>
      <c r="C3794" s="236"/>
      <c r="D3794" s="236"/>
    </row>
    <row r="3795" spans="2:4" ht="12.75" customHeight="1" x14ac:dyDescent="0.2">
      <c r="B3795" s="236"/>
      <c r="C3795" s="236"/>
      <c r="D3795" s="236"/>
    </row>
    <row r="3796" spans="2:4" x14ac:dyDescent="0.2">
      <c r="B3796" s="236"/>
      <c r="C3796" s="236"/>
      <c r="D3796" s="236"/>
    </row>
    <row r="3797" spans="2:4" ht="12.75" customHeight="1" x14ac:dyDescent="0.2">
      <c r="B3797" s="236"/>
      <c r="C3797" s="236"/>
      <c r="D3797" s="236"/>
    </row>
    <row r="3798" spans="2:4" ht="12.75" customHeight="1" x14ac:dyDescent="0.2">
      <c r="B3798" s="236"/>
      <c r="C3798" s="236"/>
      <c r="D3798" s="236"/>
    </row>
    <row r="3799" spans="2:4" ht="12.75" customHeight="1" x14ac:dyDescent="0.2">
      <c r="B3799" s="236"/>
      <c r="C3799" s="236"/>
      <c r="D3799" s="236"/>
    </row>
    <row r="3800" spans="2:4" ht="12.75" customHeight="1" x14ac:dyDescent="0.2">
      <c r="B3800" s="236"/>
      <c r="C3800" s="236"/>
      <c r="D3800" s="236"/>
    </row>
    <row r="3801" spans="2:4" ht="12.75" customHeight="1" x14ac:dyDescent="0.2">
      <c r="B3801" s="236"/>
      <c r="C3801" s="236"/>
      <c r="D3801" s="236"/>
    </row>
    <row r="3802" spans="2:4" ht="12.75" customHeight="1" x14ac:dyDescent="0.2">
      <c r="B3802" s="236"/>
      <c r="C3802" s="236"/>
      <c r="D3802" s="236"/>
    </row>
    <row r="3803" spans="2:4" ht="12.75" customHeight="1" x14ac:dyDescent="0.2">
      <c r="B3803" s="236"/>
      <c r="C3803" s="236"/>
      <c r="D3803" s="236"/>
    </row>
    <row r="3804" spans="2:4" x14ac:dyDescent="0.2">
      <c r="B3804" s="236"/>
      <c r="C3804" s="236"/>
      <c r="D3804" s="236"/>
    </row>
    <row r="3805" spans="2:4" ht="12.75" customHeight="1" x14ac:dyDescent="0.2">
      <c r="B3805" s="236"/>
      <c r="C3805" s="236"/>
      <c r="D3805" s="236"/>
    </row>
    <row r="3806" spans="2:4" ht="12.75" customHeight="1" x14ac:dyDescent="0.2">
      <c r="B3806" s="236"/>
      <c r="C3806" s="236"/>
      <c r="D3806" s="236"/>
    </row>
    <row r="3807" spans="2:4" ht="12.75" customHeight="1" x14ac:dyDescent="0.2">
      <c r="B3807" s="236"/>
      <c r="C3807" s="236"/>
      <c r="D3807" s="236"/>
    </row>
    <row r="3808" spans="2:4" ht="12.75" customHeight="1" x14ac:dyDescent="0.2">
      <c r="B3808" s="236"/>
      <c r="C3808" s="236"/>
      <c r="D3808" s="236"/>
    </row>
    <row r="3809" spans="2:4" ht="12.75" customHeight="1" x14ac:dyDescent="0.2">
      <c r="B3809" s="236"/>
      <c r="C3809" s="236"/>
      <c r="D3809" s="236"/>
    </row>
    <row r="3810" spans="2:4" ht="12.75" customHeight="1" x14ac:dyDescent="0.2">
      <c r="B3810" s="236"/>
      <c r="C3810" s="236"/>
      <c r="D3810" s="236"/>
    </row>
    <row r="3811" spans="2:4" ht="12.75" customHeight="1" x14ac:dyDescent="0.2">
      <c r="B3811" s="236"/>
      <c r="C3811" s="236"/>
      <c r="D3811" s="236"/>
    </row>
    <row r="3812" spans="2:4" ht="12.75" customHeight="1" x14ac:dyDescent="0.2">
      <c r="B3812" s="236"/>
      <c r="C3812" s="236"/>
      <c r="D3812" s="236"/>
    </row>
    <row r="3813" spans="2:4" ht="12.75" customHeight="1" x14ac:dyDescent="0.2">
      <c r="B3813" s="236"/>
      <c r="C3813" s="236"/>
      <c r="D3813" s="236"/>
    </row>
    <row r="3814" spans="2:4" ht="12.75" customHeight="1" x14ac:dyDescent="0.2">
      <c r="B3814" s="236"/>
      <c r="C3814" s="236"/>
      <c r="D3814" s="236"/>
    </row>
    <row r="3815" spans="2:4" ht="12.75" customHeight="1" x14ac:dyDescent="0.2">
      <c r="B3815" s="236"/>
      <c r="C3815" s="236"/>
      <c r="D3815" s="236"/>
    </row>
    <row r="3816" spans="2:4" ht="12.75" customHeight="1" x14ac:dyDescent="0.2">
      <c r="B3816" s="236"/>
      <c r="C3816" s="236"/>
      <c r="D3816" s="236"/>
    </row>
    <row r="3817" spans="2:4" ht="12.75" customHeight="1" x14ac:dyDescent="0.2">
      <c r="B3817" s="236"/>
      <c r="C3817" s="236"/>
      <c r="D3817" s="236"/>
    </row>
    <row r="3818" spans="2:4" x14ac:dyDescent="0.2">
      <c r="B3818" s="236"/>
      <c r="C3818" s="236"/>
      <c r="D3818" s="236"/>
    </row>
    <row r="3819" spans="2:4" ht="12.75" customHeight="1" x14ac:dyDescent="0.2">
      <c r="B3819" s="236"/>
      <c r="C3819" s="236"/>
      <c r="D3819" s="236"/>
    </row>
    <row r="3820" spans="2:4" x14ac:dyDescent="0.2">
      <c r="B3820" s="236"/>
      <c r="C3820" s="236"/>
      <c r="D3820" s="236"/>
    </row>
    <row r="3821" spans="2:4" x14ac:dyDescent="0.2">
      <c r="B3821" s="236"/>
      <c r="C3821" s="236"/>
      <c r="D3821" s="236"/>
    </row>
    <row r="3822" spans="2:4" x14ac:dyDescent="0.2">
      <c r="B3822" s="236"/>
      <c r="C3822" s="236"/>
      <c r="D3822" s="236"/>
    </row>
    <row r="3823" spans="2:4" ht="12.75" customHeight="1" x14ac:dyDescent="0.2">
      <c r="B3823" s="236"/>
      <c r="C3823" s="236"/>
      <c r="D3823" s="236"/>
    </row>
    <row r="3824" spans="2:4" ht="12.75" customHeight="1" x14ac:dyDescent="0.2">
      <c r="B3824" s="236"/>
      <c r="C3824" s="236"/>
      <c r="D3824" s="236"/>
    </row>
    <row r="3825" spans="2:4" ht="12.75" customHeight="1" x14ac:dyDescent="0.2">
      <c r="B3825" s="236"/>
      <c r="C3825" s="236"/>
      <c r="D3825" s="236"/>
    </row>
    <row r="3826" spans="2:4" x14ac:dyDescent="0.2">
      <c r="B3826" s="236"/>
      <c r="C3826" s="236"/>
      <c r="D3826" s="236"/>
    </row>
    <row r="3827" spans="2:4" ht="12.75" customHeight="1" x14ac:dyDescent="0.2">
      <c r="B3827" s="236"/>
      <c r="C3827" s="236"/>
      <c r="D3827" s="236"/>
    </row>
    <row r="3828" spans="2:4" x14ac:dyDescent="0.2">
      <c r="B3828" s="236"/>
      <c r="C3828" s="236"/>
      <c r="D3828" s="236"/>
    </row>
    <row r="3829" spans="2:4" x14ac:dyDescent="0.2">
      <c r="B3829" s="236"/>
      <c r="C3829" s="236"/>
      <c r="D3829" s="236"/>
    </row>
    <row r="3830" spans="2:4" x14ac:dyDescent="0.2">
      <c r="B3830" s="236"/>
      <c r="C3830" s="236"/>
      <c r="D3830" s="236"/>
    </row>
    <row r="3831" spans="2:4" ht="12.75" customHeight="1" x14ac:dyDescent="0.2">
      <c r="B3831" s="236"/>
      <c r="C3831" s="236"/>
      <c r="D3831" s="236"/>
    </row>
    <row r="3832" spans="2:4" ht="12.75" customHeight="1" x14ac:dyDescent="0.2">
      <c r="B3832" s="236"/>
      <c r="C3832" s="236"/>
      <c r="D3832" s="236"/>
    </row>
    <row r="3833" spans="2:4" ht="12.75" customHeight="1" x14ac:dyDescent="0.2">
      <c r="B3833" s="236"/>
      <c r="C3833" s="236"/>
      <c r="D3833" s="236"/>
    </row>
    <row r="3834" spans="2:4" ht="12.75" customHeight="1" x14ac:dyDescent="0.2">
      <c r="B3834" s="236"/>
      <c r="C3834" s="236"/>
      <c r="D3834" s="236"/>
    </row>
    <row r="3835" spans="2:4" ht="12.75" customHeight="1" x14ac:dyDescent="0.2">
      <c r="B3835" s="236"/>
      <c r="C3835" s="236"/>
      <c r="D3835" s="236"/>
    </row>
    <row r="3836" spans="2:4" ht="12.75" customHeight="1" x14ac:dyDescent="0.2">
      <c r="B3836" s="236"/>
      <c r="C3836" s="236"/>
      <c r="D3836" s="236"/>
    </row>
    <row r="3837" spans="2:4" ht="12.75" customHeight="1" x14ac:dyDescent="0.2">
      <c r="B3837" s="236"/>
      <c r="C3837" s="236"/>
      <c r="D3837" s="236"/>
    </row>
    <row r="3838" spans="2:4" ht="12.75" customHeight="1" x14ac:dyDescent="0.2">
      <c r="B3838" s="236"/>
      <c r="C3838" s="236"/>
      <c r="D3838" s="236"/>
    </row>
    <row r="3839" spans="2:4" ht="12.75" customHeight="1" x14ac:dyDescent="0.2">
      <c r="B3839" s="236"/>
      <c r="C3839" s="236"/>
      <c r="D3839" s="236"/>
    </row>
    <row r="3840" spans="2:4" ht="12.75" customHeight="1" x14ac:dyDescent="0.2">
      <c r="B3840" s="236"/>
      <c r="C3840" s="236"/>
      <c r="D3840" s="236"/>
    </row>
    <row r="3841" spans="2:4" ht="12.75" customHeight="1" x14ac:dyDescent="0.2">
      <c r="B3841" s="236"/>
      <c r="C3841" s="236"/>
      <c r="D3841" s="236"/>
    </row>
    <row r="3842" spans="2:4" ht="12.75" customHeight="1" x14ac:dyDescent="0.2">
      <c r="B3842" s="236"/>
      <c r="C3842" s="236"/>
      <c r="D3842" s="236"/>
    </row>
    <row r="3843" spans="2:4" ht="12.75" customHeight="1" x14ac:dyDescent="0.2">
      <c r="B3843" s="236"/>
      <c r="C3843" s="236"/>
      <c r="D3843" s="236"/>
    </row>
    <row r="3844" spans="2:4" ht="12.75" customHeight="1" x14ac:dyDescent="0.2">
      <c r="B3844" s="236"/>
      <c r="C3844" s="236"/>
      <c r="D3844" s="236"/>
    </row>
    <row r="3845" spans="2:4" ht="12.75" customHeight="1" x14ac:dyDescent="0.2">
      <c r="B3845" s="236"/>
      <c r="C3845" s="236"/>
      <c r="D3845" s="236"/>
    </row>
    <row r="3846" spans="2:4" ht="12.75" customHeight="1" x14ac:dyDescent="0.2">
      <c r="B3846" s="236"/>
      <c r="C3846" s="236"/>
      <c r="D3846" s="236"/>
    </row>
    <row r="3847" spans="2:4" ht="12.75" customHeight="1" x14ac:dyDescent="0.2">
      <c r="B3847" s="236"/>
      <c r="C3847" s="236"/>
      <c r="D3847" s="236"/>
    </row>
    <row r="3848" spans="2:4" ht="12.75" customHeight="1" x14ac:dyDescent="0.2">
      <c r="B3848" s="236"/>
      <c r="C3848" s="236"/>
      <c r="D3848" s="236"/>
    </row>
    <row r="3849" spans="2:4" ht="12.75" customHeight="1" x14ac:dyDescent="0.2">
      <c r="B3849" s="236"/>
      <c r="C3849" s="236"/>
      <c r="D3849" s="236"/>
    </row>
    <row r="3850" spans="2:4" x14ac:dyDescent="0.2">
      <c r="B3850" s="236"/>
      <c r="C3850" s="236"/>
      <c r="D3850" s="236"/>
    </row>
    <row r="3851" spans="2:4" ht="12.75" customHeight="1" x14ac:dyDescent="0.2">
      <c r="B3851" s="236"/>
      <c r="C3851" s="236"/>
      <c r="D3851" s="236"/>
    </row>
    <row r="3852" spans="2:4" x14ac:dyDescent="0.2">
      <c r="B3852" s="236"/>
      <c r="C3852" s="236"/>
      <c r="D3852" s="236"/>
    </row>
    <row r="3853" spans="2:4" x14ac:dyDescent="0.2">
      <c r="B3853" s="236"/>
      <c r="C3853" s="236"/>
      <c r="D3853" s="236"/>
    </row>
    <row r="3854" spans="2:4" x14ac:dyDescent="0.2">
      <c r="B3854" s="236"/>
      <c r="C3854" s="236"/>
      <c r="D3854" s="236"/>
    </row>
    <row r="3855" spans="2:4" ht="12.75" customHeight="1" x14ac:dyDescent="0.2">
      <c r="B3855" s="236"/>
      <c r="C3855" s="236"/>
      <c r="D3855" s="236"/>
    </row>
    <row r="3856" spans="2:4" x14ac:dyDescent="0.2">
      <c r="B3856" s="236"/>
      <c r="C3856" s="236"/>
      <c r="D3856" s="236"/>
    </row>
    <row r="3857" spans="2:4" ht="12.75" customHeight="1" x14ac:dyDescent="0.2">
      <c r="B3857" s="236"/>
      <c r="C3857" s="236"/>
      <c r="D3857" s="236"/>
    </row>
    <row r="3858" spans="2:4" ht="12.75" customHeight="1" x14ac:dyDescent="0.2">
      <c r="B3858" s="236"/>
      <c r="C3858" s="236"/>
      <c r="D3858" s="236"/>
    </row>
    <row r="3859" spans="2:4" ht="12.75" customHeight="1" x14ac:dyDescent="0.2">
      <c r="B3859" s="236"/>
      <c r="C3859" s="236"/>
      <c r="D3859" s="236"/>
    </row>
    <row r="3860" spans="2:4" ht="12.75" customHeight="1" x14ac:dyDescent="0.2">
      <c r="B3860" s="236"/>
      <c r="C3860" s="236"/>
      <c r="D3860" s="236"/>
    </row>
    <row r="3861" spans="2:4" x14ac:dyDescent="0.2">
      <c r="B3861" s="236"/>
      <c r="C3861" s="236"/>
      <c r="D3861" s="236"/>
    </row>
    <row r="3862" spans="2:4" ht="12.75" customHeight="1" x14ac:dyDescent="0.2">
      <c r="B3862" s="236"/>
      <c r="C3862" s="236"/>
      <c r="D3862" s="236"/>
    </row>
    <row r="3863" spans="2:4" x14ac:dyDescent="0.2">
      <c r="B3863" s="236"/>
      <c r="C3863" s="236"/>
      <c r="D3863" s="236"/>
    </row>
    <row r="3864" spans="2:4" ht="12.75" customHeight="1" x14ac:dyDescent="0.2">
      <c r="B3864" s="236"/>
      <c r="C3864" s="236"/>
      <c r="D3864" s="236"/>
    </row>
    <row r="3865" spans="2:4" x14ac:dyDescent="0.2">
      <c r="B3865" s="236"/>
      <c r="C3865" s="236"/>
      <c r="D3865" s="236"/>
    </row>
    <row r="3866" spans="2:4" x14ac:dyDescent="0.2">
      <c r="B3866" s="236"/>
      <c r="C3866" s="236"/>
      <c r="D3866" s="236"/>
    </row>
    <row r="3867" spans="2:4" ht="12.75" customHeight="1" x14ac:dyDescent="0.2">
      <c r="B3867" s="236"/>
      <c r="C3867" s="236"/>
      <c r="D3867" s="236"/>
    </row>
    <row r="3868" spans="2:4" x14ac:dyDescent="0.2">
      <c r="B3868" s="236"/>
      <c r="C3868" s="236"/>
      <c r="D3868" s="236"/>
    </row>
    <row r="3869" spans="2:4" ht="12.75" customHeight="1" x14ac:dyDescent="0.2">
      <c r="B3869" s="236"/>
      <c r="C3869" s="236"/>
      <c r="D3869" s="236"/>
    </row>
    <row r="3870" spans="2:4" ht="12.75" customHeight="1" x14ac:dyDescent="0.2">
      <c r="B3870" s="236"/>
      <c r="C3870" s="236"/>
      <c r="D3870" s="236"/>
    </row>
    <row r="3871" spans="2:4" ht="12.75" customHeight="1" x14ac:dyDescent="0.2">
      <c r="B3871" s="236"/>
      <c r="C3871" s="236"/>
      <c r="D3871" s="236"/>
    </row>
    <row r="3872" spans="2:4" ht="12.75" customHeight="1" x14ac:dyDescent="0.2">
      <c r="B3872" s="236"/>
      <c r="C3872" s="236"/>
      <c r="D3872" s="236"/>
    </row>
    <row r="3873" spans="2:4" ht="12.75" customHeight="1" x14ac:dyDescent="0.2">
      <c r="B3873" s="236"/>
      <c r="C3873" s="236"/>
      <c r="D3873" s="236"/>
    </row>
    <row r="3874" spans="2:4" x14ac:dyDescent="0.2">
      <c r="B3874" s="236"/>
      <c r="C3874" s="236"/>
      <c r="D3874" s="236"/>
    </row>
    <row r="3875" spans="2:4" ht="12.75" customHeight="1" x14ac:dyDescent="0.2">
      <c r="B3875" s="236"/>
      <c r="C3875" s="236"/>
      <c r="D3875" s="236"/>
    </row>
    <row r="3876" spans="2:4" ht="12.75" customHeight="1" x14ac:dyDescent="0.2">
      <c r="B3876" s="236"/>
      <c r="C3876" s="236"/>
      <c r="D3876" s="236"/>
    </row>
    <row r="3877" spans="2:4" ht="12.75" customHeight="1" x14ac:dyDescent="0.2">
      <c r="B3877" s="236"/>
      <c r="C3877" s="236"/>
      <c r="D3877" s="236"/>
    </row>
    <row r="3878" spans="2:4" ht="12.75" customHeight="1" x14ac:dyDescent="0.2">
      <c r="B3878" s="236"/>
      <c r="C3878" s="236"/>
      <c r="D3878" s="236"/>
    </row>
    <row r="3879" spans="2:4" x14ac:dyDescent="0.2">
      <c r="B3879" s="236"/>
      <c r="C3879" s="236"/>
      <c r="D3879" s="236"/>
    </row>
    <row r="3880" spans="2:4" ht="12.75" customHeight="1" x14ac:dyDescent="0.2">
      <c r="B3880" s="236"/>
      <c r="C3880" s="236"/>
      <c r="D3880" s="236"/>
    </row>
    <row r="3881" spans="2:4" ht="12.75" customHeight="1" x14ac:dyDescent="0.2">
      <c r="B3881" s="236"/>
      <c r="C3881" s="236"/>
      <c r="D3881" s="236"/>
    </row>
    <row r="3882" spans="2:4" ht="12.75" customHeight="1" x14ac:dyDescent="0.2">
      <c r="B3882" s="236"/>
      <c r="C3882" s="236"/>
      <c r="D3882" s="236"/>
    </row>
    <row r="3883" spans="2:4" x14ac:dyDescent="0.2">
      <c r="B3883" s="236"/>
      <c r="C3883" s="236"/>
      <c r="D3883" s="236"/>
    </row>
    <row r="3884" spans="2:4" ht="12.75" customHeight="1" x14ac:dyDescent="0.2">
      <c r="B3884" s="236"/>
      <c r="C3884" s="236"/>
      <c r="D3884" s="236"/>
    </row>
    <row r="3885" spans="2:4" ht="12.75" customHeight="1" x14ac:dyDescent="0.2">
      <c r="B3885" s="236"/>
      <c r="C3885" s="236"/>
      <c r="D3885" s="236"/>
    </row>
    <row r="3886" spans="2:4" ht="12.75" customHeight="1" x14ac:dyDescent="0.2">
      <c r="B3886" s="236"/>
      <c r="C3886" s="236"/>
      <c r="D3886" s="236"/>
    </row>
    <row r="3887" spans="2:4" ht="12.75" customHeight="1" x14ac:dyDescent="0.2">
      <c r="B3887" s="236"/>
      <c r="C3887" s="236"/>
      <c r="D3887" s="236"/>
    </row>
    <row r="3888" spans="2:4" ht="12.75" customHeight="1" x14ac:dyDescent="0.2">
      <c r="B3888" s="236"/>
      <c r="C3888" s="236"/>
      <c r="D3888" s="236"/>
    </row>
    <row r="3889" spans="2:4" ht="12.75" customHeight="1" x14ac:dyDescent="0.2">
      <c r="B3889" s="236"/>
      <c r="C3889" s="236"/>
      <c r="D3889" s="236"/>
    </row>
    <row r="3890" spans="2:4" ht="12.75" customHeight="1" x14ac:dyDescent="0.2">
      <c r="B3890" s="236"/>
      <c r="C3890" s="236"/>
      <c r="D3890" s="236"/>
    </row>
    <row r="3891" spans="2:4" ht="12.75" customHeight="1" x14ac:dyDescent="0.2">
      <c r="B3891" s="236"/>
      <c r="C3891" s="236"/>
      <c r="D3891" s="236"/>
    </row>
    <row r="3892" spans="2:4" x14ac:dyDescent="0.2">
      <c r="B3892" s="236"/>
      <c r="C3892" s="236"/>
      <c r="D3892" s="236"/>
    </row>
    <row r="3893" spans="2:4" ht="12.75" customHeight="1" x14ac:dyDescent="0.2">
      <c r="B3893" s="236"/>
      <c r="C3893" s="236"/>
      <c r="D3893" s="236"/>
    </row>
    <row r="3894" spans="2:4" x14ac:dyDescent="0.2">
      <c r="B3894" s="236"/>
      <c r="C3894" s="236"/>
      <c r="D3894" s="236"/>
    </row>
    <row r="3895" spans="2:4" x14ac:dyDescent="0.2">
      <c r="B3895" s="236"/>
      <c r="C3895" s="236"/>
      <c r="D3895" s="236"/>
    </row>
    <row r="3896" spans="2:4" x14ac:dyDescent="0.2">
      <c r="B3896" s="236"/>
      <c r="C3896" s="236"/>
      <c r="D3896" s="236"/>
    </row>
    <row r="3897" spans="2:4" ht="12.75" customHeight="1" x14ac:dyDescent="0.2">
      <c r="B3897" s="236"/>
      <c r="C3897" s="236"/>
      <c r="D3897" s="236"/>
    </row>
    <row r="3898" spans="2:4" ht="12.75" customHeight="1" x14ac:dyDescent="0.2">
      <c r="B3898" s="236"/>
      <c r="C3898" s="236"/>
      <c r="D3898" s="236"/>
    </row>
    <row r="3899" spans="2:4" ht="12.75" customHeight="1" x14ac:dyDescent="0.2">
      <c r="B3899" s="236"/>
      <c r="C3899" s="236"/>
      <c r="D3899" s="236"/>
    </row>
    <row r="3900" spans="2:4" ht="12.75" customHeight="1" x14ac:dyDescent="0.2">
      <c r="B3900" s="236"/>
      <c r="C3900" s="236"/>
      <c r="D3900" s="236"/>
    </row>
    <row r="3901" spans="2:4" ht="12.75" customHeight="1" x14ac:dyDescent="0.2">
      <c r="B3901" s="236"/>
      <c r="C3901" s="236"/>
      <c r="D3901" s="236"/>
    </row>
    <row r="3902" spans="2:4" ht="12.75" customHeight="1" x14ac:dyDescent="0.2">
      <c r="B3902" s="236"/>
      <c r="C3902" s="236"/>
      <c r="D3902" s="236"/>
    </row>
    <row r="3903" spans="2:4" ht="12.75" customHeight="1" x14ac:dyDescent="0.2">
      <c r="B3903" s="236"/>
      <c r="C3903" s="236"/>
      <c r="D3903" s="236"/>
    </row>
    <row r="3904" spans="2:4" ht="12.75" customHeight="1" x14ac:dyDescent="0.2">
      <c r="B3904" s="236"/>
      <c r="C3904" s="236"/>
      <c r="D3904" s="236"/>
    </row>
    <row r="3905" spans="2:4" ht="12.75" customHeight="1" x14ac:dyDescent="0.2">
      <c r="B3905" s="236"/>
      <c r="C3905" s="236"/>
      <c r="D3905" s="236"/>
    </row>
    <row r="3906" spans="2:4" ht="12.75" customHeight="1" x14ac:dyDescent="0.2">
      <c r="B3906" s="236"/>
      <c r="C3906" s="236"/>
      <c r="D3906" s="236"/>
    </row>
    <row r="3907" spans="2:4" ht="12.75" customHeight="1" x14ac:dyDescent="0.2">
      <c r="B3907" s="236"/>
      <c r="C3907" s="236"/>
      <c r="D3907" s="236"/>
    </row>
    <row r="3908" spans="2:4" ht="12.75" customHeight="1" x14ac:dyDescent="0.2">
      <c r="B3908" s="236"/>
      <c r="C3908" s="236"/>
      <c r="D3908" s="236"/>
    </row>
    <row r="3909" spans="2:4" ht="12.75" customHeight="1" x14ac:dyDescent="0.2">
      <c r="B3909" s="236"/>
      <c r="C3909" s="236"/>
      <c r="D3909" s="236"/>
    </row>
    <row r="3910" spans="2:4" ht="12.75" customHeight="1" x14ac:dyDescent="0.2">
      <c r="B3910" s="236"/>
      <c r="C3910" s="236"/>
      <c r="D3910" s="236"/>
    </row>
    <row r="3911" spans="2:4" ht="12.75" customHeight="1" x14ac:dyDescent="0.2">
      <c r="B3911" s="236"/>
      <c r="C3911" s="236"/>
      <c r="D3911" s="236"/>
    </row>
    <row r="3912" spans="2:4" x14ac:dyDescent="0.2">
      <c r="B3912" s="236"/>
      <c r="C3912" s="236"/>
      <c r="D3912" s="236"/>
    </row>
    <row r="3913" spans="2:4" x14ac:dyDescent="0.2">
      <c r="B3913" s="236"/>
      <c r="C3913" s="236"/>
      <c r="D3913" s="236"/>
    </row>
    <row r="3914" spans="2:4" ht="12.75" customHeight="1" x14ac:dyDescent="0.2">
      <c r="B3914" s="236"/>
      <c r="C3914" s="236"/>
      <c r="D3914" s="236"/>
    </row>
    <row r="3915" spans="2:4" x14ac:dyDescent="0.2">
      <c r="B3915" s="236"/>
      <c r="C3915" s="236"/>
      <c r="D3915" s="236"/>
    </row>
    <row r="3916" spans="2:4" ht="12.75" customHeight="1" x14ac:dyDescent="0.2">
      <c r="B3916" s="236"/>
      <c r="C3916" s="236"/>
      <c r="D3916" s="236"/>
    </row>
    <row r="3917" spans="2:4" ht="12.75" customHeight="1" x14ac:dyDescent="0.2">
      <c r="B3917" s="236"/>
      <c r="C3917" s="236"/>
      <c r="D3917" s="236"/>
    </row>
    <row r="3918" spans="2:4" ht="12.75" customHeight="1" x14ac:dyDescent="0.2">
      <c r="B3918" s="236"/>
      <c r="C3918" s="236"/>
      <c r="D3918" s="236"/>
    </row>
    <row r="3919" spans="2:4" ht="12.75" customHeight="1" x14ac:dyDescent="0.2">
      <c r="B3919" s="236"/>
      <c r="C3919" s="236"/>
      <c r="D3919" s="236"/>
    </row>
    <row r="3920" spans="2:4" ht="12.75" customHeight="1" x14ac:dyDescent="0.2">
      <c r="B3920" s="236"/>
      <c r="C3920" s="236"/>
      <c r="D3920" s="236"/>
    </row>
    <row r="3921" spans="2:4" ht="12.75" customHeight="1" x14ac:dyDescent="0.2">
      <c r="B3921" s="236"/>
      <c r="C3921" s="236"/>
      <c r="D3921" s="236"/>
    </row>
    <row r="3922" spans="2:4" ht="12.75" customHeight="1" x14ac:dyDescent="0.2">
      <c r="B3922" s="236"/>
      <c r="C3922" s="236"/>
      <c r="D3922" s="236"/>
    </row>
    <row r="3923" spans="2:4" ht="12.75" customHeight="1" x14ac:dyDescent="0.2">
      <c r="B3923" s="236"/>
      <c r="C3923" s="236"/>
      <c r="D3923" s="236"/>
    </row>
    <row r="3924" spans="2:4" ht="12.75" customHeight="1" x14ac:dyDescent="0.2">
      <c r="B3924" s="236"/>
      <c r="C3924" s="236"/>
      <c r="D3924" s="236"/>
    </row>
    <row r="3925" spans="2:4" ht="12.75" customHeight="1" x14ac:dyDescent="0.2">
      <c r="B3925" s="236"/>
      <c r="C3925" s="236"/>
      <c r="D3925" s="236"/>
    </row>
    <row r="3926" spans="2:4" x14ac:dyDescent="0.2">
      <c r="B3926" s="236"/>
      <c r="C3926" s="236"/>
      <c r="D3926" s="236"/>
    </row>
    <row r="3927" spans="2:4" x14ac:dyDescent="0.2">
      <c r="B3927" s="236"/>
      <c r="C3927" s="236"/>
      <c r="D3927" s="236"/>
    </row>
    <row r="3928" spans="2:4" x14ac:dyDescent="0.2">
      <c r="B3928" s="236"/>
      <c r="C3928" s="236"/>
      <c r="D3928" s="236"/>
    </row>
    <row r="3929" spans="2:4" ht="12.75" customHeight="1" x14ac:dyDescent="0.2">
      <c r="B3929" s="236"/>
      <c r="C3929" s="236"/>
      <c r="D3929" s="236"/>
    </row>
    <row r="3930" spans="2:4" x14ac:dyDescent="0.2">
      <c r="B3930" s="236"/>
      <c r="C3930" s="236"/>
      <c r="D3930" s="236"/>
    </row>
    <row r="3931" spans="2:4" x14ac:dyDescent="0.2">
      <c r="B3931" s="236"/>
      <c r="C3931" s="236"/>
      <c r="D3931" s="236"/>
    </row>
    <row r="3932" spans="2:4" ht="12.75" customHeight="1" x14ac:dyDescent="0.2">
      <c r="B3932" s="236"/>
      <c r="C3932" s="236"/>
      <c r="D3932" s="236"/>
    </row>
    <row r="3933" spans="2:4" ht="12.75" customHeight="1" x14ac:dyDescent="0.2">
      <c r="B3933" s="236"/>
      <c r="C3933" s="236"/>
      <c r="D3933" s="236"/>
    </row>
    <row r="3934" spans="2:4" ht="12.75" customHeight="1" x14ac:dyDescent="0.2">
      <c r="B3934" s="236"/>
      <c r="C3934" s="236"/>
      <c r="D3934" s="236"/>
    </row>
    <row r="3935" spans="2:4" ht="12.75" customHeight="1" x14ac:dyDescent="0.2">
      <c r="B3935" s="236"/>
      <c r="C3935" s="236"/>
      <c r="D3935" s="236"/>
    </row>
    <row r="3936" spans="2:4" ht="12.75" customHeight="1" x14ac:dyDescent="0.2">
      <c r="B3936" s="236"/>
      <c r="C3936" s="236"/>
      <c r="D3936" s="236"/>
    </row>
    <row r="3937" spans="2:4" ht="12.75" customHeight="1" x14ac:dyDescent="0.2">
      <c r="B3937" s="236"/>
      <c r="C3937" s="236"/>
      <c r="D3937" s="236"/>
    </row>
    <row r="3938" spans="2:4" ht="12.75" customHeight="1" x14ac:dyDescent="0.2">
      <c r="B3938" s="236"/>
      <c r="C3938" s="236"/>
      <c r="D3938" s="236"/>
    </row>
    <row r="3939" spans="2:4" ht="12.75" customHeight="1" x14ac:dyDescent="0.2">
      <c r="B3939" s="236"/>
      <c r="C3939" s="236"/>
      <c r="D3939" s="236"/>
    </row>
    <row r="3940" spans="2:4" ht="12.75" customHeight="1" x14ac:dyDescent="0.2">
      <c r="B3940" s="236"/>
      <c r="C3940" s="236"/>
      <c r="D3940" s="236"/>
    </row>
    <row r="3941" spans="2:4" ht="12.75" customHeight="1" x14ac:dyDescent="0.2">
      <c r="B3941" s="236"/>
      <c r="C3941" s="236"/>
      <c r="D3941" s="236"/>
    </row>
    <row r="3942" spans="2:4" x14ac:dyDescent="0.2">
      <c r="B3942" s="236"/>
      <c r="C3942" s="236"/>
      <c r="D3942" s="236"/>
    </row>
    <row r="3943" spans="2:4" x14ac:dyDescent="0.2">
      <c r="B3943" s="236"/>
      <c r="C3943" s="236"/>
      <c r="D3943" s="236"/>
    </row>
    <row r="3944" spans="2:4" ht="12.75" customHeight="1" x14ac:dyDescent="0.2">
      <c r="B3944" s="236"/>
      <c r="C3944" s="236"/>
      <c r="D3944" s="236"/>
    </row>
    <row r="3945" spans="2:4" ht="12.75" customHeight="1" x14ac:dyDescent="0.2">
      <c r="B3945" s="236"/>
      <c r="C3945" s="236"/>
      <c r="D3945" s="236"/>
    </row>
    <row r="3946" spans="2:4" ht="12.75" customHeight="1" x14ac:dyDescent="0.2">
      <c r="B3946" s="236"/>
      <c r="C3946" s="236"/>
      <c r="D3946" s="236"/>
    </row>
    <row r="3947" spans="2:4" ht="12.75" customHeight="1" x14ac:dyDescent="0.2">
      <c r="B3947" s="236"/>
      <c r="C3947" s="236"/>
      <c r="D3947" s="236"/>
    </row>
    <row r="3948" spans="2:4" ht="12.75" customHeight="1" x14ac:dyDescent="0.2">
      <c r="B3948" s="236"/>
      <c r="C3948" s="236"/>
      <c r="D3948" s="236"/>
    </row>
    <row r="3949" spans="2:4" x14ac:dyDescent="0.2">
      <c r="B3949" s="236"/>
      <c r="C3949" s="236"/>
      <c r="D3949" s="236"/>
    </row>
    <row r="3950" spans="2:4" ht="12.75" customHeight="1" x14ac:dyDescent="0.2">
      <c r="B3950" s="236"/>
      <c r="C3950" s="236"/>
      <c r="D3950" s="236"/>
    </row>
    <row r="3951" spans="2:4" x14ac:dyDescent="0.2">
      <c r="B3951" s="236"/>
      <c r="C3951" s="236"/>
      <c r="D3951" s="236"/>
    </row>
    <row r="3952" spans="2:4" ht="12.75" customHeight="1" x14ac:dyDescent="0.2">
      <c r="B3952" s="236"/>
      <c r="C3952" s="236"/>
      <c r="D3952" s="236"/>
    </row>
    <row r="3953" spans="2:4" ht="12.75" customHeight="1" x14ac:dyDescent="0.2">
      <c r="B3953" s="236"/>
      <c r="C3953" s="236"/>
      <c r="D3953" s="236"/>
    </row>
    <row r="3954" spans="2:4" ht="12.75" customHeight="1" x14ac:dyDescent="0.2">
      <c r="B3954" s="236"/>
      <c r="C3954" s="236"/>
      <c r="D3954" s="236"/>
    </row>
    <row r="3955" spans="2:4" ht="12.75" customHeight="1" x14ac:dyDescent="0.2">
      <c r="B3955" s="236"/>
      <c r="C3955" s="236"/>
      <c r="D3955" s="236"/>
    </row>
    <row r="3956" spans="2:4" ht="12.75" customHeight="1" x14ac:dyDescent="0.2">
      <c r="B3956" s="236"/>
      <c r="C3956" s="236"/>
      <c r="D3956" s="236"/>
    </row>
    <row r="3957" spans="2:4" ht="12.75" customHeight="1" x14ac:dyDescent="0.2">
      <c r="B3957" s="236"/>
      <c r="C3957" s="236"/>
      <c r="D3957" s="236"/>
    </row>
    <row r="3958" spans="2:4" ht="12.75" customHeight="1" x14ac:dyDescent="0.2">
      <c r="B3958" s="236"/>
      <c r="C3958" s="236"/>
      <c r="D3958" s="236"/>
    </row>
    <row r="3959" spans="2:4" x14ac:dyDescent="0.2">
      <c r="B3959" s="236"/>
      <c r="C3959" s="236"/>
      <c r="D3959" s="236"/>
    </row>
    <row r="3960" spans="2:4" ht="12.75" customHeight="1" x14ac:dyDescent="0.2">
      <c r="B3960" s="236"/>
      <c r="C3960" s="236"/>
      <c r="D3960" s="236"/>
    </row>
    <row r="3961" spans="2:4" ht="12.75" customHeight="1" x14ac:dyDescent="0.2">
      <c r="B3961" s="236"/>
      <c r="C3961" s="236"/>
      <c r="D3961" s="236"/>
    </row>
    <row r="3962" spans="2:4" ht="12.75" customHeight="1" x14ac:dyDescent="0.2">
      <c r="B3962" s="236"/>
      <c r="C3962" s="236"/>
      <c r="D3962" s="236"/>
    </row>
    <row r="3963" spans="2:4" ht="12.75" customHeight="1" x14ac:dyDescent="0.2">
      <c r="B3963" s="236"/>
      <c r="C3963" s="236"/>
      <c r="D3963" s="236"/>
    </row>
    <row r="3964" spans="2:4" ht="12.75" customHeight="1" x14ac:dyDescent="0.2">
      <c r="B3964" s="236"/>
      <c r="C3964" s="236"/>
      <c r="D3964" s="236"/>
    </row>
    <row r="3965" spans="2:4" ht="12.75" customHeight="1" x14ac:dyDescent="0.2">
      <c r="B3965" s="236"/>
      <c r="C3965" s="236"/>
      <c r="D3965" s="236"/>
    </row>
    <row r="3966" spans="2:4" ht="12.75" customHeight="1" x14ac:dyDescent="0.2">
      <c r="B3966" s="236"/>
      <c r="C3966" s="236"/>
      <c r="D3966" s="236"/>
    </row>
    <row r="3967" spans="2:4" ht="12.75" customHeight="1" x14ac:dyDescent="0.2">
      <c r="B3967" s="236"/>
      <c r="C3967" s="236"/>
      <c r="D3967" s="236"/>
    </row>
    <row r="3968" spans="2:4" x14ac:dyDescent="0.2">
      <c r="B3968" s="236"/>
      <c r="C3968" s="236"/>
      <c r="D3968" s="236"/>
    </row>
    <row r="3969" spans="2:4" ht="12.75" customHeight="1" x14ac:dyDescent="0.2">
      <c r="B3969" s="236"/>
      <c r="C3969" s="236"/>
      <c r="D3969" s="236"/>
    </row>
    <row r="3970" spans="2:4" ht="12.75" customHeight="1" x14ac:dyDescent="0.2">
      <c r="B3970" s="236"/>
      <c r="C3970" s="236"/>
      <c r="D3970" s="236"/>
    </row>
    <row r="3971" spans="2:4" ht="12.75" customHeight="1" x14ac:dyDescent="0.2">
      <c r="B3971" s="236"/>
      <c r="C3971" s="236"/>
      <c r="D3971" s="236"/>
    </row>
    <row r="3972" spans="2:4" ht="12.75" customHeight="1" x14ac:dyDescent="0.2">
      <c r="B3972" s="236"/>
      <c r="C3972" s="236"/>
      <c r="D3972" s="236"/>
    </row>
    <row r="3973" spans="2:4" ht="12.75" customHeight="1" x14ac:dyDescent="0.2">
      <c r="B3973" s="236"/>
      <c r="C3973" s="236"/>
      <c r="D3973" s="236"/>
    </row>
    <row r="3974" spans="2:4" ht="12.75" customHeight="1" x14ac:dyDescent="0.2">
      <c r="B3974" s="236"/>
      <c r="C3974" s="236"/>
      <c r="D3974" s="236"/>
    </row>
    <row r="3975" spans="2:4" ht="12.75" customHeight="1" x14ac:dyDescent="0.2">
      <c r="B3975" s="236"/>
      <c r="C3975" s="236"/>
      <c r="D3975" s="236"/>
    </row>
    <row r="3976" spans="2:4" ht="12.75" customHeight="1" x14ac:dyDescent="0.2">
      <c r="B3976" s="236"/>
      <c r="C3976" s="236"/>
      <c r="D3976" s="236"/>
    </row>
    <row r="3977" spans="2:4" ht="12.75" customHeight="1" x14ac:dyDescent="0.2">
      <c r="B3977" s="236"/>
      <c r="C3977" s="236"/>
      <c r="D3977" s="236"/>
    </row>
    <row r="3978" spans="2:4" ht="12.75" customHeight="1" x14ac:dyDescent="0.2">
      <c r="B3978" s="236"/>
      <c r="C3978" s="236"/>
      <c r="D3978" s="236"/>
    </row>
    <row r="3979" spans="2:4" x14ac:dyDescent="0.2">
      <c r="B3979" s="236"/>
      <c r="C3979" s="236"/>
      <c r="D3979" s="236"/>
    </row>
    <row r="3980" spans="2:4" ht="12.75" customHeight="1" x14ac:dyDescent="0.2">
      <c r="B3980" s="236"/>
      <c r="C3980" s="236"/>
      <c r="D3980" s="236"/>
    </row>
    <row r="3981" spans="2:4" ht="12.75" customHeight="1" x14ac:dyDescent="0.2">
      <c r="B3981" s="236"/>
      <c r="C3981" s="236"/>
      <c r="D3981" s="236"/>
    </row>
    <row r="3982" spans="2:4" ht="12.75" customHeight="1" x14ac:dyDescent="0.2">
      <c r="B3982" s="236"/>
      <c r="C3982" s="236"/>
      <c r="D3982" s="236"/>
    </row>
    <row r="3983" spans="2:4" ht="12.75" customHeight="1" x14ac:dyDescent="0.2">
      <c r="B3983" s="236"/>
      <c r="C3983" s="236"/>
      <c r="D3983" s="236"/>
    </row>
    <row r="3984" spans="2:4" x14ac:dyDescent="0.2">
      <c r="B3984" s="236"/>
      <c r="C3984" s="236"/>
      <c r="D3984" s="236"/>
    </row>
    <row r="3985" spans="2:4" ht="12.75" customHeight="1" x14ac:dyDescent="0.2">
      <c r="B3985" s="236"/>
      <c r="C3985" s="236"/>
      <c r="D3985" s="236"/>
    </row>
    <row r="3986" spans="2:4" ht="12.75" customHeight="1" x14ac:dyDescent="0.2">
      <c r="B3986" s="236"/>
      <c r="C3986" s="236"/>
      <c r="D3986" s="236"/>
    </row>
    <row r="3987" spans="2:4" ht="12.75" customHeight="1" x14ac:dyDescent="0.2">
      <c r="B3987" s="236"/>
      <c r="C3987" s="236"/>
      <c r="D3987" s="236"/>
    </row>
    <row r="3988" spans="2:4" x14ac:dyDescent="0.2">
      <c r="B3988" s="236"/>
      <c r="C3988" s="236"/>
      <c r="D3988" s="236"/>
    </row>
    <row r="3989" spans="2:4" ht="12.75" customHeight="1" x14ac:dyDescent="0.2">
      <c r="B3989" s="236"/>
      <c r="C3989" s="236"/>
      <c r="D3989" s="236"/>
    </row>
    <row r="3990" spans="2:4" ht="12.75" customHeight="1" x14ac:dyDescent="0.2">
      <c r="B3990" s="236"/>
      <c r="C3990" s="236"/>
      <c r="D3990" s="236"/>
    </row>
    <row r="3991" spans="2:4" ht="12.75" customHeight="1" x14ac:dyDescent="0.2">
      <c r="B3991" s="236"/>
      <c r="C3991" s="236"/>
      <c r="D3991" s="236"/>
    </row>
    <row r="3992" spans="2:4" ht="12.75" customHeight="1" x14ac:dyDescent="0.2">
      <c r="B3992" s="236"/>
      <c r="C3992" s="236"/>
      <c r="D3992" s="236"/>
    </row>
    <row r="3993" spans="2:4" ht="12.75" customHeight="1" x14ac:dyDescent="0.2">
      <c r="B3993" s="236"/>
      <c r="C3993" s="236"/>
      <c r="D3993" s="236"/>
    </row>
    <row r="3994" spans="2:4" ht="12.75" customHeight="1" x14ac:dyDescent="0.2">
      <c r="B3994" s="236"/>
      <c r="C3994" s="236"/>
      <c r="D3994" s="236"/>
    </row>
    <row r="3995" spans="2:4" ht="12.75" customHeight="1" x14ac:dyDescent="0.2">
      <c r="B3995" s="236"/>
      <c r="C3995" s="236"/>
      <c r="D3995" s="236"/>
    </row>
    <row r="3996" spans="2:4" ht="12.75" customHeight="1" x14ac:dyDescent="0.2">
      <c r="B3996" s="236"/>
      <c r="C3996" s="236"/>
      <c r="D3996" s="236"/>
    </row>
    <row r="3997" spans="2:4" x14ac:dyDescent="0.2">
      <c r="B3997" s="236"/>
      <c r="C3997" s="236"/>
      <c r="D3997" s="236"/>
    </row>
    <row r="3998" spans="2:4" ht="12.75" customHeight="1" x14ac:dyDescent="0.2">
      <c r="B3998" s="236"/>
      <c r="C3998" s="236"/>
      <c r="D3998" s="236"/>
    </row>
    <row r="3999" spans="2:4" ht="12.75" customHeight="1" x14ac:dyDescent="0.2">
      <c r="B3999" s="236"/>
      <c r="C3999" s="236"/>
      <c r="D3999" s="236"/>
    </row>
    <row r="4000" spans="2:4" ht="12.75" customHeight="1" x14ac:dyDescent="0.2">
      <c r="B4000" s="236"/>
      <c r="C4000" s="236"/>
      <c r="D4000" s="236"/>
    </row>
    <row r="4001" spans="2:4" ht="12.75" customHeight="1" x14ac:dyDescent="0.2">
      <c r="B4001" s="236"/>
      <c r="C4001" s="236"/>
      <c r="D4001" s="236"/>
    </row>
    <row r="4002" spans="2:4" ht="12.75" customHeight="1" x14ac:dyDescent="0.2">
      <c r="B4002" s="236"/>
      <c r="C4002" s="236"/>
      <c r="D4002" s="236"/>
    </row>
    <row r="4003" spans="2:4" ht="12.75" customHeight="1" x14ac:dyDescent="0.2">
      <c r="B4003" s="236"/>
      <c r="C4003" s="236"/>
      <c r="D4003" s="236"/>
    </row>
    <row r="4004" spans="2:4" ht="12.75" customHeight="1" x14ac:dyDescent="0.2">
      <c r="B4004" s="236"/>
      <c r="C4004" s="236"/>
      <c r="D4004" s="236"/>
    </row>
    <row r="4005" spans="2:4" ht="12.75" customHeight="1" x14ac:dyDescent="0.2">
      <c r="B4005" s="236"/>
      <c r="C4005" s="236"/>
      <c r="D4005" s="236"/>
    </row>
    <row r="4006" spans="2:4" ht="12.75" customHeight="1" x14ac:dyDescent="0.2">
      <c r="B4006" s="236"/>
      <c r="C4006" s="236"/>
      <c r="D4006" s="236"/>
    </row>
    <row r="4007" spans="2:4" ht="12.75" customHeight="1" x14ac:dyDescent="0.2">
      <c r="B4007" s="236"/>
      <c r="C4007" s="236"/>
      <c r="D4007" s="236"/>
    </row>
    <row r="4008" spans="2:4" ht="12.75" customHeight="1" x14ac:dyDescent="0.2">
      <c r="B4008" s="236"/>
      <c r="C4008" s="236"/>
      <c r="D4008" s="236"/>
    </row>
    <row r="4009" spans="2:4" ht="12.75" customHeight="1" x14ac:dyDescent="0.2">
      <c r="B4009" s="236"/>
      <c r="C4009" s="236"/>
      <c r="D4009" s="236"/>
    </row>
    <row r="4010" spans="2:4" ht="12.75" customHeight="1" x14ac:dyDescent="0.2">
      <c r="B4010" s="236"/>
      <c r="C4010" s="236"/>
      <c r="D4010" s="236"/>
    </row>
    <row r="4011" spans="2:4" x14ac:dyDescent="0.2">
      <c r="B4011" s="236"/>
      <c r="C4011" s="236"/>
      <c r="D4011" s="236"/>
    </row>
    <row r="4012" spans="2:4" x14ac:dyDescent="0.2">
      <c r="B4012" s="236"/>
      <c r="C4012" s="236"/>
      <c r="D4012" s="236"/>
    </row>
    <row r="4013" spans="2:4" ht="12.75" customHeight="1" x14ac:dyDescent="0.2">
      <c r="B4013" s="236"/>
      <c r="C4013" s="236"/>
      <c r="D4013" s="236"/>
    </row>
    <row r="4014" spans="2:4" ht="12.75" customHeight="1" x14ac:dyDescent="0.2">
      <c r="B4014" s="236"/>
      <c r="C4014" s="236"/>
      <c r="D4014" s="236"/>
    </row>
    <row r="4015" spans="2:4" x14ac:dyDescent="0.2">
      <c r="B4015" s="236"/>
      <c r="C4015" s="236"/>
      <c r="D4015" s="236"/>
    </row>
    <row r="4016" spans="2:4" ht="12.75" customHeight="1" x14ac:dyDescent="0.2">
      <c r="B4016" s="236"/>
      <c r="C4016" s="236"/>
      <c r="D4016" s="236"/>
    </row>
    <row r="4017" spans="2:4" ht="12.75" customHeight="1" x14ac:dyDescent="0.2">
      <c r="B4017" s="236"/>
      <c r="C4017" s="236"/>
      <c r="D4017" s="236"/>
    </row>
    <row r="4018" spans="2:4" ht="12.75" customHeight="1" x14ac:dyDescent="0.2">
      <c r="B4018" s="236"/>
      <c r="C4018" s="236"/>
      <c r="D4018" s="236"/>
    </row>
    <row r="4019" spans="2:4" ht="12.75" customHeight="1" x14ac:dyDescent="0.2">
      <c r="B4019" s="236"/>
      <c r="C4019" s="236"/>
      <c r="D4019" s="236"/>
    </row>
    <row r="4020" spans="2:4" ht="12.75" customHeight="1" x14ac:dyDescent="0.2">
      <c r="B4020" s="236"/>
      <c r="C4020" s="236"/>
      <c r="D4020" s="236"/>
    </row>
    <row r="4021" spans="2:4" x14ac:dyDescent="0.2">
      <c r="B4021" s="236"/>
      <c r="C4021" s="236"/>
      <c r="D4021" s="236"/>
    </row>
    <row r="4022" spans="2:4" x14ac:dyDescent="0.2">
      <c r="B4022" s="236"/>
      <c r="C4022" s="236"/>
      <c r="D4022" s="236"/>
    </row>
    <row r="4023" spans="2:4" ht="12.75" customHeight="1" x14ac:dyDescent="0.2">
      <c r="B4023" s="236"/>
      <c r="C4023" s="236"/>
      <c r="D4023" s="236"/>
    </row>
    <row r="4024" spans="2:4" x14ac:dyDescent="0.2">
      <c r="B4024" s="236"/>
      <c r="C4024" s="236"/>
      <c r="D4024" s="236"/>
    </row>
    <row r="4025" spans="2:4" ht="12.75" customHeight="1" x14ac:dyDescent="0.2">
      <c r="B4025" s="236"/>
      <c r="C4025" s="236"/>
      <c r="D4025" s="236"/>
    </row>
    <row r="4026" spans="2:4" x14ac:dyDescent="0.2">
      <c r="B4026" s="236"/>
      <c r="C4026" s="236"/>
      <c r="D4026" s="236"/>
    </row>
    <row r="4027" spans="2:4" ht="12.75" customHeight="1" x14ac:dyDescent="0.2">
      <c r="B4027" s="236"/>
      <c r="C4027" s="236"/>
      <c r="D4027" s="236"/>
    </row>
    <row r="4028" spans="2:4" ht="12.75" customHeight="1" x14ac:dyDescent="0.2">
      <c r="B4028" s="236"/>
      <c r="C4028" s="236"/>
      <c r="D4028" s="236"/>
    </row>
    <row r="4029" spans="2:4" x14ac:dyDescent="0.2">
      <c r="B4029" s="236"/>
      <c r="C4029" s="236"/>
      <c r="D4029" s="236"/>
    </row>
    <row r="4030" spans="2:4" ht="12.75" customHeight="1" x14ac:dyDescent="0.2">
      <c r="B4030" s="236"/>
      <c r="C4030" s="236"/>
      <c r="D4030" s="236"/>
    </row>
    <row r="4031" spans="2:4" ht="12.75" customHeight="1" x14ac:dyDescent="0.2">
      <c r="B4031" s="236"/>
      <c r="C4031" s="236"/>
      <c r="D4031" s="236"/>
    </row>
    <row r="4032" spans="2:4" ht="12.75" customHeight="1" x14ac:dyDescent="0.2">
      <c r="B4032" s="236"/>
      <c r="C4032" s="236"/>
      <c r="D4032" s="236"/>
    </row>
    <row r="4033" spans="2:4" ht="12.75" customHeight="1" x14ac:dyDescent="0.2">
      <c r="B4033" s="236"/>
      <c r="C4033" s="236"/>
      <c r="D4033" s="236"/>
    </row>
    <row r="4034" spans="2:4" ht="12.75" customHeight="1" x14ac:dyDescent="0.2">
      <c r="B4034" s="236"/>
      <c r="C4034" s="236"/>
      <c r="D4034" s="236"/>
    </row>
    <row r="4035" spans="2:4" ht="12.75" customHeight="1" x14ac:dyDescent="0.2">
      <c r="B4035" s="236"/>
      <c r="C4035" s="236"/>
      <c r="D4035" s="236"/>
    </row>
    <row r="4036" spans="2:4" ht="12.75" customHeight="1" x14ac:dyDescent="0.2">
      <c r="B4036" s="236"/>
      <c r="C4036" s="236"/>
      <c r="D4036" s="236"/>
    </row>
    <row r="4037" spans="2:4" x14ac:dyDescent="0.2">
      <c r="B4037" s="236"/>
      <c r="C4037" s="236"/>
      <c r="D4037" s="236"/>
    </row>
    <row r="4038" spans="2:4" x14ac:dyDescent="0.2">
      <c r="B4038" s="236"/>
      <c r="C4038" s="236"/>
      <c r="D4038" s="236"/>
    </row>
    <row r="4039" spans="2:4" x14ac:dyDescent="0.2">
      <c r="B4039" s="236"/>
      <c r="C4039" s="236"/>
      <c r="D4039" s="236"/>
    </row>
    <row r="4040" spans="2:4" ht="12.75" customHeight="1" x14ac:dyDescent="0.2">
      <c r="B4040" s="236"/>
      <c r="C4040" s="236"/>
      <c r="D4040" s="236"/>
    </row>
    <row r="4041" spans="2:4" x14ac:dyDescent="0.2">
      <c r="B4041" s="236"/>
      <c r="C4041" s="236"/>
      <c r="D4041" s="236"/>
    </row>
    <row r="4042" spans="2:4" x14ac:dyDescent="0.2">
      <c r="B4042" s="236"/>
      <c r="C4042" s="236"/>
      <c r="D4042" s="236"/>
    </row>
    <row r="4043" spans="2:4" ht="12.75" customHeight="1" x14ac:dyDescent="0.2">
      <c r="B4043" s="236"/>
      <c r="C4043" s="236"/>
      <c r="D4043" s="236"/>
    </row>
    <row r="4044" spans="2:4" ht="12.75" customHeight="1" x14ac:dyDescent="0.2">
      <c r="B4044" s="236"/>
      <c r="C4044" s="236"/>
      <c r="D4044" s="236"/>
    </row>
    <row r="4045" spans="2:4" ht="12.75" customHeight="1" x14ac:dyDescent="0.2">
      <c r="B4045" s="236"/>
      <c r="C4045" s="236"/>
      <c r="D4045" s="236"/>
    </row>
    <row r="4046" spans="2:4" ht="12.75" customHeight="1" x14ac:dyDescent="0.2">
      <c r="B4046" s="236"/>
      <c r="C4046" s="236"/>
      <c r="D4046" s="236"/>
    </row>
    <row r="4047" spans="2:4" ht="12.75" customHeight="1" x14ac:dyDescent="0.2">
      <c r="B4047" s="236"/>
      <c r="C4047" s="236"/>
      <c r="D4047" s="236"/>
    </row>
    <row r="4048" spans="2:4" ht="12.75" customHeight="1" x14ac:dyDescent="0.2">
      <c r="B4048" s="236"/>
      <c r="C4048" s="236"/>
      <c r="D4048" s="236"/>
    </row>
    <row r="4049" spans="2:4" ht="12.75" customHeight="1" x14ac:dyDescent="0.2">
      <c r="B4049" s="236"/>
      <c r="C4049" s="236"/>
      <c r="D4049" s="236"/>
    </row>
    <row r="4050" spans="2:4" ht="12.75" customHeight="1" x14ac:dyDescent="0.2">
      <c r="B4050" s="236"/>
      <c r="C4050" s="236"/>
      <c r="D4050" s="236"/>
    </row>
    <row r="4051" spans="2:4" ht="12.75" customHeight="1" x14ac:dyDescent="0.2">
      <c r="B4051" s="236"/>
      <c r="C4051" s="236"/>
      <c r="D4051" s="236"/>
    </row>
    <row r="4052" spans="2:4" ht="12.75" customHeight="1" x14ac:dyDescent="0.2">
      <c r="B4052" s="236"/>
      <c r="C4052" s="236"/>
      <c r="D4052" s="236"/>
    </row>
    <row r="4053" spans="2:4" ht="12.75" customHeight="1" x14ac:dyDescent="0.2">
      <c r="B4053" s="236"/>
      <c r="C4053" s="236"/>
      <c r="D4053" s="236"/>
    </row>
    <row r="4054" spans="2:4" ht="12.75" customHeight="1" x14ac:dyDescent="0.2">
      <c r="B4054" s="236"/>
      <c r="C4054" s="236"/>
      <c r="D4054" s="236"/>
    </row>
    <row r="4055" spans="2:4" ht="12.75" customHeight="1" x14ac:dyDescent="0.2">
      <c r="B4055" s="236"/>
      <c r="C4055" s="236"/>
      <c r="D4055" s="236"/>
    </row>
    <row r="4056" spans="2:4" ht="12.75" customHeight="1" x14ac:dyDescent="0.2">
      <c r="B4056" s="236"/>
      <c r="C4056" s="236"/>
      <c r="D4056" s="236"/>
    </row>
    <row r="4057" spans="2:4" ht="12.75" customHeight="1" x14ac:dyDescent="0.2">
      <c r="B4057" s="236"/>
      <c r="C4057" s="236"/>
      <c r="D4057" s="236"/>
    </row>
    <row r="4058" spans="2:4" ht="12.75" customHeight="1" x14ac:dyDescent="0.2">
      <c r="B4058" s="236"/>
      <c r="C4058" s="236"/>
      <c r="D4058" s="236"/>
    </row>
    <row r="4059" spans="2:4" ht="12.75" customHeight="1" x14ac:dyDescent="0.2">
      <c r="B4059" s="236"/>
      <c r="C4059" s="236"/>
      <c r="D4059" s="236"/>
    </row>
    <row r="4060" spans="2:4" x14ac:dyDescent="0.2">
      <c r="B4060" s="236"/>
      <c r="C4060" s="236"/>
      <c r="D4060" s="236"/>
    </row>
    <row r="4061" spans="2:4" ht="12.75" customHeight="1" x14ac:dyDescent="0.2">
      <c r="B4061" s="236"/>
      <c r="C4061" s="236"/>
      <c r="D4061" s="236"/>
    </row>
    <row r="4062" spans="2:4" ht="12.75" customHeight="1" x14ac:dyDescent="0.2">
      <c r="B4062" s="236"/>
      <c r="C4062" s="236"/>
      <c r="D4062" s="236"/>
    </row>
    <row r="4063" spans="2:4" x14ac:dyDescent="0.2">
      <c r="B4063" s="236"/>
      <c r="C4063" s="236"/>
      <c r="D4063" s="236"/>
    </row>
    <row r="4064" spans="2:4" ht="12.75" customHeight="1" x14ac:dyDescent="0.2">
      <c r="B4064" s="236"/>
      <c r="C4064" s="236"/>
      <c r="D4064" s="236"/>
    </row>
    <row r="4065" spans="2:4" x14ac:dyDescent="0.2">
      <c r="B4065" s="236"/>
      <c r="C4065" s="236"/>
      <c r="D4065" s="236"/>
    </row>
    <row r="4066" spans="2:4" ht="12.75" customHeight="1" x14ac:dyDescent="0.2">
      <c r="B4066" s="236"/>
      <c r="C4066" s="236"/>
      <c r="D4066" s="236"/>
    </row>
    <row r="4067" spans="2:4" ht="12.75" customHeight="1" x14ac:dyDescent="0.2">
      <c r="B4067" s="236"/>
      <c r="C4067" s="236"/>
      <c r="D4067" s="236"/>
    </row>
    <row r="4068" spans="2:4" ht="12.75" customHeight="1" x14ac:dyDescent="0.2">
      <c r="B4068" s="236"/>
      <c r="C4068" s="236"/>
      <c r="D4068" s="236"/>
    </row>
    <row r="4069" spans="2:4" ht="12.75" customHeight="1" x14ac:dyDescent="0.2">
      <c r="B4069" s="236"/>
      <c r="C4069" s="236"/>
      <c r="D4069" s="236"/>
    </row>
    <row r="4070" spans="2:4" ht="12.75" customHeight="1" x14ac:dyDescent="0.2">
      <c r="B4070" s="236"/>
      <c r="C4070" s="236"/>
      <c r="D4070" s="236"/>
    </row>
    <row r="4071" spans="2:4" ht="12.75" customHeight="1" x14ac:dyDescent="0.2">
      <c r="B4071" s="236"/>
      <c r="C4071" s="236"/>
      <c r="D4071" s="236"/>
    </row>
    <row r="4072" spans="2:4" ht="12.75" customHeight="1" x14ac:dyDescent="0.2">
      <c r="B4072" s="236"/>
      <c r="C4072" s="236"/>
      <c r="D4072" s="236"/>
    </row>
    <row r="4073" spans="2:4" ht="12.75" customHeight="1" x14ac:dyDescent="0.2">
      <c r="B4073" s="236"/>
      <c r="C4073" s="236"/>
      <c r="D4073" s="236"/>
    </row>
    <row r="4074" spans="2:4" x14ac:dyDescent="0.2">
      <c r="B4074" s="236"/>
      <c r="C4074" s="236"/>
      <c r="D4074" s="236"/>
    </row>
    <row r="4075" spans="2:4" ht="12.75" customHeight="1" x14ac:dyDescent="0.2">
      <c r="B4075" s="236"/>
      <c r="C4075" s="236"/>
      <c r="D4075" s="236"/>
    </row>
    <row r="4076" spans="2:4" x14ac:dyDescent="0.2">
      <c r="B4076" s="236"/>
      <c r="C4076" s="236"/>
      <c r="D4076" s="236"/>
    </row>
    <row r="4077" spans="2:4" ht="12.75" customHeight="1" x14ac:dyDescent="0.2">
      <c r="B4077" s="236"/>
      <c r="C4077" s="236"/>
      <c r="D4077" s="236"/>
    </row>
    <row r="4078" spans="2:4" x14ac:dyDescent="0.2">
      <c r="B4078" s="236"/>
      <c r="C4078" s="236"/>
      <c r="D4078" s="236"/>
    </row>
    <row r="4079" spans="2:4" ht="12.75" customHeight="1" x14ac:dyDescent="0.2">
      <c r="B4079" s="236"/>
      <c r="C4079" s="236"/>
      <c r="D4079" s="236"/>
    </row>
    <row r="4080" spans="2:4" ht="12.75" customHeight="1" x14ac:dyDescent="0.2">
      <c r="B4080" s="236"/>
      <c r="C4080" s="236"/>
      <c r="D4080" s="236"/>
    </row>
    <row r="4081" spans="2:4" ht="12.75" customHeight="1" x14ac:dyDescent="0.2">
      <c r="B4081" s="236"/>
      <c r="C4081" s="236"/>
      <c r="D4081" s="236"/>
    </row>
    <row r="4082" spans="2:4" ht="12.75" customHeight="1" x14ac:dyDescent="0.2">
      <c r="B4082" s="236"/>
      <c r="C4082" s="236"/>
      <c r="D4082" s="236"/>
    </row>
    <row r="4083" spans="2:4" ht="12.75" customHeight="1" x14ac:dyDescent="0.2">
      <c r="B4083" s="236"/>
      <c r="C4083" s="236"/>
      <c r="D4083" s="236"/>
    </row>
    <row r="4084" spans="2:4" ht="12.75" customHeight="1" x14ac:dyDescent="0.2">
      <c r="B4084" s="236"/>
      <c r="C4084" s="236"/>
      <c r="D4084" s="236"/>
    </row>
    <row r="4085" spans="2:4" ht="12.75" customHeight="1" x14ac:dyDescent="0.2">
      <c r="B4085" s="236"/>
      <c r="C4085" s="236"/>
      <c r="D4085" s="236"/>
    </row>
    <row r="4086" spans="2:4" ht="12.75" customHeight="1" x14ac:dyDescent="0.2">
      <c r="B4086" s="236"/>
      <c r="C4086" s="236"/>
      <c r="D4086" s="236"/>
    </row>
    <row r="4087" spans="2:4" ht="12.75" customHeight="1" x14ac:dyDescent="0.2">
      <c r="B4087" s="236"/>
      <c r="C4087" s="236"/>
      <c r="D4087" s="236"/>
    </row>
    <row r="4088" spans="2:4" ht="12.75" customHeight="1" x14ac:dyDescent="0.2">
      <c r="B4088" s="236"/>
      <c r="C4088" s="236"/>
      <c r="D4088" s="236"/>
    </row>
    <row r="4089" spans="2:4" ht="12.75" customHeight="1" x14ac:dyDescent="0.2">
      <c r="B4089" s="236"/>
      <c r="C4089" s="236"/>
      <c r="D4089" s="236"/>
    </row>
    <row r="4090" spans="2:4" ht="12.75" customHeight="1" x14ac:dyDescent="0.2">
      <c r="B4090" s="236"/>
      <c r="C4090" s="236"/>
      <c r="D4090" s="236"/>
    </row>
    <row r="4091" spans="2:4" ht="12.75" customHeight="1" x14ac:dyDescent="0.2">
      <c r="B4091" s="236"/>
      <c r="C4091" s="236"/>
      <c r="D4091" s="236"/>
    </row>
    <row r="4092" spans="2:4" ht="12.75" customHeight="1" x14ac:dyDescent="0.2">
      <c r="B4092" s="236"/>
      <c r="C4092" s="236"/>
      <c r="D4092" s="236"/>
    </row>
    <row r="4093" spans="2:4" x14ac:dyDescent="0.2">
      <c r="B4093" s="236"/>
      <c r="C4093" s="236"/>
      <c r="D4093" s="236"/>
    </row>
    <row r="4094" spans="2:4" ht="12.75" customHeight="1" x14ac:dyDescent="0.2">
      <c r="B4094" s="236"/>
      <c r="C4094" s="236"/>
      <c r="D4094" s="236"/>
    </row>
    <row r="4095" spans="2:4" x14ac:dyDescent="0.2">
      <c r="B4095" s="236"/>
      <c r="C4095" s="236"/>
      <c r="D4095" s="236"/>
    </row>
    <row r="4096" spans="2:4" x14ac:dyDescent="0.2">
      <c r="B4096" s="236"/>
      <c r="C4096" s="236"/>
      <c r="D4096" s="236"/>
    </row>
    <row r="4097" spans="2:4" x14ac:dyDescent="0.2">
      <c r="B4097" s="236"/>
      <c r="C4097" s="236"/>
      <c r="D4097" s="236"/>
    </row>
    <row r="4098" spans="2:4" ht="12.75" customHeight="1" x14ac:dyDescent="0.2">
      <c r="B4098" s="236"/>
      <c r="C4098" s="236"/>
      <c r="D4098" s="236"/>
    </row>
    <row r="4099" spans="2:4" x14ac:dyDescent="0.2">
      <c r="B4099" s="236"/>
      <c r="C4099" s="236"/>
      <c r="D4099" s="236"/>
    </row>
    <row r="4100" spans="2:4" ht="12.75" customHeight="1" x14ac:dyDescent="0.2">
      <c r="B4100" s="236"/>
      <c r="C4100" s="236"/>
      <c r="D4100" s="236"/>
    </row>
    <row r="4101" spans="2:4" ht="12.75" customHeight="1" x14ac:dyDescent="0.2">
      <c r="B4101" s="236"/>
      <c r="C4101" s="236"/>
      <c r="D4101" s="236"/>
    </row>
    <row r="4102" spans="2:4" ht="12.75" customHeight="1" x14ac:dyDescent="0.2">
      <c r="B4102" s="236"/>
      <c r="C4102" s="236"/>
      <c r="D4102" s="236"/>
    </row>
    <row r="4103" spans="2:4" ht="12.75" customHeight="1" x14ac:dyDescent="0.2">
      <c r="B4103" s="236"/>
      <c r="C4103" s="236"/>
      <c r="D4103" s="236"/>
    </row>
    <row r="4104" spans="2:4" ht="12.75" customHeight="1" x14ac:dyDescent="0.2">
      <c r="B4104" s="236"/>
      <c r="C4104" s="236"/>
      <c r="D4104" s="236"/>
    </row>
    <row r="4105" spans="2:4" ht="12.75" customHeight="1" x14ac:dyDescent="0.2">
      <c r="B4105" s="236"/>
      <c r="C4105" s="236"/>
      <c r="D4105" s="236"/>
    </row>
    <row r="4106" spans="2:4" ht="12.75" customHeight="1" x14ac:dyDescent="0.2">
      <c r="B4106" s="236"/>
      <c r="C4106" s="236"/>
      <c r="D4106" s="236"/>
    </row>
    <row r="4107" spans="2:4" ht="12.75" customHeight="1" x14ac:dyDescent="0.2">
      <c r="B4107" s="236"/>
      <c r="C4107" s="236"/>
      <c r="D4107" s="236"/>
    </row>
    <row r="4108" spans="2:4" ht="12.75" customHeight="1" x14ac:dyDescent="0.2">
      <c r="B4108" s="236"/>
      <c r="C4108" s="236"/>
      <c r="D4108" s="236"/>
    </row>
    <row r="4109" spans="2:4" ht="12.75" customHeight="1" x14ac:dyDescent="0.2">
      <c r="B4109" s="236"/>
      <c r="C4109" s="236"/>
      <c r="D4109" s="236"/>
    </row>
    <row r="4110" spans="2:4" ht="12.75" customHeight="1" x14ac:dyDescent="0.2">
      <c r="B4110" s="236"/>
      <c r="C4110" s="236"/>
      <c r="D4110" s="236"/>
    </row>
    <row r="4111" spans="2:4" ht="12.75" customHeight="1" x14ac:dyDescent="0.2">
      <c r="B4111" s="236"/>
      <c r="C4111" s="236"/>
      <c r="D4111" s="236"/>
    </row>
    <row r="4112" spans="2:4" ht="12.75" customHeight="1" x14ac:dyDescent="0.2">
      <c r="B4112" s="236"/>
      <c r="C4112" s="236"/>
      <c r="D4112" s="236"/>
    </row>
    <row r="4113" spans="2:4" ht="12.75" customHeight="1" x14ac:dyDescent="0.2">
      <c r="B4113" s="236"/>
      <c r="C4113" s="236"/>
      <c r="D4113" s="236"/>
    </row>
    <row r="4114" spans="2:4" ht="12.75" customHeight="1" x14ac:dyDescent="0.2">
      <c r="B4114" s="236"/>
      <c r="C4114" s="236"/>
      <c r="D4114" s="236"/>
    </row>
    <row r="4115" spans="2:4" x14ac:dyDescent="0.2">
      <c r="B4115" s="236"/>
      <c r="C4115" s="236"/>
      <c r="D4115" s="236"/>
    </row>
    <row r="4116" spans="2:4" ht="12.75" customHeight="1" x14ac:dyDescent="0.2">
      <c r="B4116" s="236"/>
      <c r="C4116" s="236"/>
      <c r="D4116" s="236"/>
    </row>
    <row r="4117" spans="2:4" x14ac:dyDescent="0.2">
      <c r="B4117" s="236"/>
      <c r="C4117" s="236"/>
      <c r="D4117" s="236"/>
    </row>
    <row r="4118" spans="2:4" x14ac:dyDescent="0.2">
      <c r="B4118" s="236"/>
      <c r="C4118" s="236"/>
      <c r="D4118" s="236"/>
    </row>
    <row r="4119" spans="2:4" x14ac:dyDescent="0.2">
      <c r="B4119" s="236"/>
      <c r="C4119" s="236"/>
      <c r="D4119" s="236"/>
    </row>
    <row r="4120" spans="2:4" ht="12.75" customHeight="1" x14ac:dyDescent="0.2">
      <c r="B4120" s="236"/>
      <c r="C4120" s="236"/>
      <c r="D4120" s="236"/>
    </row>
    <row r="4121" spans="2:4" x14ac:dyDescent="0.2">
      <c r="B4121" s="236"/>
      <c r="C4121" s="236"/>
      <c r="D4121" s="236"/>
    </row>
    <row r="4122" spans="2:4" ht="12.75" customHeight="1" x14ac:dyDescent="0.2">
      <c r="B4122" s="236"/>
      <c r="C4122" s="236"/>
      <c r="D4122" s="236"/>
    </row>
    <row r="4123" spans="2:4" ht="12.75" customHeight="1" x14ac:dyDescent="0.2">
      <c r="B4123" s="236"/>
      <c r="C4123" s="236"/>
      <c r="D4123" s="236"/>
    </row>
    <row r="4124" spans="2:4" ht="12.75" customHeight="1" x14ac:dyDescent="0.2">
      <c r="B4124" s="236"/>
      <c r="C4124" s="236"/>
      <c r="D4124" s="236"/>
    </row>
    <row r="4125" spans="2:4" ht="12.75" customHeight="1" x14ac:dyDescent="0.2">
      <c r="B4125" s="236"/>
      <c r="C4125" s="236"/>
      <c r="D4125" s="236"/>
    </row>
    <row r="4126" spans="2:4" ht="12.75" customHeight="1" x14ac:dyDescent="0.2">
      <c r="B4126" s="236"/>
      <c r="C4126" s="236"/>
      <c r="D4126" s="236"/>
    </row>
    <row r="4127" spans="2:4" ht="12.75" customHeight="1" x14ac:dyDescent="0.2">
      <c r="B4127" s="236"/>
      <c r="C4127" s="236"/>
      <c r="D4127" s="236"/>
    </row>
    <row r="4128" spans="2:4" ht="12.75" customHeight="1" x14ac:dyDescent="0.2">
      <c r="B4128" s="236"/>
      <c r="C4128" s="236"/>
      <c r="D4128" s="236"/>
    </row>
    <row r="4129" spans="2:4" x14ac:dyDescent="0.2">
      <c r="B4129" s="236"/>
      <c r="C4129" s="236"/>
      <c r="D4129" s="236"/>
    </row>
    <row r="4130" spans="2:4" ht="12.75" customHeight="1" x14ac:dyDescent="0.2">
      <c r="B4130" s="236"/>
      <c r="C4130" s="236"/>
      <c r="D4130" s="236"/>
    </row>
    <row r="4131" spans="2:4" x14ac:dyDescent="0.2">
      <c r="B4131" s="236"/>
      <c r="C4131" s="236"/>
      <c r="D4131" s="236"/>
    </row>
    <row r="4132" spans="2:4" ht="12.75" customHeight="1" x14ac:dyDescent="0.2">
      <c r="B4132" s="236"/>
      <c r="C4132" s="236"/>
      <c r="D4132" s="236"/>
    </row>
    <row r="4133" spans="2:4" ht="12.75" customHeight="1" x14ac:dyDescent="0.2">
      <c r="B4133" s="236"/>
      <c r="C4133" s="236"/>
      <c r="D4133" s="236"/>
    </row>
    <row r="4134" spans="2:4" ht="12.75" customHeight="1" x14ac:dyDescent="0.2">
      <c r="B4134" s="236"/>
      <c r="C4134" s="236"/>
      <c r="D4134" s="236"/>
    </row>
    <row r="4135" spans="2:4" x14ac:dyDescent="0.2">
      <c r="B4135" s="236"/>
      <c r="C4135" s="236"/>
      <c r="D4135" s="236"/>
    </row>
    <row r="4136" spans="2:4" x14ac:dyDescent="0.2">
      <c r="B4136" s="236"/>
      <c r="C4136" s="236"/>
      <c r="D4136" s="236"/>
    </row>
    <row r="4137" spans="2:4" ht="12.75" customHeight="1" x14ac:dyDescent="0.2">
      <c r="B4137" s="236"/>
      <c r="C4137" s="236"/>
      <c r="D4137" s="236"/>
    </row>
    <row r="4138" spans="2:4" x14ac:dyDescent="0.2">
      <c r="B4138" s="236"/>
      <c r="C4138" s="236"/>
      <c r="D4138" s="236"/>
    </row>
    <row r="4139" spans="2:4" ht="12.75" customHeight="1" x14ac:dyDescent="0.2">
      <c r="B4139" s="236"/>
      <c r="C4139" s="236"/>
      <c r="D4139" s="236"/>
    </row>
    <row r="4140" spans="2:4" ht="12.75" customHeight="1" x14ac:dyDescent="0.2">
      <c r="B4140" s="236"/>
      <c r="C4140" s="236"/>
      <c r="D4140" s="236"/>
    </row>
    <row r="4141" spans="2:4" x14ac:dyDescent="0.2">
      <c r="B4141" s="236"/>
      <c r="C4141" s="236"/>
      <c r="D4141" s="236"/>
    </row>
    <row r="4142" spans="2:4" ht="12.75" customHeight="1" x14ac:dyDescent="0.2">
      <c r="B4142" s="236"/>
      <c r="C4142" s="236"/>
      <c r="D4142" s="236"/>
    </row>
    <row r="4143" spans="2:4" x14ac:dyDescent="0.2">
      <c r="B4143" s="236"/>
      <c r="C4143" s="236"/>
      <c r="D4143" s="236"/>
    </row>
    <row r="4144" spans="2:4" ht="12.75" customHeight="1" x14ac:dyDescent="0.2">
      <c r="B4144" s="236"/>
      <c r="C4144" s="236"/>
      <c r="D4144" s="236"/>
    </row>
    <row r="4145" spans="2:4" x14ac:dyDescent="0.2">
      <c r="B4145" s="236"/>
      <c r="C4145" s="236"/>
      <c r="D4145" s="236"/>
    </row>
    <row r="4146" spans="2:4" ht="12.75" customHeight="1" x14ac:dyDescent="0.2">
      <c r="B4146" s="236"/>
      <c r="C4146" s="236"/>
      <c r="D4146" s="236"/>
    </row>
    <row r="4147" spans="2:4" x14ac:dyDescent="0.2">
      <c r="B4147" s="236"/>
      <c r="C4147" s="236"/>
      <c r="D4147" s="236"/>
    </row>
    <row r="4148" spans="2:4" ht="12.75" customHeight="1" x14ac:dyDescent="0.2">
      <c r="B4148" s="236"/>
      <c r="C4148" s="236"/>
      <c r="D4148" s="236"/>
    </row>
    <row r="4149" spans="2:4" ht="12.75" customHeight="1" x14ac:dyDescent="0.2">
      <c r="B4149" s="236"/>
      <c r="C4149" s="236"/>
      <c r="D4149" s="236"/>
    </row>
    <row r="4150" spans="2:4" ht="12.75" customHeight="1" x14ac:dyDescent="0.2">
      <c r="B4150" s="236"/>
      <c r="C4150" s="236"/>
      <c r="D4150" s="236"/>
    </row>
    <row r="4151" spans="2:4" ht="12.75" customHeight="1" x14ac:dyDescent="0.2">
      <c r="B4151" s="236"/>
      <c r="C4151" s="236"/>
      <c r="D4151" s="236"/>
    </row>
    <row r="4152" spans="2:4" ht="12.75" customHeight="1" x14ac:dyDescent="0.2">
      <c r="B4152" s="236"/>
      <c r="C4152" s="236"/>
      <c r="D4152" s="236"/>
    </row>
    <row r="4153" spans="2:4" x14ac:dyDescent="0.2">
      <c r="B4153" s="236"/>
      <c r="C4153" s="236"/>
      <c r="D4153" s="236"/>
    </row>
    <row r="4154" spans="2:4" ht="12.75" customHeight="1" x14ac:dyDescent="0.2">
      <c r="B4154" s="236"/>
      <c r="C4154" s="236"/>
      <c r="D4154" s="236"/>
    </row>
    <row r="4155" spans="2:4" x14ac:dyDescent="0.2">
      <c r="B4155" s="236"/>
      <c r="C4155" s="236"/>
      <c r="D4155" s="236"/>
    </row>
    <row r="4156" spans="2:4" x14ac:dyDescent="0.2">
      <c r="B4156" s="236"/>
      <c r="C4156" s="236"/>
      <c r="D4156" s="236"/>
    </row>
    <row r="4157" spans="2:4" ht="12.75" customHeight="1" x14ac:dyDescent="0.2">
      <c r="B4157" s="236"/>
      <c r="C4157" s="236"/>
      <c r="D4157" s="236"/>
    </row>
    <row r="4158" spans="2:4" ht="12.75" customHeight="1" x14ac:dyDescent="0.2">
      <c r="B4158" s="236"/>
      <c r="C4158" s="236"/>
      <c r="D4158" s="236"/>
    </row>
    <row r="4159" spans="2:4" x14ac:dyDescent="0.2">
      <c r="B4159" s="236"/>
      <c r="C4159" s="236"/>
      <c r="D4159" s="236"/>
    </row>
    <row r="4160" spans="2:4" ht="12.75" customHeight="1" x14ac:dyDescent="0.2">
      <c r="B4160" s="236"/>
      <c r="C4160" s="236"/>
      <c r="D4160" s="236"/>
    </row>
    <row r="4161" spans="2:4" x14ac:dyDescent="0.2">
      <c r="B4161" s="236"/>
      <c r="C4161" s="236"/>
      <c r="D4161" s="236"/>
    </row>
    <row r="4162" spans="2:4" x14ac:dyDescent="0.2">
      <c r="B4162" s="236"/>
      <c r="C4162" s="236"/>
      <c r="D4162" s="236"/>
    </row>
    <row r="4163" spans="2:4" ht="12.75" customHeight="1" x14ac:dyDescent="0.2">
      <c r="B4163" s="236"/>
      <c r="C4163" s="236"/>
      <c r="D4163" s="236"/>
    </row>
    <row r="4164" spans="2:4" ht="12.75" customHeight="1" x14ac:dyDescent="0.2">
      <c r="B4164" s="236"/>
      <c r="C4164" s="236"/>
      <c r="D4164" s="236"/>
    </row>
    <row r="4165" spans="2:4" ht="12.75" customHeight="1" x14ac:dyDescent="0.2">
      <c r="B4165" s="236"/>
      <c r="C4165" s="236"/>
      <c r="D4165" s="236"/>
    </row>
    <row r="4166" spans="2:4" x14ac:dyDescent="0.2">
      <c r="B4166" s="236"/>
      <c r="C4166" s="236"/>
      <c r="D4166" s="236"/>
    </row>
    <row r="4167" spans="2:4" ht="12.75" customHeight="1" x14ac:dyDescent="0.2">
      <c r="B4167" s="236"/>
      <c r="C4167" s="236"/>
      <c r="D4167" s="236"/>
    </row>
    <row r="4168" spans="2:4" x14ac:dyDescent="0.2">
      <c r="B4168" s="236"/>
      <c r="C4168" s="236"/>
      <c r="D4168" s="236"/>
    </row>
    <row r="4169" spans="2:4" ht="12.75" customHeight="1" x14ac:dyDescent="0.2">
      <c r="B4169" s="236"/>
      <c r="C4169" s="236"/>
      <c r="D4169" s="236"/>
    </row>
    <row r="4170" spans="2:4" ht="12.75" customHeight="1" x14ac:dyDescent="0.2">
      <c r="B4170" s="236"/>
      <c r="C4170" s="236"/>
      <c r="D4170" s="236"/>
    </row>
    <row r="4171" spans="2:4" ht="12.75" customHeight="1" x14ac:dyDescent="0.2">
      <c r="B4171" s="236"/>
      <c r="C4171" s="236"/>
      <c r="D4171" s="236"/>
    </row>
    <row r="4172" spans="2:4" ht="12.75" customHeight="1" x14ac:dyDescent="0.2">
      <c r="B4172" s="236"/>
      <c r="C4172" s="236"/>
      <c r="D4172" s="236"/>
    </row>
    <row r="4173" spans="2:4" x14ac:dyDescent="0.2">
      <c r="B4173" s="236"/>
      <c r="C4173" s="236"/>
      <c r="D4173" s="236"/>
    </row>
    <row r="4174" spans="2:4" ht="12.75" customHeight="1" x14ac:dyDescent="0.2">
      <c r="B4174" s="236"/>
      <c r="C4174" s="236"/>
      <c r="D4174" s="236"/>
    </row>
    <row r="4175" spans="2:4" x14ac:dyDescent="0.2">
      <c r="B4175" s="236"/>
      <c r="C4175" s="236"/>
      <c r="D4175" s="236"/>
    </row>
    <row r="4176" spans="2:4" ht="12.75" customHeight="1" x14ac:dyDescent="0.2">
      <c r="B4176" s="236"/>
      <c r="C4176" s="236"/>
      <c r="D4176" s="236"/>
    </row>
    <row r="4177" spans="2:4" ht="12.75" customHeight="1" x14ac:dyDescent="0.2">
      <c r="B4177" s="236"/>
      <c r="C4177" s="236"/>
      <c r="D4177" s="236"/>
    </row>
    <row r="4178" spans="2:4" ht="12.75" customHeight="1" x14ac:dyDescent="0.2">
      <c r="B4178" s="236"/>
      <c r="C4178" s="236"/>
      <c r="D4178" s="236"/>
    </row>
    <row r="4179" spans="2:4" x14ac:dyDescent="0.2">
      <c r="B4179" s="236"/>
      <c r="C4179" s="236"/>
      <c r="D4179" s="236"/>
    </row>
    <row r="4180" spans="2:4" ht="12.75" customHeight="1" x14ac:dyDescent="0.2">
      <c r="B4180" s="236"/>
      <c r="C4180" s="236"/>
      <c r="D4180" s="236"/>
    </row>
    <row r="4181" spans="2:4" x14ac:dyDescent="0.2">
      <c r="B4181" s="236"/>
      <c r="C4181" s="236"/>
      <c r="D4181" s="236"/>
    </row>
    <row r="4182" spans="2:4" ht="12.75" customHeight="1" x14ac:dyDescent="0.2">
      <c r="B4182" s="236"/>
      <c r="C4182" s="236"/>
      <c r="D4182" s="236"/>
    </row>
    <row r="4183" spans="2:4" ht="12.75" customHeight="1" x14ac:dyDescent="0.2">
      <c r="B4183" s="236"/>
      <c r="C4183" s="236"/>
      <c r="D4183" s="236"/>
    </row>
    <row r="4184" spans="2:4" ht="12.75" customHeight="1" x14ac:dyDescent="0.2">
      <c r="B4184" s="236"/>
      <c r="C4184" s="236"/>
      <c r="D4184" s="236"/>
    </row>
    <row r="4185" spans="2:4" x14ac:dyDescent="0.2">
      <c r="B4185" s="236"/>
      <c r="C4185" s="236"/>
      <c r="D4185" s="236"/>
    </row>
    <row r="4186" spans="2:4" ht="12.75" customHeight="1" x14ac:dyDescent="0.2">
      <c r="B4186" s="236"/>
      <c r="C4186" s="236"/>
      <c r="D4186" s="236"/>
    </row>
    <row r="4187" spans="2:4" ht="12.75" customHeight="1" x14ac:dyDescent="0.2">
      <c r="B4187" s="236"/>
      <c r="C4187" s="236"/>
      <c r="D4187" s="236"/>
    </row>
    <row r="4188" spans="2:4" ht="12.75" customHeight="1" x14ac:dyDescent="0.2">
      <c r="B4188" s="236"/>
      <c r="C4188" s="236"/>
      <c r="D4188" s="236"/>
    </row>
    <row r="4189" spans="2:4" x14ac:dyDescent="0.2">
      <c r="B4189" s="236"/>
      <c r="C4189" s="236"/>
      <c r="D4189" s="236"/>
    </row>
    <row r="4190" spans="2:4" ht="12.75" customHeight="1" x14ac:dyDescent="0.2">
      <c r="B4190" s="236"/>
      <c r="C4190" s="236"/>
      <c r="D4190" s="236"/>
    </row>
    <row r="4191" spans="2:4" ht="12.75" customHeight="1" x14ac:dyDescent="0.2">
      <c r="B4191" s="236"/>
      <c r="C4191" s="236"/>
      <c r="D4191" s="236"/>
    </row>
    <row r="4192" spans="2:4" ht="12.75" customHeight="1" x14ac:dyDescent="0.2">
      <c r="B4192" s="236"/>
      <c r="C4192" s="236"/>
      <c r="D4192" s="236"/>
    </row>
    <row r="4193" spans="2:4" ht="12.75" customHeight="1" x14ac:dyDescent="0.2">
      <c r="B4193" s="236"/>
      <c r="C4193" s="236"/>
      <c r="D4193" s="236"/>
    </row>
    <row r="4194" spans="2:4" ht="12.75" customHeight="1" x14ac:dyDescent="0.2">
      <c r="B4194" s="236"/>
      <c r="C4194" s="236"/>
      <c r="D4194" s="236"/>
    </row>
    <row r="4195" spans="2:4" x14ac:dyDescent="0.2">
      <c r="B4195" s="236"/>
      <c r="C4195" s="236"/>
      <c r="D4195" s="236"/>
    </row>
    <row r="4196" spans="2:4" ht="12.75" customHeight="1" x14ac:dyDescent="0.2">
      <c r="B4196" s="236"/>
      <c r="C4196" s="236"/>
      <c r="D4196" s="236"/>
    </row>
    <row r="4197" spans="2:4" x14ac:dyDescent="0.2">
      <c r="B4197" s="236"/>
      <c r="C4197" s="236"/>
      <c r="D4197" s="236"/>
    </row>
    <row r="4198" spans="2:4" ht="12.75" customHeight="1" x14ac:dyDescent="0.2">
      <c r="B4198" s="236"/>
      <c r="C4198" s="236"/>
      <c r="D4198" s="236"/>
    </row>
    <row r="4199" spans="2:4" ht="12.75" customHeight="1" x14ac:dyDescent="0.2">
      <c r="B4199" s="236"/>
      <c r="C4199" s="236"/>
      <c r="D4199" s="236"/>
    </row>
    <row r="4200" spans="2:4" ht="12.75" customHeight="1" x14ac:dyDescent="0.2">
      <c r="B4200" s="236"/>
      <c r="C4200" s="236"/>
      <c r="D4200" s="236"/>
    </row>
    <row r="4201" spans="2:4" ht="12.75" customHeight="1" x14ac:dyDescent="0.2">
      <c r="B4201" s="236"/>
      <c r="C4201" s="236"/>
      <c r="D4201" s="236"/>
    </row>
    <row r="4202" spans="2:4" ht="12.75" customHeight="1" x14ac:dyDescent="0.2">
      <c r="B4202" s="236"/>
      <c r="C4202" s="236"/>
      <c r="D4202" s="236"/>
    </row>
    <row r="4203" spans="2:4" x14ac:dyDescent="0.2">
      <c r="B4203" s="236"/>
      <c r="C4203" s="236"/>
      <c r="D4203" s="236"/>
    </row>
    <row r="4204" spans="2:4" ht="12.75" customHeight="1" x14ac:dyDescent="0.2">
      <c r="B4204" s="236"/>
      <c r="C4204" s="236"/>
      <c r="D4204" s="236"/>
    </row>
    <row r="4205" spans="2:4" ht="12.75" customHeight="1" x14ac:dyDescent="0.2">
      <c r="B4205" s="236"/>
      <c r="C4205" s="236"/>
      <c r="D4205" s="236"/>
    </row>
    <row r="4206" spans="2:4" ht="12.75" customHeight="1" x14ac:dyDescent="0.2">
      <c r="B4206" s="236"/>
      <c r="C4206" s="236"/>
      <c r="D4206" s="236"/>
    </row>
    <row r="4207" spans="2:4" ht="12.75" customHeight="1" x14ac:dyDescent="0.2">
      <c r="B4207" s="236"/>
      <c r="C4207" s="236"/>
      <c r="D4207" s="236"/>
    </row>
    <row r="4208" spans="2:4" ht="12.75" customHeight="1" x14ac:dyDescent="0.2">
      <c r="B4208" s="236"/>
      <c r="C4208" s="236"/>
      <c r="D4208" s="236"/>
    </row>
    <row r="4209" spans="2:4" ht="12.75" customHeight="1" x14ac:dyDescent="0.2">
      <c r="B4209" s="236"/>
      <c r="C4209" s="236"/>
      <c r="D4209" s="236"/>
    </row>
    <row r="4210" spans="2:4" x14ac:dyDescent="0.2">
      <c r="B4210" s="236"/>
      <c r="C4210" s="236"/>
      <c r="D4210" s="236"/>
    </row>
    <row r="4211" spans="2:4" x14ac:dyDescent="0.2">
      <c r="B4211" s="236"/>
      <c r="C4211" s="236"/>
      <c r="D4211" s="236"/>
    </row>
    <row r="4212" spans="2:4" x14ac:dyDescent="0.2">
      <c r="B4212" s="236"/>
      <c r="C4212" s="236"/>
      <c r="D4212" s="236"/>
    </row>
    <row r="4213" spans="2:4" ht="12.75" customHeight="1" x14ac:dyDescent="0.2">
      <c r="B4213" s="236"/>
      <c r="C4213" s="236"/>
      <c r="D4213" s="236"/>
    </row>
    <row r="4214" spans="2:4" x14ac:dyDescent="0.2">
      <c r="B4214" s="236"/>
      <c r="C4214" s="236"/>
      <c r="D4214" s="236"/>
    </row>
    <row r="4215" spans="2:4" x14ac:dyDescent="0.2">
      <c r="B4215" s="236"/>
      <c r="C4215" s="236"/>
      <c r="D4215" s="236"/>
    </row>
    <row r="4216" spans="2:4" ht="12.75" customHeight="1" x14ac:dyDescent="0.2">
      <c r="B4216" s="236"/>
      <c r="C4216" s="236"/>
      <c r="D4216" s="236"/>
    </row>
    <row r="4217" spans="2:4" ht="12.75" customHeight="1" x14ac:dyDescent="0.2">
      <c r="B4217" s="236"/>
      <c r="C4217" s="236"/>
      <c r="D4217" s="236"/>
    </row>
    <row r="4218" spans="2:4" ht="12.75" customHeight="1" x14ac:dyDescent="0.2">
      <c r="B4218" s="236"/>
      <c r="C4218" s="236"/>
      <c r="D4218" s="236"/>
    </row>
    <row r="4219" spans="2:4" ht="12.75" customHeight="1" x14ac:dyDescent="0.2">
      <c r="B4219" s="236"/>
      <c r="C4219" s="236"/>
      <c r="D4219" s="236"/>
    </row>
    <row r="4220" spans="2:4" ht="12.75" customHeight="1" x14ac:dyDescent="0.2">
      <c r="B4220" s="236"/>
      <c r="C4220" s="236"/>
      <c r="D4220" s="236"/>
    </row>
    <row r="4221" spans="2:4" ht="12.75" customHeight="1" x14ac:dyDescent="0.2">
      <c r="B4221" s="236"/>
      <c r="C4221" s="236"/>
      <c r="D4221" s="236"/>
    </row>
    <row r="4222" spans="2:4" ht="12.75" customHeight="1" x14ac:dyDescent="0.2">
      <c r="B4222" s="236"/>
      <c r="C4222" s="236"/>
      <c r="D4222" s="236"/>
    </row>
    <row r="4223" spans="2:4" ht="12.75" customHeight="1" x14ac:dyDescent="0.2">
      <c r="B4223" s="236"/>
      <c r="C4223" s="236"/>
      <c r="D4223" s="236"/>
    </row>
    <row r="4224" spans="2:4" ht="12.75" customHeight="1" x14ac:dyDescent="0.2">
      <c r="B4224" s="236"/>
      <c r="C4224" s="236"/>
      <c r="D4224" s="236"/>
    </row>
    <row r="4225" spans="2:4" ht="12.75" customHeight="1" x14ac:dyDescent="0.2">
      <c r="B4225" s="236"/>
      <c r="C4225" s="236"/>
      <c r="D4225" s="236"/>
    </row>
    <row r="4226" spans="2:4" ht="12.75" customHeight="1" x14ac:dyDescent="0.2">
      <c r="B4226" s="236"/>
      <c r="C4226" s="236"/>
      <c r="D4226" s="236"/>
    </row>
    <row r="4227" spans="2:4" ht="12.75" customHeight="1" x14ac:dyDescent="0.2">
      <c r="B4227" s="236"/>
      <c r="C4227" s="236"/>
      <c r="D4227" s="236"/>
    </row>
    <row r="4228" spans="2:4" ht="12.75" customHeight="1" x14ac:dyDescent="0.2">
      <c r="B4228" s="236"/>
      <c r="C4228" s="236"/>
      <c r="D4228" s="236"/>
    </row>
    <row r="4229" spans="2:4" ht="12.75" customHeight="1" x14ac:dyDescent="0.2">
      <c r="B4229" s="236"/>
      <c r="C4229" s="236"/>
      <c r="D4229" s="236"/>
    </row>
    <row r="4230" spans="2:4" ht="12.75" customHeight="1" x14ac:dyDescent="0.2">
      <c r="B4230" s="236"/>
      <c r="C4230" s="236"/>
      <c r="D4230" s="236"/>
    </row>
    <row r="4231" spans="2:4" ht="12.75" customHeight="1" x14ac:dyDescent="0.2">
      <c r="B4231" s="236"/>
      <c r="C4231" s="236"/>
      <c r="D4231" s="236"/>
    </row>
    <row r="4232" spans="2:4" ht="12.75" customHeight="1" x14ac:dyDescent="0.2">
      <c r="B4232" s="236"/>
      <c r="C4232" s="236"/>
      <c r="D4232" s="236"/>
    </row>
    <row r="4233" spans="2:4" ht="12.75" customHeight="1" x14ac:dyDescent="0.2">
      <c r="B4233" s="236"/>
      <c r="C4233" s="236"/>
      <c r="D4233" s="236"/>
    </row>
    <row r="4234" spans="2:4" ht="12.75" customHeight="1" x14ac:dyDescent="0.2">
      <c r="B4234" s="236"/>
      <c r="C4234" s="236"/>
      <c r="D4234" s="236"/>
    </row>
    <row r="4235" spans="2:4" ht="12.75" customHeight="1" x14ac:dyDescent="0.2">
      <c r="B4235" s="236"/>
      <c r="C4235" s="236"/>
      <c r="D4235" s="236"/>
    </row>
    <row r="4236" spans="2:4" ht="12.75" customHeight="1" x14ac:dyDescent="0.2">
      <c r="B4236" s="236"/>
      <c r="C4236" s="236"/>
      <c r="D4236" s="236"/>
    </row>
    <row r="4237" spans="2:4" ht="12.75" customHeight="1" x14ac:dyDescent="0.2">
      <c r="B4237" s="236"/>
      <c r="C4237" s="236"/>
      <c r="D4237" s="236"/>
    </row>
    <row r="4238" spans="2:4" ht="12.75" customHeight="1" x14ac:dyDescent="0.2">
      <c r="B4238" s="236"/>
      <c r="C4238" s="236"/>
      <c r="D4238" s="236"/>
    </row>
    <row r="4239" spans="2:4" ht="12.75" customHeight="1" x14ac:dyDescent="0.2">
      <c r="B4239" s="236"/>
      <c r="C4239" s="236"/>
      <c r="D4239" s="236"/>
    </row>
    <row r="4240" spans="2:4" x14ac:dyDescent="0.2">
      <c r="B4240" s="236"/>
      <c r="C4240" s="236"/>
      <c r="D4240" s="236"/>
    </row>
    <row r="4241" spans="2:4" x14ac:dyDescent="0.2">
      <c r="B4241" s="236"/>
      <c r="C4241" s="236"/>
      <c r="D4241" s="236"/>
    </row>
    <row r="4242" spans="2:4" x14ac:dyDescent="0.2">
      <c r="B4242" s="236"/>
      <c r="C4242" s="236"/>
      <c r="D4242" s="236"/>
    </row>
    <row r="4243" spans="2:4" ht="12.75" customHeight="1" x14ac:dyDescent="0.2">
      <c r="B4243" s="236"/>
      <c r="C4243" s="236"/>
      <c r="D4243" s="236"/>
    </row>
    <row r="4244" spans="2:4" x14ac:dyDescent="0.2">
      <c r="B4244" s="236"/>
      <c r="C4244" s="236"/>
      <c r="D4244" s="236"/>
    </row>
    <row r="4245" spans="2:4" x14ac:dyDescent="0.2">
      <c r="B4245" s="236"/>
      <c r="C4245" s="236"/>
      <c r="D4245" s="236"/>
    </row>
    <row r="4246" spans="2:4" ht="12.75" customHeight="1" x14ac:dyDescent="0.2">
      <c r="B4246" s="236"/>
      <c r="C4246" s="236"/>
      <c r="D4246" s="236"/>
    </row>
    <row r="4247" spans="2:4" ht="12.75" customHeight="1" x14ac:dyDescent="0.2">
      <c r="B4247" s="236"/>
      <c r="C4247" s="236"/>
      <c r="D4247" s="236"/>
    </row>
    <row r="4248" spans="2:4" ht="12.75" customHeight="1" x14ac:dyDescent="0.2">
      <c r="B4248" s="236"/>
      <c r="C4248" s="236"/>
      <c r="D4248" s="236"/>
    </row>
    <row r="4249" spans="2:4" ht="12.75" customHeight="1" x14ac:dyDescent="0.2">
      <c r="B4249" s="236"/>
      <c r="C4249" s="236"/>
      <c r="D4249" s="236"/>
    </row>
    <row r="4250" spans="2:4" ht="12.75" customHeight="1" x14ac:dyDescent="0.2">
      <c r="B4250" s="236"/>
      <c r="C4250" s="236"/>
      <c r="D4250" s="236"/>
    </row>
    <row r="4251" spans="2:4" ht="12.75" customHeight="1" x14ac:dyDescent="0.2">
      <c r="B4251" s="236"/>
      <c r="C4251" s="236"/>
      <c r="D4251" s="236"/>
    </row>
    <row r="4252" spans="2:4" ht="12.75" customHeight="1" x14ac:dyDescent="0.2">
      <c r="B4252" s="236"/>
      <c r="C4252" s="236"/>
      <c r="D4252" s="236"/>
    </row>
    <row r="4253" spans="2:4" ht="12.75" customHeight="1" x14ac:dyDescent="0.2">
      <c r="B4253" s="236"/>
      <c r="C4253" s="236"/>
      <c r="D4253" s="236"/>
    </row>
    <row r="4254" spans="2:4" x14ac:dyDescent="0.2">
      <c r="B4254" s="236"/>
      <c r="C4254" s="236"/>
      <c r="D4254" s="236"/>
    </row>
    <row r="4255" spans="2:4" ht="12.75" customHeight="1" x14ac:dyDescent="0.2">
      <c r="B4255" s="236"/>
      <c r="C4255" s="236"/>
      <c r="D4255" s="236"/>
    </row>
    <row r="4256" spans="2:4" ht="12.75" customHeight="1" x14ac:dyDescent="0.2">
      <c r="B4256" s="236"/>
      <c r="C4256" s="236"/>
      <c r="D4256" s="236"/>
    </row>
    <row r="4257" spans="2:4" ht="12.75" customHeight="1" x14ac:dyDescent="0.2">
      <c r="B4257" s="236"/>
      <c r="C4257" s="236"/>
      <c r="D4257" s="236"/>
    </row>
    <row r="4258" spans="2:4" ht="12.75" customHeight="1" x14ac:dyDescent="0.2">
      <c r="B4258" s="236"/>
      <c r="C4258" s="236"/>
      <c r="D4258" s="236"/>
    </row>
    <row r="4259" spans="2:4" x14ac:dyDescent="0.2">
      <c r="B4259" s="236"/>
      <c r="C4259" s="236"/>
      <c r="D4259" s="236"/>
    </row>
    <row r="4260" spans="2:4" ht="12.75" customHeight="1" x14ac:dyDescent="0.2">
      <c r="B4260" s="236"/>
      <c r="C4260" s="236"/>
      <c r="D4260" s="236"/>
    </row>
    <row r="4261" spans="2:4" ht="12.75" customHeight="1" x14ac:dyDescent="0.2">
      <c r="B4261" s="236"/>
      <c r="C4261" s="236"/>
      <c r="D4261" s="236"/>
    </row>
    <row r="4262" spans="2:4" ht="12.75" customHeight="1" x14ac:dyDescent="0.2">
      <c r="B4262" s="236"/>
      <c r="C4262" s="236"/>
      <c r="D4262" s="236"/>
    </row>
    <row r="4263" spans="2:4" ht="12.75" customHeight="1" x14ac:dyDescent="0.2">
      <c r="B4263" s="236"/>
      <c r="C4263" s="236"/>
      <c r="D4263" s="236"/>
    </row>
    <row r="4264" spans="2:4" ht="12.75" customHeight="1" x14ac:dyDescent="0.2">
      <c r="B4264" s="236"/>
      <c r="C4264" s="236"/>
      <c r="D4264" s="236"/>
    </row>
    <row r="4265" spans="2:4" ht="12.75" customHeight="1" x14ac:dyDescent="0.2">
      <c r="B4265" s="236"/>
      <c r="C4265" s="236"/>
      <c r="D4265" s="236"/>
    </row>
    <row r="4266" spans="2:4" ht="12.75" customHeight="1" x14ac:dyDescent="0.2">
      <c r="B4266" s="236"/>
      <c r="C4266" s="236"/>
      <c r="D4266" s="236"/>
    </row>
    <row r="4267" spans="2:4" ht="12.75" customHeight="1" x14ac:dyDescent="0.2">
      <c r="B4267" s="236"/>
      <c r="C4267" s="236"/>
      <c r="D4267" s="236"/>
    </row>
    <row r="4268" spans="2:4" x14ac:dyDescent="0.2">
      <c r="B4268" s="236"/>
      <c r="C4268" s="236"/>
      <c r="D4268" s="236"/>
    </row>
    <row r="4269" spans="2:4" ht="12.75" customHeight="1" x14ac:dyDescent="0.2">
      <c r="B4269" s="236"/>
      <c r="C4269" s="236"/>
      <c r="D4269" s="236"/>
    </row>
    <row r="4270" spans="2:4" ht="12.75" customHeight="1" x14ac:dyDescent="0.2">
      <c r="B4270" s="236"/>
      <c r="C4270" s="236"/>
      <c r="D4270" s="236"/>
    </row>
    <row r="4271" spans="2:4" x14ac:dyDescent="0.2">
      <c r="B4271" s="236"/>
      <c r="C4271" s="236"/>
      <c r="D4271" s="236"/>
    </row>
    <row r="4272" spans="2:4" ht="12.75" customHeight="1" x14ac:dyDescent="0.2">
      <c r="B4272" s="236"/>
      <c r="C4272" s="236"/>
      <c r="D4272" s="236"/>
    </row>
    <row r="4273" spans="2:4" x14ac:dyDescent="0.2">
      <c r="B4273" s="236"/>
      <c r="C4273" s="236"/>
      <c r="D4273" s="236"/>
    </row>
    <row r="4274" spans="2:4" ht="12.75" customHeight="1" x14ac:dyDescent="0.2">
      <c r="B4274" s="236"/>
      <c r="C4274" s="236"/>
      <c r="D4274" s="236"/>
    </row>
    <row r="4275" spans="2:4" x14ac:dyDescent="0.2">
      <c r="B4275" s="236"/>
      <c r="C4275" s="236"/>
      <c r="D4275" s="236"/>
    </row>
    <row r="4276" spans="2:4" ht="12.75" customHeight="1" x14ac:dyDescent="0.2">
      <c r="B4276" s="236"/>
      <c r="C4276" s="236"/>
      <c r="D4276" s="236"/>
    </row>
    <row r="4277" spans="2:4" ht="12.75" customHeight="1" x14ac:dyDescent="0.2">
      <c r="B4277" s="236"/>
      <c r="C4277" s="236"/>
      <c r="D4277" s="236"/>
    </row>
    <row r="4278" spans="2:4" ht="12.75" customHeight="1" x14ac:dyDescent="0.2">
      <c r="B4278" s="236"/>
      <c r="C4278" s="236"/>
      <c r="D4278" s="236"/>
    </row>
    <row r="4279" spans="2:4" ht="12.75" customHeight="1" x14ac:dyDescent="0.2">
      <c r="B4279" s="236"/>
      <c r="C4279" s="236"/>
      <c r="D4279" s="236"/>
    </row>
    <row r="4280" spans="2:4" ht="12.75" customHeight="1" x14ac:dyDescent="0.2">
      <c r="B4280" s="236"/>
      <c r="C4280" s="236"/>
      <c r="D4280" s="236"/>
    </row>
    <row r="4281" spans="2:4" ht="12.75" customHeight="1" x14ac:dyDescent="0.2">
      <c r="B4281" s="236"/>
      <c r="C4281" s="236"/>
      <c r="D4281" s="236"/>
    </row>
    <row r="4282" spans="2:4" ht="12.75" customHeight="1" x14ac:dyDescent="0.2">
      <c r="B4282" s="236"/>
      <c r="C4282" s="236"/>
      <c r="D4282" s="236"/>
    </row>
    <row r="4283" spans="2:4" ht="12.75" customHeight="1" x14ac:dyDescent="0.2">
      <c r="B4283" s="236"/>
      <c r="C4283" s="236"/>
      <c r="D4283" s="236"/>
    </row>
    <row r="4284" spans="2:4" ht="12.75" customHeight="1" x14ac:dyDescent="0.2">
      <c r="B4284" s="236"/>
      <c r="C4284" s="236"/>
      <c r="D4284" s="236"/>
    </row>
    <row r="4285" spans="2:4" ht="12.75" customHeight="1" x14ac:dyDescent="0.2">
      <c r="B4285" s="236"/>
      <c r="C4285" s="236"/>
      <c r="D4285" s="236"/>
    </row>
    <row r="4286" spans="2:4" ht="12.75" customHeight="1" x14ac:dyDescent="0.2">
      <c r="B4286" s="236"/>
      <c r="C4286" s="236"/>
      <c r="D4286" s="236"/>
    </row>
    <row r="4287" spans="2:4" ht="12.75" customHeight="1" x14ac:dyDescent="0.2">
      <c r="B4287" s="236"/>
      <c r="C4287" s="236"/>
      <c r="D4287" s="236"/>
    </row>
    <row r="4288" spans="2:4" ht="12.75" customHeight="1" x14ac:dyDescent="0.2">
      <c r="B4288" s="236"/>
      <c r="C4288" s="236"/>
      <c r="D4288" s="236"/>
    </row>
    <row r="4289" spans="2:4" ht="12.75" customHeight="1" x14ac:dyDescent="0.2">
      <c r="B4289" s="236"/>
      <c r="C4289" s="236"/>
      <c r="D4289" s="236"/>
    </row>
    <row r="4290" spans="2:4" x14ac:dyDescent="0.2">
      <c r="B4290" s="236"/>
      <c r="C4290" s="236"/>
      <c r="D4290" s="236"/>
    </row>
    <row r="4291" spans="2:4" x14ac:dyDescent="0.2">
      <c r="B4291" s="236"/>
      <c r="C4291" s="236"/>
      <c r="D4291" s="236"/>
    </row>
    <row r="4292" spans="2:4" x14ac:dyDescent="0.2">
      <c r="B4292" s="236"/>
      <c r="C4292" s="236"/>
      <c r="D4292" s="236"/>
    </row>
    <row r="4293" spans="2:4" ht="12.75" customHeight="1" x14ac:dyDescent="0.2">
      <c r="B4293" s="236"/>
      <c r="C4293" s="236"/>
      <c r="D4293" s="236"/>
    </row>
    <row r="4294" spans="2:4" x14ac:dyDescent="0.2">
      <c r="B4294" s="236"/>
      <c r="C4294" s="236"/>
      <c r="D4294" s="236"/>
    </row>
    <row r="4295" spans="2:4" ht="12.75" customHeight="1" x14ac:dyDescent="0.2">
      <c r="B4295" s="236"/>
      <c r="C4295" s="236"/>
      <c r="D4295" s="236"/>
    </row>
    <row r="4296" spans="2:4" x14ac:dyDescent="0.2">
      <c r="B4296" s="236"/>
      <c r="C4296" s="236"/>
      <c r="D4296" s="236"/>
    </row>
    <row r="4297" spans="2:4" ht="12.75" customHeight="1" x14ac:dyDescent="0.2">
      <c r="B4297" s="236"/>
      <c r="C4297" s="236"/>
      <c r="D4297" s="236"/>
    </row>
    <row r="4298" spans="2:4" ht="12.75" customHeight="1" x14ac:dyDescent="0.2">
      <c r="B4298" s="236"/>
      <c r="C4298" s="236"/>
      <c r="D4298" s="236"/>
    </row>
    <row r="4299" spans="2:4" ht="12.75" customHeight="1" x14ac:dyDescent="0.2">
      <c r="B4299" s="236"/>
      <c r="C4299" s="236"/>
      <c r="D4299" s="236"/>
    </row>
    <row r="4300" spans="2:4" ht="12.75" customHeight="1" x14ac:dyDescent="0.2">
      <c r="B4300" s="236"/>
      <c r="C4300" s="236"/>
      <c r="D4300" s="236"/>
    </row>
    <row r="4301" spans="2:4" ht="12.75" customHeight="1" x14ac:dyDescent="0.2">
      <c r="B4301" s="236"/>
      <c r="C4301" s="236"/>
      <c r="D4301" s="236"/>
    </row>
    <row r="4302" spans="2:4" ht="12.75" customHeight="1" x14ac:dyDescent="0.2">
      <c r="B4302" s="236"/>
      <c r="C4302" s="236"/>
      <c r="D4302" s="236"/>
    </row>
    <row r="4303" spans="2:4" ht="12.75" customHeight="1" x14ac:dyDescent="0.2">
      <c r="B4303" s="236"/>
      <c r="C4303" s="236"/>
      <c r="D4303" s="236"/>
    </row>
    <row r="4304" spans="2:4" ht="12.75" customHeight="1" x14ac:dyDescent="0.2">
      <c r="B4304" s="236"/>
      <c r="C4304" s="236"/>
      <c r="D4304" s="236"/>
    </row>
    <row r="4305" spans="2:4" ht="12.75" customHeight="1" x14ac:dyDescent="0.2">
      <c r="B4305" s="236"/>
      <c r="C4305" s="236"/>
      <c r="D4305" s="236"/>
    </row>
    <row r="4306" spans="2:4" ht="12.75" customHeight="1" x14ac:dyDescent="0.2">
      <c r="B4306" s="236"/>
      <c r="C4306" s="236"/>
      <c r="D4306" s="236"/>
    </row>
    <row r="4307" spans="2:4" ht="12.75" customHeight="1" x14ac:dyDescent="0.2">
      <c r="B4307" s="236"/>
      <c r="C4307" s="236"/>
      <c r="D4307" s="236"/>
    </row>
    <row r="4308" spans="2:4" ht="12.75" customHeight="1" x14ac:dyDescent="0.2">
      <c r="B4308" s="236"/>
      <c r="C4308" s="236"/>
      <c r="D4308" s="236"/>
    </row>
    <row r="4309" spans="2:4" ht="12.75" customHeight="1" x14ac:dyDescent="0.2">
      <c r="B4309" s="236"/>
      <c r="C4309" s="236"/>
      <c r="D4309" s="236"/>
    </row>
    <row r="4310" spans="2:4" ht="12.75" customHeight="1" x14ac:dyDescent="0.2">
      <c r="B4310" s="236"/>
      <c r="C4310" s="236"/>
      <c r="D4310" s="236"/>
    </row>
    <row r="4311" spans="2:4" ht="12.75" customHeight="1" x14ac:dyDescent="0.2">
      <c r="B4311" s="236"/>
      <c r="C4311" s="236"/>
      <c r="D4311" s="236"/>
    </row>
    <row r="4312" spans="2:4" x14ac:dyDescent="0.2">
      <c r="B4312" s="236"/>
      <c r="C4312" s="236"/>
      <c r="D4312" s="236"/>
    </row>
    <row r="4313" spans="2:4" x14ac:dyDescent="0.2">
      <c r="B4313" s="236"/>
      <c r="C4313" s="236"/>
      <c r="D4313" s="236"/>
    </row>
    <row r="4314" spans="2:4" x14ac:dyDescent="0.2">
      <c r="B4314" s="236"/>
      <c r="C4314" s="236"/>
      <c r="D4314" s="236"/>
    </row>
    <row r="4315" spans="2:4" ht="12.75" customHeight="1" x14ac:dyDescent="0.2">
      <c r="B4315" s="236"/>
      <c r="C4315" s="236"/>
      <c r="D4315" s="236"/>
    </row>
    <row r="4316" spans="2:4" x14ac:dyDescent="0.2">
      <c r="B4316" s="236"/>
      <c r="C4316" s="236"/>
      <c r="D4316" s="236"/>
    </row>
    <row r="4317" spans="2:4" ht="12.75" customHeight="1" x14ac:dyDescent="0.2">
      <c r="B4317" s="236"/>
      <c r="C4317" s="236"/>
      <c r="D4317" s="236"/>
    </row>
    <row r="4318" spans="2:4" x14ac:dyDescent="0.2">
      <c r="B4318" s="236"/>
      <c r="C4318" s="236"/>
      <c r="D4318" s="236"/>
    </row>
    <row r="4319" spans="2:4" ht="12.75" customHeight="1" x14ac:dyDescent="0.2">
      <c r="B4319" s="236"/>
      <c r="C4319" s="236"/>
      <c r="D4319" s="236"/>
    </row>
    <row r="4320" spans="2:4" ht="12.75" customHeight="1" x14ac:dyDescent="0.2">
      <c r="B4320" s="236"/>
      <c r="C4320" s="236"/>
      <c r="D4320" s="236"/>
    </row>
    <row r="4321" spans="2:4" ht="12.75" customHeight="1" x14ac:dyDescent="0.2">
      <c r="B4321" s="236"/>
      <c r="C4321" s="236"/>
      <c r="D4321" s="236"/>
    </row>
    <row r="4322" spans="2:4" ht="12.75" customHeight="1" x14ac:dyDescent="0.2">
      <c r="B4322" s="236"/>
      <c r="C4322" s="236"/>
      <c r="D4322" s="236"/>
    </row>
    <row r="4323" spans="2:4" ht="12.75" customHeight="1" x14ac:dyDescent="0.2">
      <c r="B4323" s="236"/>
      <c r="C4323" s="236"/>
      <c r="D4323" s="236"/>
    </row>
    <row r="4324" spans="2:4" ht="12.75" customHeight="1" x14ac:dyDescent="0.2">
      <c r="B4324" s="236"/>
      <c r="C4324" s="236"/>
      <c r="D4324" s="236"/>
    </row>
    <row r="4325" spans="2:4" ht="12.75" customHeight="1" x14ac:dyDescent="0.2">
      <c r="B4325" s="236"/>
      <c r="C4325" s="236"/>
      <c r="D4325" s="236"/>
    </row>
    <row r="4326" spans="2:4" ht="12.75" customHeight="1" x14ac:dyDescent="0.2">
      <c r="B4326" s="236"/>
      <c r="C4326" s="236"/>
      <c r="D4326" s="236"/>
    </row>
    <row r="4327" spans="2:4" ht="12.75" customHeight="1" x14ac:dyDescent="0.2">
      <c r="B4327" s="236"/>
      <c r="C4327" s="236"/>
      <c r="D4327" s="236"/>
    </row>
    <row r="4328" spans="2:4" ht="12.75" customHeight="1" x14ac:dyDescent="0.2">
      <c r="B4328" s="236"/>
      <c r="C4328" s="236"/>
      <c r="D4328" s="236"/>
    </row>
    <row r="4329" spans="2:4" ht="12.75" customHeight="1" x14ac:dyDescent="0.2">
      <c r="B4329" s="236"/>
      <c r="C4329" s="236"/>
      <c r="D4329" s="236"/>
    </row>
    <row r="4330" spans="2:4" ht="12.75" customHeight="1" x14ac:dyDescent="0.2">
      <c r="B4330" s="236"/>
      <c r="C4330" s="236"/>
      <c r="D4330" s="236"/>
    </row>
    <row r="4331" spans="2:4" ht="12.75" customHeight="1" x14ac:dyDescent="0.2">
      <c r="B4331" s="236"/>
      <c r="C4331" s="236"/>
      <c r="D4331" s="236"/>
    </row>
    <row r="4332" spans="2:4" ht="12.75" customHeight="1" x14ac:dyDescent="0.2">
      <c r="B4332" s="236"/>
      <c r="C4332" s="236"/>
      <c r="D4332" s="236"/>
    </row>
    <row r="4333" spans="2:4" ht="12.75" customHeight="1" x14ac:dyDescent="0.2">
      <c r="B4333" s="236"/>
      <c r="C4333" s="236"/>
      <c r="D4333" s="236"/>
    </row>
    <row r="4334" spans="2:4" x14ac:dyDescent="0.2">
      <c r="B4334" s="236"/>
      <c r="C4334" s="236"/>
      <c r="D4334" s="236"/>
    </row>
    <row r="4335" spans="2:4" x14ac:dyDescent="0.2">
      <c r="B4335" s="236"/>
      <c r="C4335" s="236"/>
      <c r="D4335" s="236"/>
    </row>
    <row r="4336" spans="2:4" x14ac:dyDescent="0.2">
      <c r="B4336" s="236"/>
      <c r="C4336" s="236"/>
      <c r="D4336" s="236"/>
    </row>
    <row r="4337" spans="2:4" ht="12.75" customHeight="1" x14ac:dyDescent="0.2">
      <c r="B4337" s="236"/>
      <c r="C4337" s="236"/>
      <c r="D4337" s="236"/>
    </row>
    <row r="4338" spans="2:4" x14ac:dyDescent="0.2">
      <c r="B4338" s="236"/>
      <c r="C4338" s="236"/>
      <c r="D4338" s="236"/>
    </row>
    <row r="4339" spans="2:4" ht="12.75" customHeight="1" x14ac:dyDescent="0.2">
      <c r="B4339" s="236"/>
      <c r="C4339" s="236"/>
      <c r="D4339" s="236"/>
    </row>
    <row r="4340" spans="2:4" x14ac:dyDescent="0.2">
      <c r="B4340" s="236"/>
      <c r="C4340" s="236"/>
      <c r="D4340" s="236"/>
    </row>
    <row r="4341" spans="2:4" ht="12.75" customHeight="1" x14ac:dyDescent="0.2">
      <c r="B4341" s="236"/>
      <c r="C4341" s="236"/>
      <c r="D4341" s="236"/>
    </row>
    <row r="4342" spans="2:4" ht="12.75" customHeight="1" x14ac:dyDescent="0.2">
      <c r="B4342" s="236"/>
      <c r="C4342" s="236"/>
      <c r="D4342" s="236"/>
    </row>
    <row r="4343" spans="2:4" ht="12.75" customHeight="1" x14ac:dyDescent="0.2">
      <c r="B4343" s="236"/>
      <c r="C4343" s="236"/>
      <c r="D4343" s="236"/>
    </row>
    <row r="4344" spans="2:4" ht="12.75" customHeight="1" x14ac:dyDescent="0.2">
      <c r="B4344" s="236"/>
      <c r="C4344" s="236"/>
      <c r="D4344" s="236"/>
    </row>
    <row r="4345" spans="2:4" ht="12.75" customHeight="1" x14ac:dyDescent="0.2">
      <c r="B4345" s="236"/>
      <c r="C4345" s="236"/>
      <c r="D4345" s="236"/>
    </row>
    <row r="4346" spans="2:4" ht="12.75" customHeight="1" x14ac:dyDescent="0.2">
      <c r="B4346" s="236"/>
      <c r="C4346" s="236"/>
      <c r="D4346" s="236"/>
    </row>
    <row r="4347" spans="2:4" ht="12.75" customHeight="1" x14ac:dyDescent="0.2">
      <c r="B4347" s="236"/>
      <c r="C4347" s="236"/>
      <c r="D4347" s="236"/>
    </row>
    <row r="4348" spans="2:4" ht="12.75" customHeight="1" x14ac:dyDescent="0.2">
      <c r="B4348" s="236"/>
      <c r="C4348" s="236"/>
      <c r="D4348" s="236"/>
    </row>
    <row r="4349" spans="2:4" x14ac:dyDescent="0.2">
      <c r="B4349" s="236"/>
      <c r="C4349" s="236"/>
      <c r="D4349" s="236"/>
    </row>
    <row r="4350" spans="2:4" ht="12.75" customHeight="1" x14ac:dyDescent="0.2">
      <c r="B4350" s="236"/>
      <c r="C4350" s="236"/>
      <c r="D4350" s="236"/>
    </row>
    <row r="4351" spans="2:4" ht="12.75" customHeight="1" x14ac:dyDescent="0.2">
      <c r="B4351" s="236"/>
      <c r="C4351" s="236"/>
      <c r="D4351" s="236"/>
    </row>
    <row r="4352" spans="2:4" ht="12.75" customHeight="1" x14ac:dyDescent="0.2">
      <c r="B4352" s="236"/>
      <c r="C4352" s="236"/>
      <c r="D4352" s="236"/>
    </row>
    <row r="4353" spans="2:4" ht="12.75" customHeight="1" x14ac:dyDescent="0.2">
      <c r="B4353" s="236"/>
      <c r="C4353" s="236"/>
      <c r="D4353" s="236"/>
    </row>
    <row r="4354" spans="2:4" ht="12.75" customHeight="1" x14ac:dyDescent="0.2">
      <c r="B4354" s="236"/>
      <c r="C4354" s="236"/>
      <c r="D4354" s="236"/>
    </row>
    <row r="4355" spans="2:4" ht="12.75" customHeight="1" x14ac:dyDescent="0.2">
      <c r="B4355" s="236"/>
      <c r="C4355" s="236"/>
      <c r="D4355" s="236"/>
    </row>
    <row r="4356" spans="2:4" ht="12.75" customHeight="1" x14ac:dyDescent="0.2">
      <c r="B4356" s="236"/>
      <c r="C4356" s="236"/>
      <c r="D4356" s="236"/>
    </row>
    <row r="4357" spans="2:4" ht="12.75" customHeight="1" x14ac:dyDescent="0.2">
      <c r="B4357" s="236"/>
      <c r="C4357" s="236"/>
      <c r="D4357" s="236"/>
    </row>
    <row r="4358" spans="2:4" ht="12.75" customHeight="1" x14ac:dyDescent="0.2">
      <c r="B4358" s="236"/>
      <c r="C4358" s="236"/>
      <c r="D4358" s="236"/>
    </row>
    <row r="4359" spans="2:4" x14ac:dyDescent="0.2">
      <c r="B4359" s="236"/>
      <c r="C4359" s="236"/>
      <c r="D4359" s="236"/>
    </row>
    <row r="4360" spans="2:4" ht="12.75" customHeight="1" x14ac:dyDescent="0.2">
      <c r="B4360" s="236"/>
      <c r="C4360" s="236"/>
      <c r="D4360" s="236"/>
    </row>
    <row r="4361" spans="2:4" x14ac:dyDescent="0.2">
      <c r="B4361" s="236"/>
      <c r="C4361" s="236"/>
      <c r="D4361" s="236"/>
    </row>
    <row r="4362" spans="2:4" x14ac:dyDescent="0.2">
      <c r="B4362" s="236"/>
      <c r="C4362" s="236"/>
      <c r="D4362" s="236"/>
    </row>
    <row r="4363" spans="2:4" x14ac:dyDescent="0.2">
      <c r="B4363" s="236"/>
      <c r="C4363" s="236"/>
      <c r="D4363" s="236"/>
    </row>
    <row r="4364" spans="2:4" ht="12.75" customHeight="1" x14ac:dyDescent="0.2">
      <c r="B4364" s="236"/>
      <c r="C4364" s="236"/>
      <c r="D4364" s="236"/>
    </row>
    <row r="4365" spans="2:4" ht="12.75" customHeight="1" x14ac:dyDescent="0.2">
      <c r="B4365" s="236"/>
      <c r="C4365" s="236"/>
      <c r="D4365" s="236"/>
    </row>
    <row r="4366" spans="2:4" ht="12.75" customHeight="1" x14ac:dyDescent="0.2">
      <c r="B4366" s="236"/>
      <c r="C4366" s="236"/>
      <c r="D4366" s="236"/>
    </row>
    <row r="4367" spans="2:4" ht="12.75" customHeight="1" x14ac:dyDescent="0.2">
      <c r="B4367" s="236"/>
      <c r="C4367" s="236"/>
      <c r="D4367" s="236"/>
    </row>
    <row r="4368" spans="2:4" ht="12.75" customHeight="1" x14ac:dyDescent="0.2">
      <c r="B4368" s="236"/>
      <c r="C4368" s="236"/>
      <c r="D4368" s="236"/>
    </row>
    <row r="4369" spans="2:4" ht="12.75" customHeight="1" x14ac:dyDescent="0.2">
      <c r="B4369" s="236"/>
      <c r="C4369" s="236"/>
      <c r="D4369" s="236"/>
    </row>
    <row r="4370" spans="2:4" ht="12.75" customHeight="1" x14ac:dyDescent="0.2">
      <c r="B4370" s="236"/>
      <c r="C4370" s="236"/>
      <c r="D4370" s="236"/>
    </row>
    <row r="4371" spans="2:4" ht="12.75" customHeight="1" x14ac:dyDescent="0.2">
      <c r="B4371" s="236"/>
      <c r="C4371" s="236"/>
      <c r="D4371" s="236"/>
    </row>
    <row r="4372" spans="2:4" ht="12.75" customHeight="1" x14ac:dyDescent="0.2">
      <c r="B4372" s="236"/>
      <c r="C4372" s="236"/>
      <c r="D4372" s="236"/>
    </row>
    <row r="4373" spans="2:4" ht="12.75" customHeight="1" x14ac:dyDescent="0.2">
      <c r="B4373" s="236"/>
      <c r="C4373" s="236"/>
      <c r="D4373" s="236"/>
    </row>
    <row r="4374" spans="2:4" ht="12.75" customHeight="1" x14ac:dyDescent="0.2">
      <c r="B4374" s="236"/>
      <c r="C4374" s="236"/>
      <c r="D4374" s="236"/>
    </row>
    <row r="4375" spans="2:4" ht="12.75" customHeight="1" x14ac:dyDescent="0.2">
      <c r="B4375" s="236"/>
      <c r="C4375" s="236"/>
      <c r="D4375" s="236"/>
    </row>
    <row r="4376" spans="2:4" ht="12.75" customHeight="1" x14ac:dyDescent="0.2">
      <c r="B4376" s="236"/>
      <c r="C4376" s="236"/>
      <c r="D4376" s="236"/>
    </row>
    <row r="4377" spans="2:4" ht="12.75" customHeight="1" x14ac:dyDescent="0.2">
      <c r="B4377" s="236"/>
      <c r="C4377" s="236"/>
      <c r="D4377" s="236"/>
    </row>
    <row r="4378" spans="2:4" ht="12.75" customHeight="1" x14ac:dyDescent="0.2">
      <c r="B4378" s="236"/>
      <c r="C4378" s="236"/>
      <c r="D4378" s="236"/>
    </row>
    <row r="4379" spans="2:4" ht="12.75" customHeight="1" x14ac:dyDescent="0.2">
      <c r="B4379" s="236"/>
      <c r="C4379" s="236"/>
      <c r="D4379" s="236"/>
    </row>
    <row r="4380" spans="2:4" ht="12.75" customHeight="1" x14ac:dyDescent="0.2">
      <c r="B4380" s="236"/>
      <c r="C4380" s="236"/>
      <c r="D4380" s="236"/>
    </row>
    <row r="4381" spans="2:4" x14ac:dyDescent="0.2">
      <c r="B4381" s="236"/>
      <c r="C4381" s="236"/>
      <c r="D4381" s="236"/>
    </row>
    <row r="4382" spans="2:4" ht="12.75" customHeight="1" x14ac:dyDescent="0.2">
      <c r="B4382" s="236"/>
      <c r="C4382" s="236"/>
      <c r="D4382" s="236"/>
    </row>
    <row r="4383" spans="2:4" x14ac:dyDescent="0.2">
      <c r="B4383" s="236"/>
      <c r="C4383" s="236"/>
      <c r="D4383" s="236"/>
    </row>
    <row r="4384" spans="2:4" ht="12.75" customHeight="1" x14ac:dyDescent="0.2">
      <c r="B4384" s="236"/>
      <c r="C4384" s="236"/>
      <c r="D4384" s="236"/>
    </row>
    <row r="4385" spans="2:4" x14ac:dyDescent="0.2">
      <c r="B4385" s="236"/>
      <c r="C4385" s="236"/>
      <c r="D4385" s="236"/>
    </row>
    <row r="4386" spans="2:4" ht="12.75" customHeight="1" x14ac:dyDescent="0.2">
      <c r="B4386" s="236"/>
      <c r="C4386" s="236"/>
      <c r="D4386" s="236"/>
    </row>
    <row r="4387" spans="2:4" ht="12.75" customHeight="1" x14ac:dyDescent="0.2">
      <c r="B4387" s="236"/>
      <c r="C4387" s="236"/>
      <c r="D4387" s="236"/>
    </row>
    <row r="4388" spans="2:4" ht="12.75" customHeight="1" x14ac:dyDescent="0.2">
      <c r="B4388" s="236"/>
      <c r="C4388" s="236"/>
      <c r="D4388" s="236"/>
    </row>
    <row r="4389" spans="2:4" ht="12.75" customHeight="1" x14ac:dyDescent="0.2">
      <c r="B4389" s="236"/>
      <c r="C4389" s="236"/>
      <c r="D4389" s="236"/>
    </row>
    <row r="4390" spans="2:4" ht="12.75" customHeight="1" x14ac:dyDescent="0.2">
      <c r="B4390" s="236"/>
      <c r="C4390" s="236"/>
      <c r="D4390" s="236"/>
    </row>
    <row r="4391" spans="2:4" ht="12.75" customHeight="1" x14ac:dyDescent="0.2">
      <c r="B4391" s="236"/>
      <c r="C4391" s="236"/>
      <c r="D4391" s="236"/>
    </row>
    <row r="4392" spans="2:4" ht="12.75" customHeight="1" x14ac:dyDescent="0.2">
      <c r="B4392" s="236"/>
      <c r="C4392" s="236"/>
      <c r="D4392" s="236"/>
    </row>
    <row r="4393" spans="2:4" x14ac:dyDescent="0.2">
      <c r="B4393" s="236"/>
      <c r="C4393" s="236"/>
      <c r="D4393" s="236"/>
    </row>
    <row r="4394" spans="2:4" ht="12.75" customHeight="1" x14ac:dyDescent="0.2">
      <c r="B4394" s="236"/>
      <c r="C4394" s="236"/>
      <c r="D4394" s="236"/>
    </row>
    <row r="4395" spans="2:4" ht="12.75" customHeight="1" x14ac:dyDescent="0.2">
      <c r="B4395" s="236"/>
      <c r="C4395" s="236"/>
      <c r="D4395" s="236"/>
    </row>
    <row r="4396" spans="2:4" ht="12.75" customHeight="1" x14ac:dyDescent="0.2">
      <c r="B4396" s="236"/>
      <c r="C4396" s="236"/>
      <c r="D4396" s="236"/>
    </row>
    <row r="4397" spans="2:4" x14ac:dyDescent="0.2">
      <c r="B4397" s="236"/>
      <c r="C4397" s="236"/>
      <c r="D4397" s="236"/>
    </row>
    <row r="4398" spans="2:4" ht="12.75" customHeight="1" x14ac:dyDescent="0.2">
      <c r="B4398" s="236"/>
      <c r="C4398" s="236"/>
      <c r="D4398" s="236"/>
    </row>
    <row r="4399" spans="2:4" x14ac:dyDescent="0.2">
      <c r="B4399" s="236"/>
      <c r="C4399" s="236"/>
      <c r="D4399" s="236"/>
    </row>
    <row r="4400" spans="2:4" ht="12.75" customHeight="1" x14ac:dyDescent="0.2">
      <c r="B4400" s="236"/>
      <c r="C4400" s="236"/>
      <c r="D4400" s="236"/>
    </row>
    <row r="4401" spans="2:4" x14ac:dyDescent="0.2">
      <c r="B4401" s="236"/>
      <c r="C4401" s="236"/>
      <c r="D4401" s="236"/>
    </row>
    <row r="4402" spans="2:4" ht="12.75" customHeight="1" x14ac:dyDescent="0.2">
      <c r="B4402" s="236"/>
      <c r="C4402" s="236"/>
      <c r="D4402" s="236"/>
    </row>
    <row r="4403" spans="2:4" ht="12.75" customHeight="1" x14ac:dyDescent="0.2">
      <c r="B4403" s="236"/>
      <c r="C4403" s="236"/>
      <c r="D4403" s="236"/>
    </row>
    <row r="4404" spans="2:4" ht="12.75" customHeight="1" x14ac:dyDescent="0.2">
      <c r="B4404" s="236"/>
      <c r="C4404" s="236"/>
      <c r="D4404" s="236"/>
    </row>
    <row r="4405" spans="2:4" ht="12.75" customHeight="1" x14ac:dyDescent="0.2">
      <c r="B4405" s="236"/>
      <c r="C4405" s="236"/>
      <c r="D4405" s="236"/>
    </row>
    <row r="4406" spans="2:4" x14ac:dyDescent="0.2">
      <c r="B4406" s="236"/>
      <c r="C4406" s="236"/>
      <c r="D4406" s="236"/>
    </row>
    <row r="4407" spans="2:4" ht="12.75" customHeight="1" x14ac:dyDescent="0.2">
      <c r="B4407" s="236"/>
      <c r="C4407" s="236"/>
      <c r="D4407" s="236"/>
    </row>
    <row r="4408" spans="2:4" ht="12.75" customHeight="1" x14ac:dyDescent="0.2">
      <c r="B4408" s="236"/>
      <c r="C4408" s="236"/>
      <c r="D4408" s="236"/>
    </row>
    <row r="4409" spans="2:4" ht="12.75" customHeight="1" x14ac:dyDescent="0.2">
      <c r="B4409" s="236"/>
      <c r="C4409" s="236"/>
      <c r="D4409" s="236"/>
    </row>
    <row r="4410" spans="2:4" x14ac:dyDescent="0.2">
      <c r="B4410" s="236"/>
      <c r="C4410" s="236"/>
      <c r="D4410" s="236"/>
    </row>
    <row r="4411" spans="2:4" ht="12.75" customHeight="1" x14ac:dyDescent="0.2">
      <c r="B4411" s="236"/>
      <c r="C4411" s="236"/>
      <c r="D4411" s="236"/>
    </row>
    <row r="4412" spans="2:4" ht="12.75" customHeight="1" x14ac:dyDescent="0.2">
      <c r="B4412" s="236"/>
      <c r="C4412" s="236"/>
      <c r="D4412" s="236"/>
    </row>
    <row r="4413" spans="2:4" x14ac:dyDescent="0.2">
      <c r="B4413" s="236"/>
      <c r="C4413" s="236"/>
      <c r="D4413" s="236"/>
    </row>
    <row r="4414" spans="2:4" ht="12.75" customHeight="1" x14ac:dyDescent="0.2">
      <c r="B4414" s="236"/>
      <c r="C4414" s="236"/>
      <c r="D4414" s="236"/>
    </row>
    <row r="4415" spans="2:4" ht="12.75" customHeight="1" x14ac:dyDescent="0.2">
      <c r="B4415" s="236"/>
      <c r="C4415" s="236"/>
      <c r="D4415" s="236"/>
    </row>
    <row r="4416" spans="2:4" x14ac:dyDescent="0.2">
      <c r="B4416" s="236"/>
      <c r="C4416" s="236"/>
      <c r="D4416" s="236"/>
    </row>
    <row r="4417" spans="2:4" ht="12.75" customHeight="1" x14ac:dyDescent="0.2">
      <c r="B4417" s="236"/>
      <c r="C4417" s="236"/>
      <c r="D4417" s="236"/>
    </row>
    <row r="4418" spans="2:4" x14ac:dyDescent="0.2">
      <c r="B4418" s="236"/>
      <c r="C4418" s="236"/>
      <c r="D4418" s="236"/>
    </row>
    <row r="4419" spans="2:4" ht="12.75" customHeight="1" x14ac:dyDescent="0.2">
      <c r="B4419" s="236"/>
      <c r="C4419" s="236"/>
      <c r="D4419" s="236"/>
    </row>
    <row r="4420" spans="2:4" ht="12.75" customHeight="1" x14ac:dyDescent="0.2">
      <c r="B4420" s="236"/>
      <c r="C4420" s="236"/>
      <c r="D4420" s="236"/>
    </row>
    <row r="4421" spans="2:4" ht="12.75" customHeight="1" x14ac:dyDescent="0.2">
      <c r="B4421" s="236"/>
      <c r="C4421" s="236"/>
      <c r="D4421" s="236"/>
    </row>
    <row r="4422" spans="2:4" ht="12.75" customHeight="1" x14ac:dyDescent="0.2">
      <c r="B4422" s="236"/>
      <c r="C4422" s="236"/>
      <c r="D4422" s="236"/>
    </row>
    <row r="4423" spans="2:4" ht="12.75" customHeight="1" x14ac:dyDescent="0.2">
      <c r="B4423" s="236"/>
      <c r="C4423" s="236"/>
      <c r="D4423" s="236"/>
    </row>
    <row r="4424" spans="2:4" ht="12.75" customHeight="1" x14ac:dyDescent="0.2">
      <c r="B4424" s="236"/>
      <c r="C4424" s="236"/>
      <c r="D4424" s="236"/>
    </row>
    <row r="4425" spans="2:4" ht="12.75" customHeight="1" x14ac:dyDescent="0.2">
      <c r="B4425" s="236"/>
      <c r="C4425" s="236"/>
      <c r="D4425" s="236"/>
    </row>
    <row r="4426" spans="2:4" x14ac:dyDescent="0.2">
      <c r="B4426" s="236"/>
      <c r="C4426" s="236"/>
      <c r="D4426" s="236"/>
    </row>
    <row r="4427" spans="2:4" ht="12.75" customHeight="1" x14ac:dyDescent="0.2">
      <c r="B4427" s="236"/>
      <c r="C4427" s="236"/>
      <c r="D4427" s="236"/>
    </row>
    <row r="4428" spans="2:4" ht="12.75" customHeight="1" x14ac:dyDescent="0.2">
      <c r="B4428" s="236"/>
      <c r="C4428" s="236"/>
      <c r="D4428" s="236"/>
    </row>
    <row r="4429" spans="2:4" ht="12.75" customHeight="1" x14ac:dyDescent="0.2">
      <c r="B4429" s="236"/>
      <c r="C4429" s="236"/>
      <c r="D4429" s="236"/>
    </row>
    <row r="4430" spans="2:4" x14ac:dyDescent="0.2">
      <c r="B4430" s="236"/>
      <c r="C4430" s="236"/>
      <c r="D4430" s="236"/>
    </row>
    <row r="4431" spans="2:4" ht="12.75" customHeight="1" x14ac:dyDescent="0.2">
      <c r="B4431" s="236"/>
      <c r="C4431" s="236"/>
      <c r="D4431" s="236"/>
    </row>
    <row r="4432" spans="2:4" x14ac:dyDescent="0.2">
      <c r="B4432" s="236"/>
      <c r="C4432" s="236"/>
      <c r="D4432" s="236"/>
    </row>
    <row r="4433" spans="2:4" x14ac:dyDescent="0.2">
      <c r="B4433" s="236"/>
      <c r="C4433" s="236"/>
      <c r="D4433" s="236"/>
    </row>
    <row r="4434" spans="2:4" ht="12.75" customHeight="1" x14ac:dyDescent="0.2">
      <c r="B4434" s="236"/>
      <c r="C4434" s="236"/>
      <c r="D4434" s="236"/>
    </row>
    <row r="4435" spans="2:4" x14ac:dyDescent="0.2">
      <c r="B4435" s="236"/>
      <c r="C4435" s="236"/>
      <c r="D4435" s="236"/>
    </row>
    <row r="4436" spans="2:4" ht="12.75" customHeight="1" x14ac:dyDescent="0.2">
      <c r="B4436" s="236"/>
      <c r="C4436" s="236"/>
      <c r="D4436" s="236"/>
    </row>
    <row r="4437" spans="2:4" ht="12.75" customHeight="1" x14ac:dyDescent="0.2">
      <c r="B4437" s="236"/>
      <c r="C4437" s="236"/>
      <c r="D4437" s="236"/>
    </row>
    <row r="4438" spans="2:4" ht="12.75" customHeight="1" x14ac:dyDescent="0.2">
      <c r="B4438" s="236"/>
      <c r="C4438" s="236"/>
      <c r="D4438" s="236"/>
    </row>
    <row r="4439" spans="2:4" ht="12.75" customHeight="1" x14ac:dyDescent="0.2">
      <c r="B4439" s="236"/>
      <c r="C4439" s="236"/>
      <c r="D4439" s="236"/>
    </row>
    <row r="4440" spans="2:4" x14ac:dyDescent="0.2">
      <c r="B4440" s="236"/>
      <c r="C4440" s="236"/>
      <c r="D4440" s="236"/>
    </row>
    <row r="4441" spans="2:4" ht="12.75" customHeight="1" x14ac:dyDescent="0.2">
      <c r="B4441" s="236"/>
      <c r="C4441" s="236"/>
      <c r="D4441" s="236"/>
    </row>
    <row r="4442" spans="2:4" ht="12.75" customHeight="1" x14ac:dyDescent="0.2">
      <c r="B4442" s="236"/>
      <c r="C4442" s="236"/>
      <c r="D4442" s="236"/>
    </row>
    <row r="4443" spans="2:4" ht="12.75" customHeight="1" x14ac:dyDescent="0.2">
      <c r="B4443" s="236"/>
      <c r="C4443" s="236"/>
      <c r="D4443" s="236"/>
    </row>
    <row r="4444" spans="2:4" ht="12.75" customHeight="1" x14ac:dyDescent="0.2">
      <c r="B4444" s="236"/>
      <c r="C4444" s="236"/>
      <c r="D4444" s="236"/>
    </row>
    <row r="4445" spans="2:4" ht="12.75" customHeight="1" x14ac:dyDescent="0.2">
      <c r="B4445" s="236"/>
      <c r="C4445" s="236"/>
      <c r="D4445" s="236"/>
    </row>
    <row r="4446" spans="2:4" ht="12.75" customHeight="1" x14ac:dyDescent="0.2">
      <c r="B4446" s="236"/>
      <c r="C4446" s="236"/>
      <c r="D4446" s="236"/>
    </row>
    <row r="4447" spans="2:4" x14ac:dyDescent="0.2">
      <c r="B4447" s="236"/>
      <c r="C4447" s="236"/>
      <c r="D4447" s="236"/>
    </row>
    <row r="4448" spans="2:4" ht="12.75" customHeight="1" x14ac:dyDescent="0.2">
      <c r="B4448" s="236"/>
      <c r="C4448" s="236"/>
      <c r="D4448" s="236"/>
    </row>
    <row r="4449" spans="2:4" ht="12.75" customHeight="1" x14ac:dyDescent="0.2">
      <c r="B4449" s="236"/>
      <c r="C4449" s="236"/>
      <c r="D4449" s="236"/>
    </row>
    <row r="4450" spans="2:4" ht="12.75" customHeight="1" x14ac:dyDescent="0.2">
      <c r="B4450" s="236"/>
      <c r="C4450" s="236"/>
      <c r="D4450" s="236"/>
    </row>
    <row r="4451" spans="2:4" ht="12.75" customHeight="1" x14ac:dyDescent="0.2">
      <c r="B4451" s="236"/>
      <c r="C4451" s="236"/>
      <c r="D4451" s="236"/>
    </row>
    <row r="4452" spans="2:4" ht="12.75" customHeight="1" x14ac:dyDescent="0.2">
      <c r="B4452" s="236"/>
      <c r="C4452" s="236"/>
      <c r="D4452" s="236"/>
    </row>
    <row r="4453" spans="2:4" ht="12.75" customHeight="1" x14ac:dyDescent="0.2">
      <c r="B4453" s="236"/>
      <c r="C4453" s="236"/>
      <c r="D4453" s="236"/>
    </row>
    <row r="4454" spans="2:4" ht="12.75" customHeight="1" x14ac:dyDescent="0.2">
      <c r="B4454" s="236"/>
      <c r="C4454" s="236"/>
      <c r="D4454" s="236"/>
    </row>
    <row r="4455" spans="2:4" x14ac:dyDescent="0.2">
      <c r="B4455" s="236"/>
      <c r="C4455" s="236"/>
      <c r="D4455" s="236"/>
    </row>
    <row r="4456" spans="2:4" ht="12.75" customHeight="1" x14ac:dyDescent="0.2">
      <c r="B4456" s="236"/>
      <c r="C4456" s="236"/>
      <c r="D4456" s="236"/>
    </row>
    <row r="4457" spans="2:4" ht="12.75" customHeight="1" x14ac:dyDescent="0.2">
      <c r="B4457" s="236"/>
      <c r="C4457" s="236"/>
      <c r="D4457" s="236"/>
    </row>
    <row r="4458" spans="2:4" ht="12.75" customHeight="1" x14ac:dyDescent="0.2">
      <c r="B4458" s="236"/>
      <c r="C4458" s="236"/>
      <c r="D4458" s="236"/>
    </row>
    <row r="4459" spans="2:4" ht="12.75" customHeight="1" x14ac:dyDescent="0.2">
      <c r="B4459" s="236"/>
      <c r="C4459" s="236"/>
      <c r="D4459" s="236"/>
    </row>
    <row r="4460" spans="2:4" x14ac:dyDescent="0.2">
      <c r="B4460" s="236"/>
      <c r="C4460" s="236"/>
      <c r="D4460" s="236"/>
    </row>
    <row r="4461" spans="2:4" ht="12.75" customHeight="1" x14ac:dyDescent="0.2">
      <c r="B4461" s="236"/>
      <c r="C4461" s="236"/>
      <c r="D4461" s="236"/>
    </row>
    <row r="4462" spans="2:4" ht="12.75" customHeight="1" x14ac:dyDescent="0.2">
      <c r="B4462" s="236"/>
      <c r="C4462" s="236"/>
      <c r="D4462" s="236"/>
    </row>
    <row r="4463" spans="2:4" ht="12.75" customHeight="1" x14ac:dyDescent="0.2">
      <c r="B4463" s="236"/>
      <c r="C4463" s="236"/>
      <c r="D4463" s="236"/>
    </row>
    <row r="4464" spans="2:4" ht="12.75" customHeight="1" x14ac:dyDescent="0.2">
      <c r="B4464" s="236"/>
      <c r="C4464" s="236"/>
      <c r="D4464" s="236"/>
    </row>
    <row r="4465" spans="2:4" x14ac:dyDescent="0.2">
      <c r="B4465" s="236"/>
      <c r="C4465" s="236"/>
      <c r="D4465" s="236"/>
    </row>
    <row r="4466" spans="2:4" x14ac:dyDescent="0.2">
      <c r="B4466" s="236"/>
      <c r="C4466" s="236"/>
      <c r="D4466" s="236"/>
    </row>
    <row r="4467" spans="2:4" ht="12.75" customHeight="1" x14ac:dyDescent="0.2">
      <c r="B4467" s="236"/>
      <c r="C4467" s="236"/>
      <c r="D4467" s="236"/>
    </row>
    <row r="4468" spans="2:4" ht="12.75" customHeight="1" x14ac:dyDescent="0.2">
      <c r="B4468" s="236"/>
      <c r="C4468" s="236"/>
      <c r="D4468" s="236"/>
    </row>
    <row r="4469" spans="2:4" ht="12.75" customHeight="1" x14ac:dyDescent="0.2">
      <c r="B4469" s="236"/>
      <c r="C4469" s="236"/>
      <c r="D4469" s="236"/>
    </row>
    <row r="4470" spans="2:4" ht="12.75" customHeight="1" x14ac:dyDescent="0.2">
      <c r="B4470" s="236"/>
      <c r="C4470" s="236"/>
      <c r="D4470" s="236"/>
    </row>
    <row r="4471" spans="2:4" ht="12.75" customHeight="1" x14ac:dyDescent="0.2">
      <c r="B4471" s="236"/>
      <c r="C4471" s="236"/>
      <c r="D4471" s="236"/>
    </row>
    <row r="4472" spans="2:4" ht="12.75" customHeight="1" x14ac:dyDescent="0.2">
      <c r="B4472" s="236"/>
      <c r="C4472" s="236"/>
      <c r="D4472" s="236"/>
    </row>
    <row r="4473" spans="2:4" ht="12.75" customHeight="1" x14ac:dyDescent="0.2">
      <c r="B4473" s="236"/>
      <c r="C4473" s="236"/>
      <c r="D4473" s="236"/>
    </row>
    <row r="4474" spans="2:4" ht="12.75" customHeight="1" x14ac:dyDescent="0.2">
      <c r="B4474" s="236"/>
      <c r="C4474" s="236"/>
      <c r="D4474" s="236"/>
    </row>
    <row r="4475" spans="2:4" ht="12.75" customHeight="1" x14ac:dyDescent="0.2">
      <c r="B4475" s="236"/>
      <c r="C4475" s="236"/>
      <c r="D4475" s="236"/>
    </row>
    <row r="4476" spans="2:4" x14ac:dyDescent="0.2">
      <c r="B4476" s="236"/>
      <c r="C4476" s="236"/>
      <c r="D4476" s="236"/>
    </row>
    <row r="4477" spans="2:4" ht="12.75" customHeight="1" x14ac:dyDescent="0.2">
      <c r="B4477" s="236"/>
      <c r="C4477" s="236"/>
      <c r="D4477" s="236"/>
    </row>
    <row r="4478" spans="2:4" ht="12.75" customHeight="1" x14ac:dyDescent="0.2">
      <c r="B4478" s="236"/>
      <c r="C4478" s="236"/>
      <c r="D4478" s="236"/>
    </row>
    <row r="4479" spans="2:4" ht="12.75" customHeight="1" x14ac:dyDescent="0.2">
      <c r="B4479" s="236"/>
      <c r="C4479" s="236"/>
      <c r="D4479" s="236"/>
    </row>
    <row r="4480" spans="2:4" ht="12.75" customHeight="1" x14ac:dyDescent="0.2">
      <c r="B4480" s="236"/>
      <c r="C4480" s="236"/>
      <c r="D4480" s="236"/>
    </row>
    <row r="4481" spans="2:4" x14ac:dyDescent="0.2">
      <c r="B4481" s="236"/>
      <c r="C4481" s="236"/>
      <c r="D4481" s="236"/>
    </row>
    <row r="4482" spans="2:4" ht="12.75" customHeight="1" x14ac:dyDescent="0.2">
      <c r="B4482" s="236"/>
      <c r="C4482" s="236"/>
      <c r="D4482" s="236"/>
    </row>
    <row r="4483" spans="2:4" x14ac:dyDescent="0.2">
      <c r="B4483" s="236"/>
      <c r="C4483" s="236"/>
      <c r="D4483" s="236"/>
    </row>
    <row r="4484" spans="2:4" ht="12.75" customHeight="1" x14ac:dyDescent="0.2">
      <c r="B4484" s="236"/>
      <c r="C4484" s="236"/>
      <c r="D4484" s="236"/>
    </row>
    <row r="4485" spans="2:4" ht="12.75" customHeight="1" x14ac:dyDescent="0.2">
      <c r="B4485" s="236"/>
      <c r="C4485" s="236"/>
      <c r="D4485" s="236"/>
    </row>
    <row r="4486" spans="2:4" ht="12.75" customHeight="1" x14ac:dyDescent="0.2">
      <c r="B4486" s="236"/>
      <c r="C4486" s="236"/>
      <c r="D4486" s="236"/>
    </row>
    <row r="4487" spans="2:4" ht="12.75" customHeight="1" x14ac:dyDescent="0.2">
      <c r="B4487" s="236"/>
      <c r="C4487" s="236"/>
      <c r="D4487" s="236"/>
    </row>
    <row r="4488" spans="2:4" ht="12.75" customHeight="1" x14ac:dyDescent="0.2">
      <c r="B4488" s="236"/>
      <c r="C4488" s="236"/>
      <c r="D4488" s="236"/>
    </row>
    <row r="4489" spans="2:4" ht="12.75" customHeight="1" x14ac:dyDescent="0.2">
      <c r="B4489" s="236"/>
      <c r="C4489" s="236"/>
      <c r="D4489" s="236"/>
    </row>
    <row r="4490" spans="2:4" ht="12.75" customHeight="1" x14ac:dyDescent="0.2">
      <c r="B4490" s="236"/>
      <c r="C4490" s="236"/>
      <c r="D4490" s="236"/>
    </row>
    <row r="4491" spans="2:4" ht="12.75" customHeight="1" x14ac:dyDescent="0.2">
      <c r="B4491" s="236"/>
      <c r="C4491" s="236"/>
      <c r="D4491" s="236"/>
    </row>
    <row r="4492" spans="2:4" ht="12.75" customHeight="1" x14ac:dyDescent="0.2">
      <c r="B4492" s="236"/>
      <c r="C4492" s="236"/>
      <c r="D4492" s="236"/>
    </row>
    <row r="4493" spans="2:4" x14ac:dyDescent="0.2">
      <c r="B4493" s="236"/>
      <c r="C4493" s="236"/>
      <c r="D4493" s="236"/>
    </row>
    <row r="4494" spans="2:4" x14ac:dyDescent="0.2">
      <c r="B4494" s="236"/>
      <c r="C4494" s="236"/>
      <c r="D4494" s="236"/>
    </row>
    <row r="4495" spans="2:4" x14ac:dyDescent="0.2">
      <c r="B4495" s="236"/>
      <c r="C4495" s="236"/>
      <c r="D4495" s="236"/>
    </row>
    <row r="4496" spans="2:4" ht="12.75" customHeight="1" x14ac:dyDescent="0.2">
      <c r="B4496" s="236"/>
      <c r="C4496" s="236"/>
      <c r="D4496" s="236"/>
    </row>
    <row r="4497" spans="2:4" ht="12.75" customHeight="1" x14ac:dyDescent="0.2">
      <c r="B4497" s="236"/>
      <c r="C4497" s="236"/>
      <c r="D4497" s="236"/>
    </row>
    <row r="4498" spans="2:4" ht="12.75" customHeight="1" x14ac:dyDescent="0.2">
      <c r="B4498" s="236"/>
      <c r="C4498" s="236"/>
      <c r="D4498" s="236"/>
    </row>
    <row r="4499" spans="2:4" ht="12.75" customHeight="1" x14ac:dyDescent="0.2">
      <c r="B4499" s="236"/>
      <c r="C4499" s="236"/>
      <c r="D4499" s="236"/>
    </row>
    <row r="4500" spans="2:4" ht="12.75" customHeight="1" x14ac:dyDescent="0.2">
      <c r="B4500" s="236"/>
      <c r="C4500" s="236"/>
      <c r="D4500" s="236"/>
    </row>
    <row r="4501" spans="2:4" x14ac:dyDescent="0.2">
      <c r="B4501" s="236"/>
      <c r="C4501" s="236"/>
      <c r="D4501" s="236"/>
    </row>
    <row r="4502" spans="2:4" ht="12.75" customHeight="1" x14ac:dyDescent="0.2">
      <c r="B4502" s="236"/>
      <c r="C4502" s="236"/>
      <c r="D4502" s="236"/>
    </row>
    <row r="4503" spans="2:4" ht="12.75" customHeight="1" x14ac:dyDescent="0.2">
      <c r="B4503" s="236"/>
      <c r="C4503" s="236"/>
      <c r="D4503" s="236"/>
    </row>
    <row r="4504" spans="2:4" ht="12.75" customHeight="1" x14ac:dyDescent="0.2">
      <c r="B4504" s="236"/>
      <c r="C4504" s="236"/>
      <c r="D4504" s="236"/>
    </row>
    <row r="4505" spans="2:4" ht="12.75" customHeight="1" x14ac:dyDescent="0.2">
      <c r="B4505" s="236"/>
      <c r="C4505" s="236"/>
      <c r="D4505" s="236"/>
    </row>
    <row r="4506" spans="2:4" x14ac:dyDescent="0.2">
      <c r="B4506" s="236"/>
      <c r="C4506" s="236"/>
      <c r="D4506" s="236"/>
    </row>
    <row r="4507" spans="2:4" ht="12.75" customHeight="1" x14ac:dyDescent="0.2">
      <c r="B4507" s="236"/>
      <c r="C4507" s="236"/>
      <c r="D4507" s="236"/>
    </row>
    <row r="4508" spans="2:4" ht="12.75" customHeight="1" x14ac:dyDescent="0.2">
      <c r="B4508" s="236"/>
      <c r="C4508" s="236"/>
      <c r="D4508" s="236"/>
    </row>
    <row r="4509" spans="2:4" ht="12.75" customHeight="1" x14ac:dyDescent="0.2">
      <c r="B4509" s="236"/>
      <c r="C4509" s="236"/>
      <c r="D4509" s="236"/>
    </row>
    <row r="4510" spans="2:4" ht="12.75" customHeight="1" x14ac:dyDescent="0.2">
      <c r="B4510" s="236"/>
      <c r="C4510" s="236"/>
      <c r="D4510" s="236"/>
    </row>
    <row r="4511" spans="2:4" ht="12.75" customHeight="1" x14ac:dyDescent="0.2">
      <c r="B4511" s="236"/>
      <c r="C4511" s="236"/>
      <c r="D4511" s="236"/>
    </row>
    <row r="4512" spans="2:4" ht="12.75" customHeight="1" x14ac:dyDescent="0.2">
      <c r="B4512" s="236"/>
      <c r="C4512" s="236"/>
      <c r="D4512" s="236"/>
    </row>
    <row r="4513" spans="2:4" ht="12.75" customHeight="1" x14ac:dyDescent="0.2">
      <c r="B4513" s="236"/>
      <c r="C4513" s="236"/>
      <c r="D4513" s="236"/>
    </row>
    <row r="4514" spans="2:4" ht="12.75" customHeight="1" x14ac:dyDescent="0.2">
      <c r="B4514" s="236"/>
      <c r="C4514" s="236"/>
      <c r="D4514" s="236"/>
    </row>
    <row r="4515" spans="2:4" ht="12.75" customHeight="1" x14ac:dyDescent="0.2">
      <c r="B4515" s="236"/>
      <c r="C4515" s="236"/>
      <c r="D4515" s="236"/>
    </row>
    <row r="4516" spans="2:4" ht="12.75" customHeight="1" x14ac:dyDescent="0.2">
      <c r="B4516" s="236"/>
      <c r="C4516" s="236"/>
      <c r="D4516" s="236"/>
    </row>
    <row r="4517" spans="2:4" ht="12.75" customHeight="1" x14ac:dyDescent="0.2">
      <c r="B4517" s="236"/>
      <c r="C4517" s="236"/>
      <c r="D4517" s="236"/>
    </row>
    <row r="4518" spans="2:4" x14ac:dyDescent="0.2">
      <c r="B4518" s="236"/>
      <c r="C4518" s="236"/>
      <c r="D4518" s="236"/>
    </row>
    <row r="4519" spans="2:4" ht="12.75" customHeight="1" x14ac:dyDescent="0.2">
      <c r="B4519" s="236"/>
      <c r="C4519" s="236"/>
      <c r="D4519" s="236"/>
    </row>
    <row r="4520" spans="2:4" ht="12.75" customHeight="1" x14ac:dyDescent="0.2">
      <c r="B4520" s="236"/>
      <c r="C4520" s="236"/>
      <c r="D4520" s="236"/>
    </row>
    <row r="4521" spans="2:4" x14ac:dyDescent="0.2">
      <c r="B4521" s="236"/>
      <c r="C4521" s="236"/>
      <c r="D4521" s="236"/>
    </row>
    <row r="4522" spans="2:4" ht="12.75" customHeight="1" x14ac:dyDescent="0.2">
      <c r="B4522" s="236"/>
      <c r="C4522" s="236"/>
      <c r="D4522" s="236"/>
    </row>
    <row r="4523" spans="2:4" ht="12.75" customHeight="1" x14ac:dyDescent="0.2">
      <c r="B4523" s="236"/>
      <c r="C4523" s="236"/>
      <c r="D4523" s="236"/>
    </row>
    <row r="4524" spans="2:4" ht="12.75" customHeight="1" x14ac:dyDescent="0.2">
      <c r="B4524" s="236"/>
      <c r="C4524" s="236"/>
      <c r="D4524" s="236"/>
    </row>
    <row r="4525" spans="2:4" ht="12.75" customHeight="1" x14ac:dyDescent="0.2">
      <c r="B4525" s="236"/>
      <c r="C4525" s="236"/>
      <c r="D4525" s="236"/>
    </row>
    <row r="4526" spans="2:4" ht="12.75" customHeight="1" x14ac:dyDescent="0.2">
      <c r="B4526" s="236"/>
      <c r="C4526" s="236"/>
      <c r="D4526" s="236"/>
    </row>
    <row r="4527" spans="2:4" ht="12.75" customHeight="1" x14ac:dyDescent="0.2">
      <c r="B4527" s="236"/>
      <c r="C4527" s="236"/>
      <c r="D4527" s="236"/>
    </row>
    <row r="4528" spans="2:4" ht="12.75" customHeight="1" x14ac:dyDescent="0.2">
      <c r="B4528" s="236"/>
      <c r="C4528" s="236"/>
      <c r="D4528" s="236"/>
    </row>
    <row r="4529" spans="2:4" ht="12.75" customHeight="1" x14ac:dyDescent="0.2">
      <c r="B4529" s="236"/>
      <c r="C4529" s="236"/>
      <c r="D4529" s="236"/>
    </row>
    <row r="4530" spans="2:4" x14ac:dyDescent="0.2">
      <c r="B4530" s="236"/>
      <c r="C4530" s="236"/>
      <c r="D4530" s="236"/>
    </row>
    <row r="4531" spans="2:4" ht="12.75" customHeight="1" x14ac:dyDescent="0.2">
      <c r="B4531" s="236"/>
      <c r="C4531" s="236"/>
      <c r="D4531" s="236"/>
    </row>
    <row r="4532" spans="2:4" ht="12.75" customHeight="1" x14ac:dyDescent="0.2">
      <c r="B4532" s="236"/>
      <c r="C4532" s="236"/>
      <c r="D4532" s="236"/>
    </row>
    <row r="4533" spans="2:4" ht="12.75" customHeight="1" x14ac:dyDescent="0.2">
      <c r="B4533" s="236"/>
      <c r="C4533" s="236"/>
      <c r="D4533" s="236"/>
    </row>
    <row r="4534" spans="2:4" ht="12.75" customHeight="1" x14ac:dyDescent="0.2">
      <c r="B4534" s="236"/>
      <c r="C4534" s="236"/>
      <c r="D4534" s="236"/>
    </row>
    <row r="4535" spans="2:4" ht="12.75" customHeight="1" x14ac:dyDescent="0.2">
      <c r="B4535" s="236"/>
      <c r="C4535" s="236"/>
      <c r="D4535" s="236"/>
    </row>
    <row r="4536" spans="2:4" ht="12.75" customHeight="1" x14ac:dyDescent="0.2">
      <c r="B4536" s="236"/>
      <c r="C4536" s="236"/>
      <c r="D4536" s="236"/>
    </row>
    <row r="4537" spans="2:4" ht="12.75" customHeight="1" x14ac:dyDescent="0.2">
      <c r="B4537" s="236"/>
      <c r="C4537" s="236"/>
      <c r="D4537" s="236"/>
    </row>
    <row r="4538" spans="2:4" ht="12.75" customHeight="1" x14ac:dyDescent="0.2">
      <c r="B4538" s="236"/>
      <c r="C4538" s="236"/>
      <c r="D4538" s="236"/>
    </row>
    <row r="4539" spans="2:4" ht="12.75" customHeight="1" x14ac:dyDescent="0.2">
      <c r="B4539" s="236"/>
      <c r="C4539" s="236"/>
      <c r="D4539" s="236"/>
    </row>
    <row r="4540" spans="2:4" x14ac:dyDescent="0.2">
      <c r="B4540" s="236"/>
      <c r="C4540" s="236"/>
      <c r="D4540" s="236"/>
    </row>
    <row r="4541" spans="2:4" ht="12.75" customHeight="1" x14ac:dyDescent="0.2">
      <c r="B4541" s="236"/>
      <c r="C4541" s="236"/>
      <c r="D4541" s="236"/>
    </row>
    <row r="4542" spans="2:4" ht="12.75" customHeight="1" x14ac:dyDescent="0.2">
      <c r="B4542" s="236"/>
      <c r="C4542" s="236"/>
      <c r="D4542" s="236"/>
    </row>
    <row r="4543" spans="2:4" ht="12.75" customHeight="1" x14ac:dyDescent="0.2">
      <c r="B4543" s="236"/>
      <c r="C4543" s="236"/>
      <c r="D4543" s="236"/>
    </row>
    <row r="4544" spans="2:4" ht="12.75" customHeight="1" x14ac:dyDescent="0.2">
      <c r="B4544" s="236"/>
      <c r="C4544" s="236"/>
      <c r="D4544" s="236"/>
    </row>
    <row r="4545" spans="2:4" ht="12.75" customHeight="1" x14ac:dyDescent="0.2">
      <c r="B4545" s="236"/>
      <c r="C4545" s="236"/>
      <c r="D4545" s="236"/>
    </row>
    <row r="4546" spans="2:4" ht="12.75" customHeight="1" x14ac:dyDescent="0.2">
      <c r="B4546" s="236"/>
      <c r="C4546" s="236"/>
      <c r="D4546" s="236"/>
    </row>
    <row r="4547" spans="2:4" ht="12.75" customHeight="1" x14ac:dyDescent="0.2">
      <c r="B4547" s="236"/>
      <c r="C4547" s="236"/>
      <c r="D4547" s="236"/>
    </row>
    <row r="4548" spans="2:4" ht="12.75" customHeight="1" x14ac:dyDescent="0.2">
      <c r="B4548" s="236"/>
      <c r="C4548" s="236"/>
      <c r="D4548" s="236"/>
    </row>
    <row r="4549" spans="2:4" ht="12.75" customHeight="1" x14ac:dyDescent="0.2">
      <c r="B4549" s="236"/>
      <c r="C4549" s="236"/>
      <c r="D4549" s="236"/>
    </row>
    <row r="4550" spans="2:4" x14ac:dyDescent="0.2">
      <c r="B4550" s="236"/>
      <c r="C4550" s="236"/>
      <c r="D4550" s="236"/>
    </row>
    <row r="4551" spans="2:4" ht="12.75" customHeight="1" x14ac:dyDescent="0.2">
      <c r="B4551" s="236"/>
      <c r="C4551" s="236"/>
      <c r="D4551" s="236"/>
    </row>
    <row r="4552" spans="2:4" ht="12.75" customHeight="1" x14ac:dyDescent="0.2">
      <c r="B4552" s="236"/>
      <c r="C4552" s="236"/>
      <c r="D4552" s="236"/>
    </row>
    <row r="4553" spans="2:4" ht="12.75" customHeight="1" x14ac:dyDescent="0.2">
      <c r="B4553" s="236"/>
      <c r="C4553" s="236"/>
      <c r="D4553" s="236"/>
    </row>
    <row r="4554" spans="2:4" ht="12.75" customHeight="1" x14ac:dyDescent="0.2">
      <c r="B4554" s="236"/>
      <c r="C4554" s="236"/>
      <c r="D4554" s="236"/>
    </row>
    <row r="4555" spans="2:4" ht="12.75" customHeight="1" x14ac:dyDescent="0.2">
      <c r="B4555" s="236"/>
      <c r="C4555" s="236"/>
      <c r="D4555" s="236"/>
    </row>
    <row r="4556" spans="2:4" ht="12.75" customHeight="1" x14ac:dyDescent="0.2">
      <c r="B4556" s="236"/>
      <c r="C4556" s="236"/>
      <c r="D4556" s="236"/>
    </row>
    <row r="4557" spans="2:4" ht="12.75" customHeight="1" x14ac:dyDescent="0.2">
      <c r="B4557" s="236"/>
      <c r="C4557" s="236"/>
      <c r="D4557" s="236"/>
    </row>
    <row r="4558" spans="2:4" ht="12.75" customHeight="1" x14ac:dyDescent="0.2">
      <c r="B4558" s="236"/>
      <c r="C4558" s="236"/>
      <c r="D4558" s="236"/>
    </row>
    <row r="4559" spans="2:4" x14ac:dyDescent="0.2">
      <c r="B4559" s="236"/>
      <c r="C4559" s="236"/>
      <c r="D4559" s="236"/>
    </row>
    <row r="4560" spans="2:4" ht="12.75" customHeight="1" x14ac:dyDescent="0.2">
      <c r="B4560" s="236"/>
      <c r="C4560" s="236"/>
      <c r="D4560" s="236"/>
    </row>
    <row r="4561" spans="2:4" ht="12.75" customHeight="1" x14ac:dyDescent="0.2">
      <c r="B4561" s="236"/>
      <c r="C4561" s="236"/>
      <c r="D4561" s="236"/>
    </row>
    <row r="4562" spans="2:4" ht="12.75" customHeight="1" x14ac:dyDescent="0.2">
      <c r="B4562" s="236"/>
      <c r="C4562" s="236"/>
      <c r="D4562" s="236"/>
    </row>
    <row r="4563" spans="2:4" ht="12.75" customHeight="1" x14ac:dyDescent="0.2">
      <c r="B4563" s="236"/>
      <c r="C4563" s="236"/>
      <c r="D4563" s="236"/>
    </row>
    <row r="4564" spans="2:4" ht="12.75" customHeight="1" x14ac:dyDescent="0.2">
      <c r="B4564" s="236"/>
      <c r="C4564" s="236"/>
      <c r="D4564" s="236"/>
    </row>
    <row r="4565" spans="2:4" ht="12.75" customHeight="1" x14ac:dyDescent="0.2">
      <c r="B4565" s="236"/>
      <c r="C4565" s="236"/>
      <c r="D4565" s="236"/>
    </row>
    <row r="4566" spans="2:4" ht="12.75" customHeight="1" x14ac:dyDescent="0.2">
      <c r="B4566" s="236"/>
      <c r="C4566" s="236"/>
      <c r="D4566" s="236"/>
    </row>
    <row r="4567" spans="2:4" ht="12.75" customHeight="1" x14ac:dyDescent="0.2">
      <c r="B4567" s="236"/>
      <c r="C4567" s="236"/>
      <c r="D4567" s="236"/>
    </row>
    <row r="4568" spans="2:4" ht="12.75" customHeight="1" x14ac:dyDescent="0.2">
      <c r="B4568" s="236"/>
      <c r="C4568" s="236"/>
      <c r="D4568" s="236"/>
    </row>
    <row r="4569" spans="2:4" ht="12.75" customHeight="1" x14ac:dyDescent="0.2">
      <c r="B4569" s="236"/>
      <c r="C4569" s="236"/>
      <c r="D4569" s="236"/>
    </row>
    <row r="4570" spans="2:4" ht="12.75" customHeight="1" x14ac:dyDescent="0.2">
      <c r="B4570" s="236"/>
      <c r="C4570" s="236"/>
      <c r="D4570" s="236"/>
    </row>
    <row r="4571" spans="2:4" ht="12.75" customHeight="1" x14ac:dyDescent="0.2">
      <c r="B4571" s="236"/>
      <c r="C4571" s="236"/>
      <c r="D4571" s="236"/>
    </row>
    <row r="4572" spans="2:4" ht="12.75" customHeight="1" x14ac:dyDescent="0.2">
      <c r="B4572" s="236"/>
      <c r="C4572" s="236"/>
      <c r="D4572" s="236"/>
    </row>
    <row r="4573" spans="2:4" ht="12.75" customHeight="1" x14ac:dyDescent="0.2">
      <c r="B4573" s="236"/>
      <c r="C4573" s="236"/>
      <c r="D4573" s="236"/>
    </row>
    <row r="4574" spans="2:4" x14ac:dyDescent="0.2">
      <c r="B4574" s="236"/>
      <c r="C4574" s="236"/>
      <c r="D4574" s="236"/>
    </row>
    <row r="4575" spans="2:4" x14ac:dyDescent="0.2">
      <c r="B4575" s="236"/>
      <c r="C4575" s="236"/>
      <c r="D4575" s="236"/>
    </row>
    <row r="4576" spans="2:4" x14ac:dyDescent="0.2">
      <c r="B4576" s="236"/>
      <c r="C4576" s="236"/>
      <c r="D4576" s="236"/>
    </row>
    <row r="4577" spans="2:4" ht="12.75" customHeight="1" x14ac:dyDescent="0.2">
      <c r="B4577" s="236"/>
      <c r="C4577" s="236"/>
      <c r="D4577" s="236"/>
    </row>
    <row r="4578" spans="2:4" x14ac:dyDescent="0.2">
      <c r="B4578" s="236"/>
      <c r="C4578" s="236"/>
      <c r="D4578" s="236"/>
    </row>
    <row r="4579" spans="2:4" x14ac:dyDescent="0.2">
      <c r="B4579" s="236"/>
      <c r="C4579" s="236"/>
      <c r="D4579" s="236"/>
    </row>
    <row r="4580" spans="2:4" ht="12.75" customHeight="1" x14ac:dyDescent="0.2">
      <c r="B4580" s="236"/>
      <c r="C4580" s="236"/>
      <c r="D4580" s="236"/>
    </row>
    <row r="4581" spans="2:4" x14ac:dyDescent="0.2">
      <c r="B4581" s="236"/>
      <c r="C4581" s="236"/>
      <c r="D4581" s="236"/>
    </row>
    <row r="4582" spans="2:4" ht="12.75" customHeight="1" x14ac:dyDescent="0.2">
      <c r="B4582" s="236"/>
      <c r="C4582" s="236"/>
      <c r="D4582" s="236"/>
    </row>
    <row r="4583" spans="2:4" x14ac:dyDescent="0.2">
      <c r="B4583" s="236"/>
      <c r="C4583" s="236"/>
      <c r="D4583" s="236"/>
    </row>
    <row r="4584" spans="2:4" ht="12.75" customHeight="1" x14ac:dyDescent="0.2">
      <c r="B4584" s="236"/>
      <c r="C4584" s="236"/>
      <c r="D4584" s="236"/>
    </row>
    <row r="4585" spans="2:4" x14ac:dyDescent="0.2">
      <c r="B4585" s="236"/>
      <c r="C4585" s="236"/>
      <c r="D4585" s="236"/>
    </row>
    <row r="4586" spans="2:4" ht="12.75" customHeight="1" x14ac:dyDescent="0.2">
      <c r="B4586" s="236"/>
      <c r="C4586" s="236"/>
      <c r="D4586" s="236"/>
    </row>
    <row r="4587" spans="2:4" x14ac:dyDescent="0.2">
      <c r="B4587" s="236"/>
      <c r="C4587" s="236"/>
      <c r="D4587" s="236"/>
    </row>
    <row r="4588" spans="2:4" ht="12.75" customHeight="1" x14ac:dyDescent="0.2">
      <c r="B4588" s="236"/>
      <c r="C4588" s="236"/>
      <c r="D4588" s="236"/>
    </row>
    <row r="4589" spans="2:4" x14ac:dyDescent="0.2">
      <c r="B4589" s="236"/>
      <c r="C4589" s="236"/>
      <c r="D4589" s="236"/>
    </row>
    <row r="4590" spans="2:4" ht="12.75" customHeight="1" x14ac:dyDescent="0.2">
      <c r="B4590" s="236"/>
      <c r="C4590" s="236"/>
      <c r="D4590" s="236"/>
    </row>
    <row r="4591" spans="2:4" x14ac:dyDescent="0.2">
      <c r="B4591" s="236"/>
      <c r="C4591" s="236"/>
      <c r="D4591" s="236"/>
    </row>
    <row r="4592" spans="2:4" ht="12.75" customHeight="1" x14ac:dyDescent="0.2">
      <c r="B4592" s="236"/>
      <c r="C4592" s="236"/>
      <c r="D4592" s="236"/>
    </row>
    <row r="4593" spans="2:4" ht="12.75" customHeight="1" x14ac:dyDescent="0.2">
      <c r="B4593" s="236"/>
      <c r="C4593" s="236"/>
      <c r="D4593" s="236"/>
    </row>
    <row r="4594" spans="2:4" ht="12.75" customHeight="1" x14ac:dyDescent="0.2">
      <c r="B4594" s="236"/>
      <c r="C4594" s="236"/>
      <c r="D4594" s="236"/>
    </row>
    <row r="4595" spans="2:4" ht="12.75" customHeight="1" x14ac:dyDescent="0.2">
      <c r="B4595" s="236"/>
      <c r="C4595" s="236"/>
      <c r="D4595" s="236"/>
    </row>
    <row r="4596" spans="2:4" x14ac:dyDescent="0.2">
      <c r="B4596" s="236"/>
      <c r="C4596" s="236"/>
      <c r="D4596" s="236"/>
    </row>
    <row r="4597" spans="2:4" ht="12.75" customHeight="1" x14ac:dyDescent="0.2">
      <c r="B4597" s="236"/>
      <c r="C4597" s="236"/>
      <c r="D4597" s="236"/>
    </row>
    <row r="4598" spans="2:4" ht="12.75" customHeight="1" x14ac:dyDescent="0.2">
      <c r="B4598" s="236"/>
      <c r="C4598" s="236"/>
      <c r="D4598" s="236"/>
    </row>
    <row r="4599" spans="2:4" ht="12.75" customHeight="1" x14ac:dyDescent="0.2">
      <c r="B4599" s="236"/>
      <c r="C4599" s="236"/>
      <c r="D4599" s="236"/>
    </row>
    <row r="4600" spans="2:4" ht="12.75" customHeight="1" x14ac:dyDescent="0.2">
      <c r="B4600" s="236"/>
      <c r="C4600" s="236"/>
      <c r="D4600" s="236"/>
    </row>
    <row r="4601" spans="2:4" ht="12.75" customHeight="1" x14ac:dyDescent="0.2">
      <c r="B4601" s="236"/>
      <c r="C4601" s="236"/>
      <c r="D4601" s="236"/>
    </row>
    <row r="4602" spans="2:4" x14ac:dyDescent="0.2">
      <c r="B4602" s="236"/>
      <c r="C4602" s="236"/>
      <c r="D4602" s="236"/>
    </row>
    <row r="4603" spans="2:4" x14ac:dyDescent="0.2">
      <c r="B4603" s="236"/>
      <c r="C4603" s="236"/>
      <c r="D4603" s="236"/>
    </row>
    <row r="4604" spans="2:4" ht="12.75" customHeight="1" x14ac:dyDescent="0.2">
      <c r="B4604" s="236"/>
      <c r="C4604" s="236"/>
      <c r="D4604" s="236"/>
    </row>
    <row r="4605" spans="2:4" ht="12.75" customHeight="1" x14ac:dyDescent="0.2">
      <c r="B4605" s="236"/>
      <c r="C4605" s="236"/>
      <c r="D4605" s="236"/>
    </row>
    <row r="4606" spans="2:4" ht="12.75" customHeight="1" x14ac:dyDescent="0.2">
      <c r="B4606" s="236"/>
      <c r="C4606" s="236"/>
      <c r="D4606" s="236"/>
    </row>
    <row r="4607" spans="2:4" ht="12.75" customHeight="1" x14ac:dyDescent="0.2">
      <c r="B4607" s="236"/>
      <c r="C4607" s="236"/>
      <c r="D4607" s="236"/>
    </row>
    <row r="4608" spans="2:4" x14ac:dyDescent="0.2">
      <c r="B4608" s="236"/>
      <c r="C4608" s="236"/>
      <c r="D4608" s="236"/>
    </row>
    <row r="4609" spans="2:4" ht="12.75" customHeight="1" x14ac:dyDescent="0.2">
      <c r="B4609" s="236"/>
      <c r="C4609" s="236"/>
      <c r="D4609" s="236"/>
    </row>
    <row r="4610" spans="2:4" ht="12.75" customHeight="1" x14ac:dyDescent="0.2">
      <c r="B4610" s="236"/>
      <c r="C4610" s="236"/>
      <c r="D4610" s="236"/>
    </row>
    <row r="4611" spans="2:4" ht="12.75" customHeight="1" x14ac:dyDescent="0.2">
      <c r="B4611" s="236"/>
      <c r="C4611" s="236"/>
      <c r="D4611" s="236"/>
    </row>
    <row r="4612" spans="2:4" ht="12.75" customHeight="1" x14ac:dyDescent="0.2">
      <c r="B4612" s="236"/>
      <c r="C4612" s="236"/>
      <c r="D4612" s="236"/>
    </row>
    <row r="4613" spans="2:4" x14ac:dyDescent="0.2">
      <c r="B4613" s="236"/>
      <c r="C4613" s="236"/>
      <c r="D4613" s="236"/>
    </row>
    <row r="4614" spans="2:4" ht="12.75" customHeight="1" x14ac:dyDescent="0.2">
      <c r="B4614" s="236"/>
      <c r="C4614" s="236"/>
      <c r="D4614" s="236"/>
    </row>
    <row r="4615" spans="2:4" ht="12.75" customHeight="1" x14ac:dyDescent="0.2">
      <c r="B4615" s="236"/>
      <c r="C4615" s="236"/>
      <c r="D4615" s="236"/>
    </row>
    <row r="4616" spans="2:4" ht="12.75" customHeight="1" x14ac:dyDescent="0.2">
      <c r="B4616" s="236"/>
      <c r="C4616" s="236"/>
      <c r="D4616" s="236"/>
    </row>
    <row r="4617" spans="2:4" ht="12.75" customHeight="1" x14ac:dyDescent="0.2">
      <c r="B4617" s="236"/>
      <c r="C4617" s="236"/>
      <c r="D4617" s="236"/>
    </row>
    <row r="4618" spans="2:4" x14ac:dyDescent="0.2">
      <c r="B4618" s="236"/>
      <c r="C4618" s="236"/>
      <c r="D4618" s="236"/>
    </row>
    <row r="4619" spans="2:4" ht="12.75" customHeight="1" x14ac:dyDescent="0.2">
      <c r="B4619" s="236"/>
      <c r="C4619" s="236"/>
      <c r="D4619" s="236"/>
    </row>
    <row r="4620" spans="2:4" ht="12.75" customHeight="1" x14ac:dyDescent="0.2">
      <c r="B4620" s="236"/>
      <c r="C4620" s="236"/>
      <c r="D4620" s="236"/>
    </row>
    <row r="4621" spans="2:4" ht="12.75" customHeight="1" x14ac:dyDescent="0.2">
      <c r="B4621" s="236"/>
      <c r="C4621" s="236"/>
      <c r="D4621" s="236"/>
    </row>
    <row r="4622" spans="2:4" ht="12.75" customHeight="1" x14ac:dyDescent="0.2">
      <c r="B4622" s="236"/>
      <c r="C4622" s="236"/>
      <c r="D4622" s="236"/>
    </row>
    <row r="4623" spans="2:4" ht="12.75" customHeight="1" x14ac:dyDescent="0.2">
      <c r="B4623" s="236"/>
      <c r="C4623" s="236"/>
      <c r="D4623" s="236"/>
    </row>
    <row r="4624" spans="2:4" ht="12.75" customHeight="1" x14ac:dyDescent="0.2">
      <c r="B4624" s="236"/>
      <c r="C4624" s="236"/>
      <c r="D4624" s="236"/>
    </row>
    <row r="4625" spans="2:4" ht="12.75" customHeight="1" x14ac:dyDescent="0.2">
      <c r="B4625" s="236"/>
      <c r="C4625" s="236"/>
      <c r="D4625" s="236"/>
    </row>
    <row r="4626" spans="2:4" ht="12.75" customHeight="1" x14ac:dyDescent="0.2">
      <c r="B4626" s="236"/>
      <c r="C4626" s="236"/>
      <c r="D4626" s="236"/>
    </row>
    <row r="4627" spans="2:4" ht="12.75" customHeight="1" x14ac:dyDescent="0.2">
      <c r="B4627" s="236"/>
      <c r="C4627" s="236"/>
      <c r="D4627" s="236"/>
    </row>
    <row r="4628" spans="2:4" ht="12.75" customHeight="1" x14ac:dyDescent="0.2">
      <c r="B4628" s="236"/>
      <c r="C4628" s="236"/>
      <c r="D4628" s="236"/>
    </row>
    <row r="4629" spans="2:4" ht="12.75" customHeight="1" x14ac:dyDescent="0.2">
      <c r="B4629" s="236"/>
      <c r="C4629" s="236"/>
      <c r="D4629" s="236"/>
    </row>
    <row r="4630" spans="2:4" ht="12.75" customHeight="1" x14ac:dyDescent="0.2">
      <c r="B4630" s="236"/>
      <c r="C4630" s="236"/>
      <c r="D4630" s="236"/>
    </row>
    <row r="4631" spans="2:4" ht="12.75" customHeight="1" x14ac:dyDescent="0.2">
      <c r="B4631" s="236"/>
      <c r="C4631" s="236"/>
      <c r="D4631" s="236"/>
    </row>
    <row r="4632" spans="2:4" ht="12.75" customHeight="1" x14ac:dyDescent="0.2">
      <c r="B4632" s="236"/>
      <c r="C4632" s="236"/>
      <c r="D4632" s="236"/>
    </row>
    <row r="4633" spans="2:4" ht="12.75" customHeight="1" x14ac:dyDescent="0.2">
      <c r="B4633" s="236"/>
      <c r="C4633" s="236"/>
      <c r="D4633" s="236"/>
    </row>
    <row r="4634" spans="2:4" ht="12.75" customHeight="1" x14ac:dyDescent="0.2">
      <c r="B4634" s="236"/>
      <c r="C4634" s="236"/>
      <c r="D4634" s="236"/>
    </row>
    <row r="4635" spans="2:4" ht="12.75" customHeight="1" x14ac:dyDescent="0.2">
      <c r="B4635" s="236"/>
      <c r="C4635" s="236"/>
      <c r="D4635" s="236"/>
    </row>
    <row r="4636" spans="2:4" ht="12.75" customHeight="1" x14ac:dyDescent="0.2">
      <c r="B4636" s="236"/>
      <c r="C4636" s="236"/>
      <c r="D4636" s="236"/>
    </row>
    <row r="4637" spans="2:4" ht="12.75" customHeight="1" x14ac:dyDescent="0.2">
      <c r="B4637" s="236"/>
      <c r="C4637" s="236"/>
      <c r="D4637" s="236"/>
    </row>
    <row r="4638" spans="2:4" ht="12.75" customHeight="1" x14ac:dyDescent="0.2">
      <c r="B4638" s="236"/>
      <c r="C4638" s="236"/>
      <c r="D4638" s="236"/>
    </row>
    <row r="4639" spans="2:4" ht="12.75" customHeight="1" x14ac:dyDescent="0.2">
      <c r="B4639" s="236"/>
      <c r="C4639" s="236"/>
      <c r="D4639" s="236"/>
    </row>
    <row r="4640" spans="2:4" ht="12.75" customHeight="1" x14ac:dyDescent="0.2">
      <c r="B4640" s="236"/>
      <c r="C4640" s="236"/>
      <c r="D4640" s="236"/>
    </row>
    <row r="4641" spans="2:4" ht="12.75" customHeight="1" x14ac:dyDescent="0.2">
      <c r="B4641" s="236"/>
      <c r="C4641" s="236"/>
      <c r="D4641" s="236"/>
    </row>
    <row r="4642" spans="2:4" ht="12.75" customHeight="1" x14ac:dyDescent="0.2">
      <c r="B4642" s="236"/>
      <c r="C4642" s="236"/>
      <c r="D4642" s="236"/>
    </row>
    <row r="4643" spans="2:4" x14ac:dyDescent="0.2">
      <c r="B4643" s="236"/>
      <c r="C4643" s="236"/>
      <c r="D4643" s="236"/>
    </row>
    <row r="4644" spans="2:4" x14ac:dyDescent="0.2">
      <c r="B4644" s="236"/>
      <c r="C4644" s="236"/>
      <c r="D4644" s="236"/>
    </row>
    <row r="4645" spans="2:4" x14ac:dyDescent="0.2">
      <c r="B4645" s="236"/>
      <c r="C4645" s="236"/>
      <c r="D4645" s="236"/>
    </row>
    <row r="4646" spans="2:4" ht="12.75" customHeight="1" x14ac:dyDescent="0.2">
      <c r="B4646" s="236"/>
      <c r="C4646" s="236"/>
      <c r="D4646" s="236"/>
    </row>
    <row r="4647" spans="2:4" x14ac:dyDescent="0.2">
      <c r="B4647" s="236"/>
      <c r="C4647" s="236"/>
      <c r="D4647" s="236"/>
    </row>
    <row r="4648" spans="2:4" x14ac:dyDescent="0.2">
      <c r="B4648" s="236"/>
      <c r="C4648" s="236"/>
      <c r="D4648" s="236"/>
    </row>
    <row r="4649" spans="2:4" ht="12.75" customHeight="1" x14ac:dyDescent="0.2">
      <c r="B4649" s="236"/>
      <c r="C4649" s="236"/>
      <c r="D4649" s="236"/>
    </row>
    <row r="4650" spans="2:4" ht="12.75" customHeight="1" x14ac:dyDescent="0.2">
      <c r="B4650" s="236"/>
      <c r="C4650" s="236"/>
      <c r="D4650" s="236"/>
    </row>
    <row r="4651" spans="2:4" ht="12.75" customHeight="1" x14ac:dyDescent="0.2">
      <c r="B4651" s="236"/>
      <c r="C4651" s="236"/>
      <c r="D4651" s="236"/>
    </row>
    <row r="4652" spans="2:4" ht="12.75" customHeight="1" x14ac:dyDescent="0.2">
      <c r="B4652" s="236"/>
      <c r="C4652" s="236"/>
      <c r="D4652" s="236"/>
    </row>
    <row r="4653" spans="2:4" ht="12.75" customHeight="1" x14ac:dyDescent="0.2">
      <c r="B4653" s="236"/>
      <c r="C4653" s="236"/>
      <c r="D4653" s="236"/>
    </row>
    <row r="4654" spans="2:4" ht="12.75" customHeight="1" x14ac:dyDescent="0.2">
      <c r="B4654" s="236"/>
      <c r="C4654" s="236"/>
      <c r="D4654" s="236"/>
    </row>
    <row r="4655" spans="2:4" ht="12.75" customHeight="1" x14ac:dyDescent="0.2">
      <c r="B4655" s="236"/>
      <c r="C4655" s="236"/>
      <c r="D4655" s="236"/>
    </row>
    <row r="4656" spans="2:4" x14ac:dyDescent="0.2">
      <c r="B4656" s="236"/>
      <c r="C4656" s="236"/>
      <c r="D4656" s="236"/>
    </row>
    <row r="4657" spans="2:4" x14ac:dyDescent="0.2">
      <c r="B4657" s="236"/>
      <c r="C4657" s="236"/>
      <c r="D4657" s="236"/>
    </row>
    <row r="4658" spans="2:4" x14ac:dyDescent="0.2">
      <c r="B4658" s="236"/>
      <c r="C4658" s="236"/>
      <c r="D4658" s="236"/>
    </row>
    <row r="4659" spans="2:4" ht="12.75" customHeight="1" x14ac:dyDescent="0.2">
      <c r="B4659" s="236"/>
      <c r="C4659" s="236"/>
      <c r="D4659" s="236"/>
    </row>
    <row r="4660" spans="2:4" x14ac:dyDescent="0.2">
      <c r="B4660" s="236"/>
      <c r="C4660" s="236"/>
      <c r="D4660" s="236"/>
    </row>
    <row r="4661" spans="2:4" x14ac:dyDescent="0.2">
      <c r="B4661" s="236"/>
      <c r="C4661" s="236"/>
      <c r="D4661" s="236"/>
    </row>
    <row r="4662" spans="2:4" ht="12.75" customHeight="1" x14ac:dyDescent="0.2">
      <c r="B4662" s="236"/>
      <c r="C4662" s="236"/>
      <c r="D4662" s="236"/>
    </row>
    <row r="4663" spans="2:4" ht="12.75" customHeight="1" x14ac:dyDescent="0.2">
      <c r="B4663" s="236"/>
      <c r="C4663" s="236"/>
      <c r="D4663" s="236"/>
    </row>
    <row r="4664" spans="2:4" ht="12.75" customHeight="1" x14ac:dyDescent="0.2">
      <c r="B4664" s="236"/>
      <c r="C4664" s="236"/>
      <c r="D4664" s="236"/>
    </row>
    <row r="4665" spans="2:4" ht="12.75" customHeight="1" x14ac:dyDescent="0.2">
      <c r="B4665" s="236"/>
      <c r="C4665" s="236"/>
      <c r="D4665" s="236"/>
    </row>
    <row r="4666" spans="2:4" ht="12.75" customHeight="1" x14ac:dyDescent="0.2">
      <c r="B4666" s="236"/>
      <c r="C4666" s="236"/>
      <c r="D4666" s="236"/>
    </row>
    <row r="4667" spans="2:4" ht="12.75" customHeight="1" x14ac:dyDescent="0.2">
      <c r="B4667" s="236"/>
      <c r="C4667" s="236"/>
      <c r="D4667" s="236"/>
    </row>
    <row r="4668" spans="2:4" ht="12.75" customHeight="1" x14ac:dyDescent="0.2">
      <c r="B4668" s="236"/>
      <c r="C4668" s="236"/>
      <c r="D4668" s="236"/>
    </row>
    <row r="4669" spans="2:4" ht="12.75" customHeight="1" x14ac:dyDescent="0.2">
      <c r="B4669" s="236"/>
      <c r="C4669" s="236"/>
      <c r="D4669" s="236"/>
    </row>
    <row r="4670" spans="2:4" ht="12.75" customHeight="1" x14ac:dyDescent="0.2">
      <c r="B4670" s="236"/>
      <c r="C4670" s="236"/>
      <c r="D4670" s="236"/>
    </row>
    <row r="4671" spans="2:4" ht="12.75" customHeight="1" x14ac:dyDescent="0.2">
      <c r="B4671" s="236"/>
      <c r="C4671" s="236"/>
      <c r="D4671" s="236"/>
    </row>
    <row r="4672" spans="2:4" ht="12.75" customHeight="1" x14ac:dyDescent="0.2">
      <c r="B4672" s="236"/>
      <c r="C4672" s="236"/>
      <c r="D4672" s="236"/>
    </row>
    <row r="4673" spans="2:4" ht="12.75" customHeight="1" x14ac:dyDescent="0.2">
      <c r="B4673" s="236"/>
      <c r="C4673" s="236"/>
      <c r="D4673" s="236"/>
    </row>
    <row r="4674" spans="2:4" ht="12.75" customHeight="1" x14ac:dyDescent="0.2">
      <c r="B4674" s="236"/>
      <c r="C4674" s="236"/>
      <c r="D4674" s="236"/>
    </row>
    <row r="4675" spans="2:4" ht="12.75" customHeight="1" x14ac:dyDescent="0.2">
      <c r="B4675" s="236"/>
      <c r="C4675" s="236"/>
      <c r="D4675" s="236"/>
    </row>
    <row r="4676" spans="2:4" ht="12.75" customHeight="1" x14ac:dyDescent="0.2">
      <c r="B4676" s="236"/>
      <c r="C4676" s="236"/>
      <c r="D4676" s="236"/>
    </row>
    <row r="4677" spans="2:4" ht="12.75" customHeight="1" x14ac:dyDescent="0.2">
      <c r="B4677" s="236"/>
      <c r="C4677" s="236"/>
      <c r="D4677" s="236"/>
    </row>
    <row r="4678" spans="2:4" ht="12.75" customHeight="1" x14ac:dyDescent="0.2">
      <c r="B4678" s="236"/>
      <c r="C4678" s="236"/>
      <c r="D4678" s="236"/>
    </row>
    <row r="4679" spans="2:4" ht="12.75" customHeight="1" x14ac:dyDescent="0.2">
      <c r="B4679" s="236"/>
      <c r="C4679" s="236"/>
      <c r="D4679" s="236"/>
    </row>
    <row r="4680" spans="2:4" x14ac:dyDescent="0.2">
      <c r="B4680" s="236"/>
      <c r="C4680" s="236"/>
      <c r="D4680" s="236"/>
    </row>
    <row r="4681" spans="2:4" ht="12.75" customHeight="1" x14ac:dyDescent="0.2">
      <c r="B4681" s="236"/>
      <c r="C4681" s="236"/>
      <c r="D4681" s="236"/>
    </row>
    <row r="4682" spans="2:4" ht="12.75" customHeight="1" x14ac:dyDescent="0.2">
      <c r="B4682" s="236"/>
      <c r="C4682" s="236"/>
      <c r="D4682" s="236"/>
    </row>
    <row r="4683" spans="2:4" ht="12.75" customHeight="1" x14ac:dyDescent="0.2">
      <c r="B4683" s="236"/>
      <c r="C4683" s="236"/>
      <c r="D4683" s="236"/>
    </row>
    <row r="4684" spans="2:4" ht="12.75" customHeight="1" x14ac:dyDescent="0.2">
      <c r="B4684" s="236"/>
      <c r="C4684" s="236"/>
      <c r="D4684" s="236"/>
    </row>
    <row r="4685" spans="2:4" x14ac:dyDescent="0.2">
      <c r="B4685" s="236"/>
      <c r="C4685" s="236"/>
      <c r="D4685" s="236"/>
    </row>
    <row r="4686" spans="2:4" ht="12.75" customHeight="1" x14ac:dyDescent="0.2">
      <c r="B4686" s="236"/>
      <c r="C4686" s="236"/>
      <c r="D4686" s="236"/>
    </row>
    <row r="4687" spans="2:4" x14ac:dyDescent="0.2">
      <c r="B4687" s="236"/>
      <c r="C4687" s="236"/>
      <c r="D4687" s="236"/>
    </row>
    <row r="4688" spans="2:4" ht="12.75" customHeight="1" x14ac:dyDescent="0.2">
      <c r="B4688" s="236"/>
      <c r="C4688" s="236"/>
      <c r="D4688" s="236"/>
    </row>
    <row r="4689" spans="2:4" ht="12.75" customHeight="1" x14ac:dyDescent="0.2">
      <c r="B4689" s="236"/>
      <c r="C4689" s="236"/>
      <c r="D4689" s="236"/>
    </row>
    <row r="4690" spans="2:4" x14ac:dyDescent="0.2">
      <c r="B4690" s="236"/>
      <c r="C4690" s="236"/>
      <c r="D4690" s="236"/>
    </row>
    <row r="4691" spans="2:4" ht="12.75" customHeight="1" x14ac:dyDescent="0.2">
      <c r="B4691" s="236"/>
      <c r="C4691" s="236"/>
      <c r="D4691" s="236"/>
    </row>
    <row r="4692" spans="2:4" ht="12.75" customHeight="1" x14ac:dyDescent="0.2">
      <c r="B4692" s="236"/>
      <c r="C4692" s="236"/>
      <c r="D4692" s="236"/>
    </row>
    <row r="4693" spans="2:4" ht="12.75" customHeight="1" x14ac:dyDescent="0.2">
      <c r="B4693" s="236"/>
      <c r="C4693" s="236"/>
      <c r="D4693" s="236"/>
    </row>
    <row r="4694" spans="2:4" ht="12.75" customHeight="1" x14ac:dyDescent="0.2">
      <c r="B4694" s="236"/>
      <c r="C4694" s="236"/>
      <c r="D4694" s="236"/>
    </row>
    <row r="4695" spans="2:4" ht="12.75" customHeight="1" x14ac:dyDescent="0.2">
      <c r="B4695" s="236"/>
      <c r="C4695" s="236"/>
      <c r="D4695" s="236"/>
    </row>
    <row r="4696" spans="2:4" ht="12.75" customHeight="1" x14ac:dyDescent="0.2">
      <c r="B4696" s="236"/>
      <c r="C4696" s="236"/>
      <c r="D4696" s="236"/>
    </row>
    <row r="4697" spans="2:4" ht="12.75" customHeight="1" x14ac:dyDescent="0.2">
      <c r="B4697" s="236"/>
      <c r="C4697" s="236"/>
      <c r="D4697" s="236"/>
    </row>
    <row r="4698" spans="2:4" ht="12.75" customHeight="1" x14ac:dyDescent="0.2">
      <c r="B4698" s="236"/>
      <c r="C4698" s="236"/>
      <c r="D4698" s="236"/>
    </row>
    <row r="4699" spans="2:4" ht="12.75" customHeight="1" x14ac:dyDescent="0.2">
      <c r="B4699" s="236"/>
      <c r="C4699" s="236"/>
      <c r="D4699" s="236"/>
    </row>
    <row r="4700" spans="2:4" x14ac:dyDescent="0.2">
      <c r="B4700" s="236"/>
      <c r="C4700" s="236"/>
      <c r="D4700" s="236"/>
    </row>
    <row r="4701" spans="2:4" ht="12.75" customHeight="1" x14ac:dyDescent="0.2">
      <c r="B4701" s="236"/>
      <c r="C4701" s="236"/>
      <c r="D4701" s="236"/>
    </row>
    <row r="4702" spans="2:4" ht="12.75" customHeight="1" x14ac:dyDescent="0.2">
      <c r="B4702" s="236"/>
      <c r="C4702" s="236"/>
      <c r="D4702" s="236"/>
    </row>
    <row r="4703" spans="2:4" ht="12.75" customHeight="1" x14ac:dyDescent="0.2">
      <c r="B4703" s="236"/>
      <c r="C4703" s="236"/>
      <c r="D4703" s="236"/>
    </row>
    <row r="4704" spans="2:4" ht="12.75" customHeight="1" x14ac:dyDescent="0.2">
      <c r="B4704" s="236"/>
      <c r="C4704" s="236"/>
      <c r="D4704" s="236"/>
    </row>
    <row r="4705" spans="2:4" ht="12.75" customHeight="1" x14ac:dyDescent="0.2">
      <c r="B4705" s="236"/>
      <c r="C4705" s="236"/>
      <c r="D4705" s="236"/>
    </row>
    <row r="4706" spans="2:4" ht="12.75" customHeight="1" x14ac:dyDescent="0.2">
      <c r="B4706" s="236"/>
      <c r="C4706" s="236"/>
      <c r="D4706" s="236"/>
    </row>
    <row r="4707" spans="2:4" ht="12.75" customHeight="1" x14ac:dyDescent="0.2">
      <c r="B4707" s="236"/>
      <c r="C4707" s="236"/>
      <c r="D4707" s="236"/>
    </row>
    <row r="4708" spans="2:4" ht="12.75" customHeight="1" x14ac:dyDescent="0.2">
      <c r="B4708" s="236"/>
      <c r="C4708" s="236"/>
      <c r="D4708" s="236"/>
    </row>
    <row r="4709" spans="2:4" ht="12.75" customHeight="1" x14ac:dyDescent="0.2">
      <c r="B4709" s="236"/>
      <c r="C4709" s="236"/>
      <c r="D4709" s="236"/>
    </row>
    <row r="4710" spans="2:4" x14ac:dyDescent="0.2">
      <c r="B4710" s="236"/>
      <c r="C4710" s="236"/>
      <c r="D4710" s="236"/>
    </row>
    <row r="4711" spans="2:4" ht="12.75" customHeight="1" x14ac:dyDescent="0.2">
      <c r="B4711" s="236"/>
      <c r="C4711" s="236"/>
      <c r="D4711" s="236"/>
    </row>
    <row r="4712" spans="2:4" ht="12.75" customHeight="1" x14ac:dyDescent="0.2">
      <c r="B4712" s="236"/>
      <c r="C4712" s="236"/>
      <c r="D4712" s="236"/>
    </row>
    <row r="4713" spans="2:4" ht="12.75" customHeight="1" x14ac:dyDescent="0.2">
      <c r="B4713" s="236"/>
      <c r="C4713" s="236"/>
      <c r="D4713" s="236"/>
    </row>
    <row r="4714" spans="2:4" ht="12.75" customHeight="1" x14ac:dyDescent="0.2">
      <c r="B4714" s="236"/>
      <c r="C4714" s="236"/>
      <c r="D4714" s="236"/>
    </row>
    <row r="4715" spans="2:4" ht="12.75" customHeight="1" x14ac:dyDescent="0.2">
      <c r="B4715" s="236"/>
      <c r="C4715" s="236"/>
      <c r="D4715" s="236"/>
    </row>
    <row r="4716" spans="2:4" x14ac:dyDescent="0.2">
      <c r="B4716" s="236"/>
      <c r="C4716" s="236"/>
      <c r="D4716" s="236"/>
    </row>
    <row r="4717" spans="2:4" ht="12.75" customHeight="1" x14ac:dyDescent="0.2">
      <c r="B4717" s="236"/>
      <c r="C4717" s="236"/>
      <c r="D4717" s="236"/>
    </row>
    <row r="4718" spans="2:4" ht="12.75" customHeight="1" x14ac:dyDescent="0.2">
      <c r="B4718" s="236"/>
      <c r="C4718" s="236"/>
      <c r="D4718" s="236"/>
    </row>
    <row r="4719" spans="2:4" ht="12.75" customHeight="1" x14ac:dyDescent="0.2">
      <c r="B4719" s="236"/>
      <c r="C4719" s="236"/>
      <c r="D4719" s="236"/>
    </row>
    <row r="4720" spans="2:4" x14ac:dyDescent="0.2">
      <c r="B4720" s="236"/>
      <c r="C4720" s="236"/>
      <c r="D4720" s="236"/>
    </row>
    <row r="4721" spans="2:4" x14ac:dyDescent="0.2">
      <c r="B4721" s="236"/>
      <c r="C4721" s="236"/>
      <c r="D4721" s="236"/>
    </row>
    <row r="4722" spans="2:4" x14ac:dyDescent="0.2">
      <c r="B4722" s="236"/>
      <c r="C4722" s="236"/>
      <c r="D4722" s="236"/>
    </row>
    <row r="4723" spans="2:4" ht="12.75" customHeight="1" x14ac:dyDescent="0.2">
      <c r="B4723" s="236"/>
      <c r="C4723" s="236"/>
      <c r="D4723" s="236"/>
    </row>
    <row r="4724" spans="2:4" ht="12.75" customHeight="1" x14ac:dyDescent="0.2">
      <c r="B4724" s="236"/>
      <c r="C4724" s="236"/>
      <c r="D4724" s="236"/>
    </row>
    <row r="4725" spans="2:4" ht="12.75" customHeight="1" x14ac:dyDescent="0.2">
      <c r="B4725" s="236"/>
      <c r="C4725" s="236"/>
      <c r="D4725" s="236"/>
    </row>
    <row r="4726" spans="2:4" ht="12.75" customHeight="1" x14ac:dyDescent="0.2">
      <c r="B4726" s="236"/>
      <c r="C4726" s="236"/>
      <c r="D4726" s="236"/>
    </row>
    <row r="4727" spans="2:4" ht="12.75" customHeight="1" x14ac:dyDescent="0.2">
      <c r="B4727" s="236"/>
      <c r="C4727" s="236"/>
      <c r="D4727" s="236"/>
    </row>
    <row r="4728" spans="2:4" ht="12.75" customHeight="1" x14ac:dyDescent="0.2">
      <c r="B4728" s="236"/>
      <c r="C4728" s="236"/>
      <c r="D4728" s="236"/>
    </row>
    <row r="4729" spans="2:4" ht="12.75" customHeight="1" x14ac:dyDescent="0.2">
      <c r="B4729" s="236"/>
      <c r="C4729" s="236"/>
      <c r="D4729" s="236"/>
    </row>
    <row r="4730" spans="2:4" ht="12.75" customHeight="1" x14ac:dyDescent="0.2">
      <c r="B4730" s="236"/>
      <c r="C4730" s="236"/>
      <c r="D4730" s="236"/>
    </row>
    <row r="4731" spans="2:4" ht="12.75" customHeight="1" x14ac:dyDescent="0.2">
      <c r="B4731" s="236"/>
      <c r="C4731" s="236"/>
      <c r="D4731" s="236"/>
    </row>
    <row r="4732" spans="2:4" ht="12.75" customHeight="1" x14ac:dyDescent="0.2">
      <c r="B4732" s="236"/>
      <c r="C4732" s="236"/>
      <c r="D4732" s="236"/>
    </row>
    <row r="4733" spans="2:4" ht="12.75" customHeight="1" x14ac:dyDescent="0.2">
      <c r="B4733" s="236"/>
      <c r="C4733" s="236"/>
      <c r="D4733" s="236"/>
    </row>
    <row r="4734" spans="2:4" ht="12.75" customHeight="1" x14ac:dyDescent="0.2">
      <c r="B4734" s="236"/>
      <c r="C4734" s="236"/>
      <c r="D4734" s="236"/>
    </row>
    <row r="4735" spans="2:4" ht="12.75" customHeight="1" x14ac:dyDescent="0.2">
      <c r="B4735" s="236"/>
      <c r="C4735" s="236"/>
      <c r="D4735" s="236"/>
    </row>
    <row r="4736" spans="2:4" ht="12.75" customHeight="1" x14ac:dyDescent="0.2">
      <c r="B4736" s="236"/>
      <c r="C4736" s="236"/>
      <c r="D4736" s="236"/>
    </row>
    <row r="4737" spans="2:4" ht="12.75" customHeight="1" x14ac:dyDescent="0.2">
      <c r="B4737" s="236"/>
      <c r="C4737" s="236"/>
      <c r="D4737" s="236"/>
    </row>
    <row r="4738" spans="2:4" ht="12.75" customHeight="1" x14ac:dyDescent="0.2">
      <c r="B4738" s="236"/>
      <c r="C4738" s="236"/>
      <c r="D4738" s="236"/>
    </row>
    <row r="4739" spans="2:4" ht="12.75" customHeight="1" x14ac:dyDescent="0.2">
      <c r="B4739" s="236"/>
      <c r="C4739" s="236"/>
      <c r="D4739" s="236"/>
    </row>
    <row r="4740" spans="2:4" ht="12.75" customHeight="1" x14ac:dyDescent="0.2">
      <c r="B4740" s="236"/>
      <c r="C4740" s="236"/>
      <c r="D4740" s="236"/>
    </row>
    <row r="4741" spans="2:4" ht="12.75" customHeight="1" x14ac:dyDescent="0.2">
      <c r="B4741" s="236"/>
      <c r="C4741" s="236"/>
      <c r="D4741" s="236"/>
    </row>
    <row r="4742" spans="2:4" ht="12.75" customHeight="1" x14ac:dyDescent="0.2">
      <c r="B4742" s="236"/>
      <c r="C4742" s="236"/>
      <c r="D4742" s="236"/>
    </row>
    <row r="4743" spans="2:4" ht="12.75" customHeight="1" x14ac:dyDescent="0.2">
      <c r="B4743" s="236"/>
      <c r="C4743" s="236"/>
      <c r="D4743" s="236"/>
    </row>
    <row r="4744" spans="2:4" ht="12.75" customHeight="1" x14ac:dyDescent="0.2">
      <c r="B4744" s="236"/>
      <c r="C4744" s="236"/>
      <c r="D4744" s="236"/>
    </row>
    <row r="4745" spans="2:4" x14ac:dyDescent="0.2">
      <c r="B4745" s="236"/>
      <c r="C4745" s="236"/>
      <c r="D4745" s="236"/>
    </row>
    <row r="4746" spans="2:4" x14ac:dyDescent="0.2">
      <c r="B4746" s="236"/>
      <c r="C4746" s="236"/>
      <c r="D4746" s="236"/>
    </row>
    <row r="4747" spans="2:4" x14ac:dyDescent="0.2">
      <c r="B4747" s="236"/>
      <c r="C4747" s="236"/>
      <c r="D4747" s="236"/>
    </row>
    <row r="4748" spans="2:4" ht="12.75" customHeight="1" x14ac:dyDescent="0.2">
      <c r="B4748" s="236"/>
      <c r="C4748" s="236"/>
      <c r="D4748" s="236"/>
    </row>
    <row r="4749" spans="2:4" ht="12.75" customHeight="1" x14ac:dyDescent="0.2">
      <c r="B4749" s="236"/>
      <c r="C4749" s="236"/>
      <c r="D4749" s="236"/>
    </row>
    <row r="4750" spans="2:4" ht="12.75" customHeight="1" x14ac:dyDescent="0.2">
      <c r="B4750" s="236"/>
      <c r="C4750" s="236"/>
      <c r="D4750" s="236"/>
    </row>
    <row r="4751" spans="2:4" x14ac:dyDescent="0.2">
      <c r="B4751" s="236"/>
      <c r="C4751" s="236"/>
      <c r="D4751" s="236"/>
    </row>
    <row r="4752" spans="2:4" ht="12.75" customHeight="1" x14ac:dyDescent="0.2">
      <c r="B4752" s="236"/>
      <c r="C4752" s="236"/>
      <c r="D4752" s="236"/>
    </row>
    <row r="4753" spans="2:4" x14ac:dyDescent="0.2">
      <c r="B4753" s="236"/>
      <c r="C4753" s="236"/>
      <c r="D4753" s="236"/>
    </row>
    <row r="4754" spans="2:4" x14ac:dyDescent="0.2">
      <c r="B4754" s="236"/>
      <c r="C4754" s="236"/>
      <c r="D4754" s="236"/>
    </row>
    <row r="4755" spans="2:4" x14ac:dyDescent="0.2">
      <c r="B4755" s="236"/>
      <c r="C4755" s="236"/>
      <c r="D4755" s="236"/>
    </row>
    <row r="4756" spans="2:4" ht="12.75" customHeight="1" x14ac:dyDescent="0.2">
      <c r="B4756" s="236"/>
      <c r="C4756" s="236"/>
      <c r="D4756" s="236"/>
    </row>
    <row r="4757" spans="2:4" ht="12.75" customHeight="1" x14ac:dyDescent="0.2">
      <c r="B4757" s="236"/>
      <c r="C4757" s="236"/>
      <c r="D4757" s="236"/>
    </row>
    <row r="4758" spans="2:4" ht="12.75" customHeight="1" x14ac:dyDescent="0.2">
      <c r="B4758" s="236"/>
      <c r="C4758" s="236"/>
      <c r="D4758" s="236"/>
    </row>
    <row r="4759" spans="2:4" ht="12.75" customHeight="1" x14ac:dyDescent="0.2">
      <c r="B4759" s="236"/>
      <c r="C4759" s="236"/>
      <c r="D4759" s="236"/>
    </row>
    <row r="4760" spans="2:4" ht="12.75" customHeight="1" x14ac:dyDescent="0.2">
      <c r="B4760" s="236"/>
      <c r="C4760" s="236"/>
      <c r="D4760" s="236"/>
    </row>
    <row r="4761" spans="2:4" ht="12.75" customHeight="1" x14ac:dyDescent="0.2">
      <c r="B4761" s="236"/>
      <c r="C4761" s="236"/>
      <c r="D4761" s="236"/>
    </row>
    <row r="4762" spans="2:4" ht="12.75" customHeight="1" x14ac:dyDescent="0.2">
      <c r="B4762" s="236"/>
      <c r="C4762" s="236"/>
      <c r="D4762" s="236"/>
    </row>
    <row r="4763" spans="2:4" ht="12.75" customHeight="1" x14ac:dyDescent="0.2">
      <c r="B4763" s="236"/>
      <c r="C4763" s="236"/>
      <c r="D4763" s="236"/>
    </row>
    <row r="4764" spans="2:4" ht="12.75" customHeight="1" x14ac:dyDescent="0.2">
      <c r="B4764" s="236"/>
      <c r="C4764" s="236"/>
      <c r="D4764" s="236"/>
    </row>
    <row r="4765" spans="2:4" ht="12.75" customHeight="1" x14ac:dyDescent="0.2">
      <c r="B4765" s="236"/>
      <c r="C4765" s="236"/>
      <c r="D4765" s="236"/>
    </row>
    <row r="4766" spans="2:4" ht="12.75" customHeight="1" x14ac:dyDescent="0.2">
      <c r="B4766" s="236"/>
      <c r="C4766" s="236"/>
      <c r="D4766" s="236"/>
    </row>
    <row r="4767" spans="2:4" ht="12.75" customHeight="1" x14ac:dyDescent="0.2">
      <c r="B4767" s="236"/>
      <c r="C4767" s="236"/>
      <c r="D4767" s="236"/>
    </row>
    <row r="4768" spans="2:4" ht="12.75" customHeight="1" x14ac:dyDescent="0.2">
      <c r="B4768" s="236"/>
      <c r="C4768" s="236"/>
      <c r="D4768" s="236"/>
    </row>
    <row r="4769" spans="2:4" ht="12.75" customHeight="1" x14ac:dyDescent="0.2">
      <c r="B4769" s="236"/>
      <c r="C4769" s="236"/>
      <c r="D4769" s="236"/>
    </row>
    <row r="4770" spans="2:4" ht="12.75" customHeight="1" x14ac:dyDescent="0.2">
      <c r="B4770" s="236"/>
      <c r="C4770" s="236"/>
      <c r="D4770" s="236"/>
    </row>
    <row r="4771" spans="2:4" ht="12.75" customHeight="1" x14ac:dyDescent="0.2">
      <c r="B4771" s="236"/>
      <c r="C4771" s="236"/>
      <c r="D4771" s="236"/>
    </row>
    <row r="4772" spans="2:4" ht="12.75" customHeight="1" x14ac:dyDescent="0.2">
      <c r="B4772" s="236"/>
      <c r="C4772" s="236"/>
      <c r="D4772" s="236"/>
    </row>
    <row r="4773" spans="2:4" ht="12.75" customHeight="1" x14ac:dyDescent="0.2">
      <c r="B4773" s="236"/>
      <c r="C4773" s="236"/>
      <c r="D4773" s="236"/>
    </row>
    <row r="4774" spans="2:4" ht="12.75" customHeight="1" x14ac:dyDescent="0.2">
      <c r="B4774" s="236"/>
      <c r="C4774" s="236"/>
      <c r="D4774" s="236"/>
    </row>
    <row r="4775" spans="2:4" x14ac:dyDescent="0.2">
      <c r="B4775" s="236"/>
      <c r="C4775" s="236"/>
      <c r="D4775" s="236"/>
    </row>
    <row r="4776" spans="2:4" x14ac:dyDescent="0.2">
      <c r="B4776" s="236"/>
      <c r="C4776" s="236"/>
      <c r="D4776" s="236"/>
    </row>
    <row r="4777" spans="2:4" x14ac:dyDescent="0.2">
      <c r="B4777" s="236"/>
      <c r="C4777" s="236"/>
      <c r="D4777" s="236"/>
    </row>
    <row r="4778" spans="2:4" ht="12.75" customHeight="1" x14ac:dyDescent="0.2">
      <c r="B4778" s="236"/>
      <c r="C4778" s="236"/>
      <c r="D4778" s="236"/>
    </row>
    <row r="4779" spans="2:4" ht="12.75" customHeight="1" x14ac:dyDescent="0.2">
      <c r="B4779" s="236"/>
      <c r="C4779" s="236"/>
      <c r="D4779" s="236"/>
    </row>
    <row r="4780" spans="2:4" x14ac:dyDescent="0.2">
      <c r="B4780" s="236"/>
      <c r="C4780" s="236"/>
      <c r="D4780" s="236"/>
    </row>
    <row r="4781" spans="2:4" ht="12.75" customHeight="1" x14ac:dyDescent="0.2">
      <c r="B4781" s="236"/>
      <c r="C4781" s="236"/>
      <c r="D4781" s="236"/>
    </row>
    <row r="4782" spans="2:4" ht="12.75" customHeight="1" x14ac:dyDescent="0.2">
      <c r="B4782" s="236"/>
      <c r="C4782" s="236"/>
      <c r="D4782" s="236"/>
    </row>
    <row r="4783" spans="2:4" ht="12.75" customHeight="1" x14ac:dyDescent="0.2">
      <c r="B4783" s="236"/>
      <c r="C4783" s="236"/>
      <c r="D4783" s="236"/>
    </row>
    <row r="4784" spans="2:4" ht="12.75" customHeight="1" x14ac:dyDescent="0.2">
      <c r="B4784" s="236"/>
      <c r="C4784" s="236"/>
      <c r="D4784" s="236"/>
    </row>
    <row r="4785" spans="2:4" ht="12.75" customHeight="1" x14ac:dyDescent="0.2">
      <c r="B4785" s="236"/>
      <c r="C4785" s="236"/>
      <c r="D4785" s="236"/>
    </row>
    <row r="4786" spans="2:4" ht="12.75" customHeight="1" x14ac:dyDescent="0.2">
      <c r="B4786" s="236"/>
      <c r="C4786" s="236"/>
      <c r="D4786" s="236"/>
    </row>
    <row r="4787" spans="2:4" ht="12.75" customHeight="1" x14ac:dyDescent="0.2">
      <c r="B4787" s="236"/>
      <c r="C4787" s="236"/>
      <c r="D4787" s="236"/>
    </row>
    <row r="4788" spans="2:4" x14ac:dyDescent="0.2">
      <c r="B4788" s="236"/>
      <c r="C4788" s="236"/>
      <c r="D4788" s="236"/>
    </row>
    <row r="4789" spans="2:4" ht="12.75" customHeight="1" x14ac:dyDescent="0.2">
      <c r="B4789" s="236"/>
      <c r="C4789" s="236"/>
      <c r="D4789" s="236"/>
    </row>
    <row r="4790" spans="2:4" x14ac:dyDescent="0.2">
      <c r="B4790" s="236"/>
      <c r="C4790" s="236"/>
      <c r="D4790" s="236"/>
    </row>
    <row r="4791" spans="2:4" ht="12.75" customHeight="1" x14ac:dyDescent="0.2">
      <c r="B4791" s="236"/>
      <c r="C4791" s="236"/>
      <c r="D4791" s="236"/>
    </row>
    <row r="4792" spans="2:4" ht="12.75" customHeight="1" x14ac:dyDescent="0.2">
      <c r="B4792" s="236"/>
      <c r="C4792" s="236"/>
      <c r="D4792" s="236"/>
    </row>
    <row r="4793" spans="2:4" ht="12.75" customHeight="1" x14ac:dyDescent="0.2">
      <c r="B4793" s="236"/>
      <c r="C4793" s="236"/>
      <c r="D4793" s="236"/>
    </row>
    <row r="4794" spans="2:4" ht="12.75" customHeight="1" x14ac:dyDescent="0.2">
      <c r="B4794" s="236"/>
      <c r="C4794" s="236"/>
      <c r="D4794" s="236"/>
    </row>
    <row r="4795" spans="2:4" x14ac:dyDescent="0.2">
      <c r="B4795" s="236"/>
      <c r="C4795" s="236"/>
      <c r="D4795" s="236"/>
    </row>
    <row r="4796" spans="2:4" ht="12.75" customHeight="1" x14ac:dyDescent="0.2">
      <c r="B4796" s="236"/>
      <c r="C4796" s="236"/>
      <c r="D4796" s="236"/>
    </row>
    <row r="4797" spans="2:4" ht="12.75" customHeight="1" x14ac:dyDescent="0.2">
      <c r="B4797" s="236"/>
      <c r="C4797" s="236"/>
      <c r="D4797" s="236"/>
    </row>
    <row r="4798" spans="2:4" x14ac:dyDescent="0.2">
      <c r="B4798" s="236"/>
      <c r="C4798" s="236"/>
      <c r="D4798" s="236"/>
    </row>
    <row r="4799" spans="2:4" ht="12.75" customHeight="1" x14ac:dyDescent="0.2">
      <c r="B4799" s="236"/>
      <c r="C4799" s="236"/>
      <c r="D4799" s="236"/>
    </row>
    <row r="4800" spans="2:4" ht="12.75" customHeight="1" x14ac:dyDescent="0.2">
      <c r="B4800" s="236"/>
      <c r="C4800" s="236"/>
      <c r="D4800" s="236"/>
    </row>
    <row r="4801" spans="2:4" ht="12.75" customHeight="1" x14ac:dyDescent="0.2">
      <c r="B4801" s="236"/>
      <c r="C4801" s="236"/>
      <c r="D4801" s="236"/>
    </row>
    <row r="4802" spans="2:4" x14ac:dyDescent="0.2">
      <c r="B4802" s="236"/>
      <c r="C4802" s="236"/>
      <c r="D4802" s="236"/>
    </row>
    <row r="4803" spans="2:4" x14ac:dyDescent="0.2">
      <c r="B4803" s="236"/>
      <c r="C4803" s="236"/>
      <c r="D4803" s="236"/>
    </row>
    <row r="4804" spans="2:4" ht="12.75" customHeight="1" x14ac:dyDescent="0.2">
      <c r="B4804" s="236"/>
      <c r="C4804" s="236"/>
      <c r="D4804" s="236"/>
    </row>
    <row r="4805" spans="2:4" ht="12.75" customHeight="1" x14ac:dyDescent="0.2">
      <c r="B4805" s="236"/>
      <c r="C4805" s="236"/>
      <c r="D4805" s="236"/>
    </row>
    <row r="4806" spans="2:4" ht="12.75" customHeight="1" x14ac:dyDescent="0.2">
      <c r="B4806" s="236"/>
      <c r="C4806" s="236"/>
      <c r="D4806" s="236"/>
    </row>
    <row r="4807" spans="2:4" ht="12.75" customHeight="1" x14ac:dyDescent="0.2">
      <c r="B4807" s="236"/>
      <c r="C4807" s="236"/>
      <c r="D4807" s="236"/>
    </row>
    <row r="4808" spans="2:4" ht="12.75" customHeight="1" x14ac:dyDescent="0.2">
      <c r="B4808" s="236"/>
      <c r="C4808" s="236"/>
      <c r="D4808" s="236"/>
    </row>
    <row r="4809" spans="2:4" x14ac:dyDescent="0.2">
      <c r="B4809" s="236"/>
      <c r="C4809" s="236"/>
      <c r="D4809" s="236"/>
    </row>
    <row r="4810" spans="2:4" ht="12.75" customHeight="1" x14ac:dyDescent="0.2">
      <c r="B4810" s="236"/>
      <c r="C4810" s="236"/>
      <c r="D4810" s="236"/>
    </row>
    <row r="4811" spans="2:4" ht="12.75" customHeight="1" x14ac:dyDescent="0.2">
      <c r="B4811" s="236"/>
      <c r="C4811" s="236"/>
      <c r="D4811" s="236"/>
    </row>
    <row r="4812" spans="2:4" ht="12.75" customHeight="1" x14ac:dyDescent="0.2">
      <c r="B4812" s="236"/>
      <c r="C4812" s="236"/>
      <c r="D4812" s="236"/>
    </row>
    <row r="4813" spans="2:4" ht="12.75" customHeight="1" x14ac:dyDescent="0.2">
      <c r="B4813" s="236"/>
      <c r="C4813" s="236"/>
      <c r="D4813" s="236"/>
    </row>
    <row r="4814" spans="2:4" ht="12.75" customHeight="1" x14ac:dyDescent="0.2">
      <c r="B4814" s="236"/>
      <c r="C4814" s="236"/>
      <c r="D4814" s="236"/>
    </row>
    <row r="4815" spans="2:4" ht="12.75" customHeight="1" x14ac:dyDescent="0.2">
      <c r="B4815" s="236"/>
      <c r="C4815" s="236"/>
      <c r="D4815" s="236"/>
    </row>
    <row r="4816" spans="2:4" ht="12.75" customHeight="1" x14ac:dyDescent="0.2">
      <c r="B4816" s="236"/>
      <c r="C4816" s="236"/>
      <c r="D4816" s="236"/>
    </row>
    <row r="4817" spans="2:4" ht="12.75" customHeight="1" x14ac:dyDescent="0.2">
      <c r="B4817" s="236"/>
      <c r="C4817" s="236"/>
      <c r="D4817" s="236"/>
    </row>
    <row r="4818" spans="2:4" x14ac:dyDescent="0.2">
      <c r="B4818" s="236"/>
      <c r="C4818" s="236"/>
      <c r="D4818" s="236"/>
    </row>
    <row r="4819" spans="2:4" ht="12.75" customHeight="1" x14ac:dyDescent="0.2">
      <c r="B4819" s="236"/>
      <c r="C4819" s="236"/>
      <c r="D4819" s="236"/>
    </row>
    <row r="4820" spans="2:4" ht="12.75" customHeight="1" x14ac:dyDescent="0.2">
      <c r="B4820" s="236"/>
      <c r="C4820" s="236"/>
      <c r="D4820" s="236"/>
    </row>
    <row r="4821" spans="2:4" ht="12.75" customHeight="1" x14ac:dyDescent="0.2">
      <c r="B4821" s="236"/>
      <c r="C4821" s="236"/>
      <c r="D4821" s="236"/>
    </row>
    <row r="4822" spans="2:4" ht="12.75" customHeight="1" x14ac:dyDescent="0.2">
      <c r="B4822" s="236"/>
      <c r="C4822" s="236"/>
      <c r="D4822" s="236"/>
    </row>
    <row r="4823" spans="2:4" ht="12.75" customHeight="1" x14ac:dyDescent="0.2">
      <c r="B4823" s="236"/>
      <c r="C4823" s="236"/>
      <c r="D4823" s="236"/>
    </row>
    <row r="4824" spans="2:4" ht="12.75" customHeight="1" x14ac:dyDescent="0.2">
      <c r="B4824" s="236"/>
      <c r="C4824" s="236"/>
      <c r="D4824" s="236"/>
    </row>
    <row r="4825" spans="2:4" ht="12.75" customHeight="1" x14ac:dyDescent="0.2">
      <c r="B4825" s="236"/>
      <c r="C4825" s="236"/>
      <c r="D4825" s="236"/>
    </row>
    <row r="4826" spans="2:4" ht="12.75" customHeight="1" x14ac:dyDescent="0.2">
      <c r="B4826" s="236"/>
      <c r="C4826" s="236"/>
      <c r="D4826" s="236"/>
    </row>
    <row r="4827" spans="2:4" ht="12.75" customHeight="1" x14ac:dyDescent="0.2">
      <c r="B4827" s="236"/>
      <c r="C4827" s="236"/>
      <c r="D4827" s="236"/>
    </row>
    <row r="4828" spans="2:4" ht="12.75" customHeight="1" x14ac:dyDescent="0.2">
      <c r="B4828" s="236"/>
      <c r="C4828" s="236"/>
      <c r="D4828" s="236"/>
    </row>
    <row r="4829" spans="2:4" ht="12.75" customHeight="1" x14ac:dyDescent="0.2">
      <c r="B4829" s="236"/>
      <c r="C4829" s="236"/>
      <c r="D4829" s="236"/>
    </row>
    <row r="4830" spans="2:4" ht="12.75" customHeight="1" x14ac:dyDescent="0.2">
      <c r="B4830" s="236"/>
      <c r="C4830" s="236"/>
      <c r="D4830" s="236"/>
    </row>
    <row r="4831" spans="2:4" ht="12.75" customHeight="1" x14ac:dyDescent="0.2">
      <c r="B4831" s="236"/>
      <c r="C4831" s="236"/>
      <c r="D4831" s="236"/>
    </row>
    <row r="4832" spans="2:4" ht="12.75" customHeight="1" x14ac:dyDescent="0.2">
      <c r="B4832" s="236"/>
      <c r="C4832" s="236"/>
      <c r="D4832" s="236"/>
    </row>
    <row r="4833" spans="2:4" ht="12.75" customHeight="1" x14ac:dyDescent="0.2">
      <c r="B4833" s="236"/>
      <c r="C4833" s="236"/>
      <c r="D4833" s="236"/>
    </row>
    <row r="4834" spans="2:4" ht="12.75" customHeight="1" x14ac:dyDescent="0.2">
      <c r="B4834" s="236"/>
      <c r="C4834" s="236"/>
      <c r="D4834" s="236"/>
    </row>
    <row r="4835" spans="2:4" ht="12.75" customHeight="1" x14ac:dyDescent="0.2">
      <c r="B4835" s="236"/>
      <c r="C4835" s="236"/>
      <c r="D4835" s="236"/>
    </row>
    <row r="4836" spans="2:4" ht="12.75" customHeight="1" x14ac:dyDescent="0.2">
      <c r="B4836" s="236"/>
      <c r="C4836" s="236"/>
      <c r="D4836" s="236"/>
    </row>
    <row r="4837" spans="2:4" ht="12.75" customHeight="1" x14ac:dyDescent="0.2">
      <c r="B4837" s="236"/>
      <c r="C4837" s="236"/>
      <c r="D4837" s="236"/>
    </row>
    <row r="4838" spans="2:4" ht="12.75" customHeight="1" x14ac:dyDescent="0.2">
      <c r="B4838" s="236"/>
      <c r="C4838" s="236"/>
      <c r="D4838" s="236"/>
    </row>
    <row r="4839" spans="2:4" ht="12.75" customHeight="1" x14ac:dyDescent="0.2">
      <c r="B4839" s="236"/>
      <c r="C4839" s="236"/>
      <c r="D4839" s="236"/>
    </row>
    <row r="4840" spans="2:4" x14ac:dyDescent="0.2">
      <c r="B4840" s="236"/>
      <c r="C4840" s="236"/>
      <c r="D4840" s="236"/>
    </row>
    <row r="4841" spans="2:4" ht="12.75" customHeight="1" x14ac:dyDescent="0.2">
      <c r="B4841" s="236"/>
      <c r="C4841" s="236"/>
      <c r="D4841" s="236"/>
    </row>
    <row r="4842" spans="2:4" ht="12.75" customHeight="1" x14ac:dyDescent="0.2">
      <c r="B4842" s="236"/>
      <c r="C4842" s="236"/>
      <c r="D4842" s="236"/>
    </row>
    <row r="4843" spans="2:4" ht="12.75" customHeight="1" x14ac:dyDescent="0.2">
      <c r="B4843" s="236"/>
      <c r="C4843" s="236"/>
      <c r="D4843" s="236"/>
    </row>
    <row r="4844" spans="2:4" ht="12.75" customHeight="1" x14ac:dyDescent="0.2">
      <c r="B4844" s="236"/>
      <c r="C4844" s="236"/>
      <c r="D4844" s="236"/>
    </row>
    <row r="4845" spans="2:4" x14ac:dyDescent="0.2">
      <c r="B4845" s="236"/>
      <c r="C4845" s="236"/>
      <c r="D4845" s="236"/>
    </row>
    <row r="4846" spans="2:4" ht="12.75" customHeight="1" x14ac:dyDescent="0.2">
      <c r="B4846" s="236"/>
      <c r="C4846" s="236"/>
      <c r="D4846" s="236"/>
    </row>
    <row r="4847" spans="2:4" ht="12.75" customHeight="1" x14ac:dyDescent="0.2">
      <c r="B4847" s="236"/>
      <c r="C4847" s="236"/>
      <c r="D4847" s="236"/>
    </row>
    <row r="4848" spans="2:4" ht="12.75" customHeight="1" x14ac:dyDescent="0.2">
      <c r="B4848" s="236"/>
      <c r="C4848" s="236"/>
      <c r="D4848" s="236"/>
    </row>
    <row r="4849" spans="2:4" ht="12.75" customHeight="1" x14ac:dyDescent="0.2">
      <c r="B4849" s="236"/>
      <c r="C4849" s="236"/>
      <c r="D4849" s="236"/>
    </row>
    <row r="4850" spans="2:4" ht="12.75" customHeight="1" x14ac:dyDescent="0.2">
      <c r="B4850" s="236"/>
      <c r="C4850" s="236"/>
      <c r="D4850" s="236"/>
    </row>
    <row r="4851" spans="2:4" ht="12.75" customHeight="1" x14ac:dyDescent="0.2">
      <c r="B4851" s="236"/>
      <c r="C4851" s="236"/>
      <c r="D4851" s="236"/>
    </row>
    <row r="4852" spans="2:4" ht="12.75" customHeight="1" x14ac:dyDescent="0.2">
      <c r="B4852" s="236"/>
      <c r="C4852" s="236"/>
      <c r="D4852" s="236"/>
    </row>
    <row r="4853" spans="2:4" ht="12.75" customHeight="1" x14ac:dyDescent="0.2">
      <c r="B4853" s="236"/>
      <c r="C4853" s="236"/>
      <c r="D4853" s="236"/>
    </row>
    <row r="4854" spans="2:4" x14ac:dyDescent="0.2">
      <c r="B4854" s="236"/>
      <c r="C4854" s="236"/>
      <c r="D4854" s="236"/>
    </row>
    <row r="4855" spans="2:4" ht="12.75" customHeight="1" x14ac:dyDescent="0.2">
      <c r="B4855" s="236"/>
      <c r="C4855" s="236"/>
      <c r="D4855" s="236"/>
    </row>
    <row r="4856" spans="2:4" ht="12.75" customHeight="1" x14ac:dyDescent="0.2">
      <c r="B4856" s="236"/>
      <c r="C4856" s="236"/>
      <c r="D4856" s="236"/>
    </row>
    <row r="4857" spans="2:4" ht="12.75" customHeight="1" x14ac:dyDescent="0.2">
      <c r="B4857" s="236"/>
      <c r="C4857" s="236"/>
      <c r="D4857" s="236"/>
    </row>
    <row r="4858" spans="2:4" ht="12.75" customHeight="1" x14ac:dyDescent="0.2">
      <c r="B4858" s="236"/>
      <c r="C4858" s="236"/>
      <c r="D4858" s="236"/>
    </row>
    <row r="4859" spans="2:4" ht="12.75" customHeight="1" x14ac:dyDescent="0.2">
      <c r="B4859" s="236"/>
      <c r="C4859" s="236"/>
      <c r="D4859" s="236"/>
    </row>
    <row r="4860" spans="2:4" ht="12.75" customHeight="1" x14ac:dyDescent="0.2">
      <c r="B4860" s="236"/>
      <c r="C4860" s="236"/>
      <c r="D4860" s="236"/>
    </row>
    <row r="4861" spans="2:4" x14ac:dyDescent="0.2">
      <c r="B4861" s="236"/>
      <c r="C4861" s="236"/>
      <c r="D4861" s="236"/>
    </row>
    <row r="4862" spans="2:4" ht="12.75" customHeight="1" x14ac:dyDescent="0.2">
      <c r="B4862" s="236"/>
      <c r="C4862" s="236"/>
      <c r="D4862" s="236"/>
    </row>
    <row r="4863" spans="2:4" ht="12.75" customHeight="1" x14ac:dyDescent="0.2">
      <c r="B4863" s="236"/>
      <c r="C4863" s="236"/>
      <c r="D4863" s="236"/>
    </row>
    <row r="4864" spans="2:4" ht="12.75" customHeight="1" x14ac:dyDescent="0.2">
      <c r="B4864" s="236"/>
      <c r="C4864" s="236"/>
      <c r="D4864" s="236"/>
    </row>
    <row r="4865" spans="2:4" x14ac:dyDescent="0.2">
      <c r="B4865" s="236"/>
      <c r="C4865" s="236"/>
      <c r="D4865" s="236"/>
    </row>
    <row r="4866" spans="2:4" ht="12.75" customHeight="1" x14ac:dyDescent="0.2">
      <c r="B4866" s="236"/>
      <c r="C4866" s="236"/>
      <c r="D4866" s="236"/>
    </row>
    <row r="4867" spans="2:4" ht="12.75" customHeight="1" x14ac:dyDescent="0.2">
      <c r="B4867" s="236"/>
      <c r="C4867" s="236"/>
      <c r="D4867" s="236"/>
    </row>
    <row r="4868" spans="2:4" ht="12.75" customHeight="1" x14ac:dyDescent="0.2">
      <c r="B4868" s="236"/>
      <c r="C4868" s="236"/>
      <c r="D4868" s="236"/>
    </row>
    <row r="4869" spans="2:4" ht="12.75" customHeight="1" x14ac:dyDescent="0.2">
      <c r="B4869" s="236"/>
      <c r="C4869" s="236"/>
      <c r="D4869" s="236"/>
    </row>
    <row r="4870" spans="2:4" ht="12.75" customHeight="1" x14ac:dyDescent="0.2">
      <c r="B4870" s="236"/>
      <c r="C4870" s="236"/>
      <c r="D4870" s="236"/>
    </row>
    <row r="4871" spans="2:4" x14ac:dyDescent="0.2">
      <c r="B4871" s="236"/>
      <c r="C4871" s="236"/>
      <c r="D4871" s="236"/>
    </row>
    <row r="4872" spans="2:4" ht="12.75" customHeight="1" x14ac:dyDescent="0.2">
      <c r="B4872" s="236"/>
      <c r="C4872" s="236"/>
      <c r="D4872" s="236"/>
    </row>
    <row r="4873" spans="2:4" ht="12.75" customHeight="1" x14ac:dyDescent="0.2">
      <c r="B4873" s="236"/>
      <c r="C4873" s="236"/>
      <c r="D4873" s="236"/>
    </row>
    <row r="4874" spans="2:4" ht="12.75" customHeight="1" x14ac:dyDescent="0.2">
      <c r="B4874" s="236"/>
      <c r="C4874" s="236"/>
      <c r="D4874" s="236"/>
    </row>
    <row r="4875" spans="2:4" ht="12.75" customHeight="1" x14ac:dyDescent="0.2">
      <c r="B4875" s="236"/>
      <c r="C4875" s="236"/>
      <c r="D4875" s="236"/>
    </row>
    <row r="4876" spans="2:4" x14ac:dyDescent="0.2">
      <c r="B4876" s="236"/>
      <c r="C4876" s="236"/>
      <c r="D4876" s="236"/>
    </row>
    <row r="4877" spans="2:4" ht="12.75" customHeight="1" x14ac:dyDescent="0.2">
      <c r="B4877" s="236"/>
      <c r="C4877" s="236"/>
      <c r="D4877" s="236"/>
    </row>
    <row r="4878" spans="2:4" ht="12.75" customHeight="1" x14ac:dyDescent="0.2">
      <c r="B4878" s="236"/>
      <c r="C4878" s="236"/>
      <c r="D4878" s="236"/>
    </row>
    <row r="4879" spans="2:4" ht="12.75" customHeight="1" x14ac:dyDescent="0.2">
      <c r="B4879" s="236"/>
      <c r="C4879" s="236"/>
      <c r="D4879" s="236"/>
    </row>
    <row r="4880" spans="2:4" ht="12.75" customHeight="1" x14ac:dyDescent="0.2">
      <c r="B4880" s="236"/>
      <c r="C4880" s="236"/>
      <c r="D4880" s="236"/>
    </row>
    <row r="4881" spans="2:4" x14ac:dyDescent="0.2">
      <c r="B4881" s="236"/>
      <c r="C4881" s="236"/>
      <c r="D4881" s="236"/>
    </row>
    <row r="4882" spans="2:4" ht="12.75" customHeight="1" x14ac:dyDescent="0.2">
      <c r="B4882" s="236"/>
      <c r="C4882" s="236"/>
      <c r="D4882" s="236"/>
    </row>
    <row r="4883" spans="2:4" ht="12.75" customHeight="1" x14ac:dyDescent="0.2">
      <c r="B4883" s="236"/>
      <c r="C4883" s="236"/>
      <c r="D4883" s="236"/>
    </row>
    <row r="4884" spans="2:4" x14ac:dyDescent="0.2">
      <c r="B4884" s="236"/>
      <c r="C4884" s="236"/>
      <c r="D4884" s="236"/>
    </row>
    <row r="4885" spans="2:4" x14ac:dyDescent="0.2">
      <c r="B4885" s="236"/>
      <c r="C4885" s="236"/>
      <c r="D4885" s="236"/>
    </row>
    <row r="4886" spans="2:4" x14ac:dyDescent="0.2">
      <c r="B4886" s="236"/>
      <c r="C4886" s="236"/>
      <c r="D4886" s="236"/>
    </row>
    <row r="4887" spans="2:4" ht="12.75" customHeight="1" x14ac:dyDescent="0.2">
      <c r="B4887" s="236"/>
      <c r="C4887" s="236"/>
      <c r="D4887" s="236"/>
    </row>
    <row r="4888" spans="2:4" x14ac:dyDescent="0.2">
      <c r="B4888" s="236"/>
      <c r="C4888" s="236"/>
      <c r="D4888" s="236"/>
    </row>
    <row r="4889" spans="2:4" x14ac:dyDescent="0.2">
      <c r="B4889" s="236"/>
      <c r="C4889" s="236"/>
      <c r="D4889" s="236"/>
    </row>
    <row r="4890" spans="2:4" ht="12.75" customHeight="1" x14ac:dyDescent="0.2">
      <c r="B4890" s="236"/>
      <c r="C4890" s="236"/>
      <c r="D4890" s="236"/>
    </row>
    <row r="4891" spans="2:4" ht="12.75" customHeight="1" x14ac:dyDescent="0.2">
      <c r="B4891" s="236"/>
      <c r="C4891" s="236"/>
      <c r="D4891" s="236"/>
    </row>
    <row r="4892" spans="2:4" ht="12.75" customHeight="1" x14ac:dyDescent="0.2">
      <c r="B4892" s="236"/>
      <c r="C4892" s="236"/>
      <c r="D4892" s="236"/>
    </row>
    <row r="4893" spans="2:4" ht="12.75" customHeight="1" x14ac:dyDescent="0.2">
      <c r="B4893" s="236"/>
      <c r="C4893" s="236"/>
      <c r="D4893" s="236"/>
    </row>
    <row r="4894" spans="2:4" ht="12.75" customHeight="1" x14ac:dyDescent="0.2">
      <c r="B4894" s="236"/>
      <c r="C4894" s="236"/>
      <c r="D4894" s="236"/>
    </row>
    <row r="4895" spans="2:4" ht="12.75" customHeight="1" x14ac:dyDescent="0.2">
      <c r="B4895" s="236"/>
      <c r="C4895" s="236"/>
      <c r="D4895" s="236"/>
    </row>
    <row r="4896" spans="2:4" ht="12.75" customHeight="1" x14ac:dyDescent="0.2">
      <c r="B4896" s="236"/>
      <c r="C4896" s="236"/>
      <c r="D4896" s="236"/>
    </row>
    <row r="4897" spans="2:4" ht="12.75" customHeight="1" x14ac:dyDescent="0.2">
      <c r="B4897" s="236"/>
      <c r="C4897" s="236"/>
      <c r="D4897" s="236"/>
    </row>
    <row r="4898" spans="2:4" ht="12.75" customHeight="1" x14ac:dyDescent="0.2">
      <c r="B4898" s="236"/>
      <c r="C4898" s="236"/>
      <c r="D4898" s="236"/>
    </row>
    <row r="4899" spans="2:4" ht="12.75" customHeight="1" x14ac:dyDescent="0.2">
      <c r="B4899" s="236"/>
      <c r="C4899" s="236"/>
      <c r="D4899" s="236"/>
    </row>
    <row r="4900" spans="2:4" ht="12.75" customHeight="1" x14ac:dyDescent="0.2">
      <c r="B4900" s="236"/>
      <c r="C4900" s="236"/>
      <c r="D4900" s="236"/>
    </row>
    <row r="4901" spans="2:4" ht="12.75" customHeight="1" x14ac:dyDescent="0.2">
      <c r="B4901" s="236"/>
      <c r="C4901" s="236"/>
      <c r="D4901" s="236"/>
    </row>
    <row r="4902" spans="2:4" ht="12.75" customHeight="1" x14ac:dyDescent="0.2">
      <c r="B4902" s="236"/>
      <c r="C4902" s="236"/>
      <c r="D4902" s="236"/>
    </row>
    <row r="4903" spans="2:4" ht="12.75" customHeight="1" x14ac:dyDescent="0.2">
      <c r="B4903" s="236"/>
      <c r="C4903" s="236"/>
      <c r="D4903" s="236"/>
    </row>
    <row r="4904" spans="2:4" ht="12.75" customHeight="1" x14ac:dyDescent="0.2">
      <c r="B4904" s="236"/>
      <c r="C4904" s="236"/>
      <c r="D4904" s="236"/>
    </row>
    <row r="4905" spans="2:4" ht="12.75" customHeight="1" x14ac:dyDescent="0.2">
      <c r="B4905" s="236"/>
      <c r="C4905" s="236"/>
      <c r="D4905" s="236"/>
    </row>
    <row r="4906" spans="2:4" ht="12.75" customHeight="1" x14ac:dyDescent="0.2">
      <c r="B4906" s="236"/>
      <c r="C4906" s="236"/>
      <c r="D4906" s="236"/>
    </row>
    <row r="4907" spans="2:4" ht="12.75" customHeight="1" x14ac:dyDescent="0.2">
      <c r="B4907" s="236"/>
      <c r="C4907" s="236"/>
      <c r="D4907" s="236"/>
    </row>
    <row r="4908" spans="2:4" ht="12.75" customHeight="1" x14ac:dyDescent="0.2">
      <c r="B4908" s="236"/>
      <c r="C4908" s="236"/>
      <c r="D4908" s="236"/>
    </row>
    <row r="4909" spans="2:4" ht="12.75" customHeight="1" x14ac:dyDescent="0.2">
      <c r="B4909" s="236"/>
      <c r="C4909" s="236"/>
      <c r="D4909" s="236"/>
    </row>
    <row r="4910" spans="2:4" ht="12.75" customHeight="1" x14ac:dyDescent="0.2">
      <c r="B4910" s="236"/>
      <c r="C4910" s="236"/>
      <c r="D4910" s="236"/>
    </row>
    <row r="4911" spans="2:4" x14ac:dyDescent="0.2">
      <c r="B4911" s="236"/>
      <c r="C4911" s="236"/>
      <c r="D4911" s="236"/>
    </row>
    <row r="4912" spans="2:4" ht="12.75" customHeight="1" x14ac:dyDescent="0.2">
      <c r="B4912" s="236"/>
      <c r="C4912" s="236"/>
      <c r="D4912" s="236"/>
    </row>
    <row r="4913" spans="2:4" ht="12.75" customHeight="1" x14ac:dyDescent="0.2">
      <c r="B4913" s="236"/>
      <c r="C4913" s="236"/>
      <c r="D4913" s="236"/>
    </row>
    <row r="4914" spans="2:4" ht="12.75" customHeight="1" x14ac:dyDescent="0.2">
      <c r="B4914" s="236"/>
      <c r="C4914" s="236"/>
      <c r="D4914" s="236"/>
    </row>
    <row r="4915" spans="2:4" ht="12.75" customHeight="1" x14ac:dyDescent="0.2">
      <c r="B4915" s="236"/>
      <c r="C4915" s="236"/>
      <c r="D4915" s="236"/>
    </row>
    <row r="4916" spans="2:4" x14ac:dyDescent="0.2">
      <c r="B4916" s="236"/>
      <c r="C4916" s="236"/>
      <c r="D4916" s="236"/>
    </row>
    <row r="4917" spans="2:4" ht="12.75" customHeight="1" x14ac:dyDescent="0.2">
      <c r="B4917" s="236"/>
      <c r="C4917" s="236"/>
      <c r="D4917" s="236"/>
    </row>
    <row r="4918" spans="2:4" ht="12.75" customHeight="1" x14ac:dyDescent="0.2">
      <c r="B4918" s="236"/>
      <c r="C4918" s="236"/>
      <c r="D4918" s="236"/>
    </row>
    <row r="4919" spans="2:4" ht="12.75" customHeight="1" x14ac:dyDescent="0.2">
      <c r="B4919" s="236"/>
      <c r="C4919" s="236"/>
      <c r="D4919" s="236"/>
    </row>
    <row r="4920" spans="2:4" ht="12.75" customHeight="1" x14ac:dyDescent="0.2">
      <c r="B4920" s="236"/>
      <c r="C4920" s="236"/>
      <c r="D4920" s="236"/>
    </row>
    <row r="4921" spans="2:4" x14ac:dyDescent="0.2">
      <c r="B4921" s="236"/>
      <c r="C4921" s="236"/>
      <c r="D4921" s="236"/>
    </row>
    <row r="4922" spans="2:4" ht="12.75" customHeight="1" x14ac:dyDescent="0.2">
      <c r="B4922" s="236"/>
      <c r="C4922" s="236"/>
      <c r="D4922" s="236"/>
    </row>
    <row r="4923" spans="2:4" ht="12.75" customHeight="1" x14ac:dyDescent="0.2">
      <c r="B4923" s="236"/>
      <c r="C4923" s="236"/>
      <c r="D4923" s="236"/>
    </row>
    <row r="4924" spans="2:4" ht="12.75" customHeight="1" x14ac:dyDescent="0.2">
      <c r="B4924" s="236"/>
      <c r="C4924" s="236"/>
      <c r="D4924" s="236"/>
    </row>
    <row r="4925" spans="2:4" ht="12.75" customHeight="1" x14ac:dyDescent="0.2">
      <c r="B4925" s="236"/>
      <c r="C4925" s="236"/>
      <c r="D4925" s="236"/>
    </row>
    <row r="4926" spans="2:4" x14ac:dyDescent="0.2">
      <c r="B4926" s="236"/>
      <c r="C4926" s="236"/>
      <c r="D4926" s="236"/>
    </row>
    <row r="4927" spans="2:4" ht="12.75" customHeight="1" x14ac:dyDescent="0.2">
      <c r="B4927" s="236"/>
      <c r="C4927" s="236"/>
      <c r="D4927" s="236"/>
    </row>
    <row r="4928" spans="2:4" ht="12.75" customHeight="1" x14ac:dyDescent="0.2">
      <c r="B4928" s="236"/>
      <c r="C4928" s="236"/>
      <c r="D4928" s="236"/>
    </row>
    <row r="4929" spans="2:4" x14ac:dyDescent="0.2">
      <c r="B4929" s="236"/>
      <c r="C4929" s="236"/>
      <c r="D4929" s="236"/>
    </row>
    <row r="4930" spans="2:4" ht="12.75" customHeight="1" x14ac:dyDescent="0.2">
      <c r="B4930" s="236"/>
      <c r="C4930" s="236"/>
      <c r="D4930" s="236"/>
    </row>
    <row r="4931" spans="2:4" ht="12.75" customHeight="1" x14ac:dyDescent="0.2">
      <c r="B4931" s="236"/>
      <c r="C4931" s="236"/>
      <c r="D4931" s="236"/>
    </row>
    <row r="4932" spans="2:4" ht="12.75" customHeight="1" x14ac:dyDescent="0.2">
      <c r="B4932" s="236"/>
      <c r="C4932" s="236"/>
      <c r="D4932" s="236"/>
    </row>
    <row r="4933" spans="2:4" ht="12.75" customHeight="1" x14ac:dyDescent="0.2">
      <c r="B4933" s="236"/>
      <c r="C4933" s="236"/>
      <c r="D4933" s="236"/>
    </row>
    <row r="4934" spans="2:4" x14ac:dyDescent="0.2">
      <c r="B4934" s="236"/>
      <c r="C4934" s="236"/>
      <c r="D4934" s="236"/>
    </row>
    <row r="4935" spans="2:4" ht="12.75" customHeight="1" x14ac:dyDescent="0.2">
      <c r="B4935" s="236"/>
      <c r="C4935" s="236"/>
      <c r="D4935" s="236"/>
    </row>
    <row r="4936" spans="2:4" ht="12.75" customHeight="1" x14ac:dyDescent="0.2">
      <c r="B4936" s="236"/>
      <c r="C4936" s="236"/>
      <c r="D4936" s="236"/>
    </row>
    <row r="4937" spans="2:4" ht="12.75" customHeight="1" x14ac:dyDescent="0.2">
      <c r="B4937" s="236"/>
      <c r="C4937" s="236"/>
      <c r="D4937" s="236"/>
    </row>
    <row r="4938" spans="2:4" ht="12.75" customHeight="1" x14ac:dyDescent="0.2">
      <c r="B4938" s="236"/>
      <c r="C4938" s="236"/>
      <c r="D4938" s="236"/>
    </row>
    <row r="4939" spans="2:4" x14ac:dyDescent="0.2">
      <c r="B4939" s="236"/>
      <c r="C4939" s="236"/>
      <c r="D4939" s="236"/>
    </row>
    <row r="4940" spans="2:4" ht="12.75" customHeight="1" x14ac:dyDescent="0.2">
      <c r="B4940" s="236"/>
      <c r="C4940" s="236"/>
      <c r="D4940" s="236"/>
    </row>
    <row r="4941" spans="2:4" x14ac:dyDescent="0.2">
      <c r="B4941" s="236"/>
      <c r="C4941" s="236"/>
      <c r="D4941" s="236"/>
    </row>
    <row r="4942" spans="2:4" ht="12.75" customHeight="1" x14ac:dyDescent="0.2">
      <c r="B4942" s="236"/>
      <c r="C4942" s="236"/>
      <c r="D4942" s="236"/>
    </row>
    <row r="4943" spans="2:4" ht="12.75" customHeight="1" x14ac:dyDescent="0.2">
      <c r="B4943" s="236"/>
      <c r="C4943" s="236"/>
      <c r="D4943" s="236"/>
    </row>
    <row r="4944" spans="2:4" x14ac:dyDescent="0.2">
      <c r="B4944" s="236"/>
      <c r="C4944" s="236"/>
      <c r="D4944" s="236"/>
    </row>
    <row r="4945" spans="2:4" ht="12.75" customHeight="1" x14ac:dyDescent="0.2">
      <c r="B4945" s="236"/>
      <c r="C4945" s="236"/>
      <c r="D4945" s="236"/>
    </row>
    <row r="4946" spans="2:4" ht="12.75" customHeight="1" x14ac:dyDescent="0.2">
      <c r="B4946" s="236"/>
      <c r="C4946" s="236"/>
      <c r="D4946" s="236"/>
    </row>
    <row r="4947" spans="2:4" x14ac:dyDescent="0.2">
      <c r="B4947" s="236"/>
      <c r="C4947" s="236"/>
      <c r="D4947" s="236"/>
    </row>
    <row r="4948" spans="2:4" x14ac:dyDescent="0.2">
      <c r="B4948" s="236"/>
      <c r="C4948" s="236"/>
      <c r="D4948" s="236"/>
    </row>
    <row r="4949" spans="2:4" x14ac:dyDescent="0.2">
      <c r="B4949" s="236"/>
      <c r="C4949" s="236"/>
      <c r="D4949" s="236"/>
    </row>
    <row r="4950" spans="2:4" ht="12.75" customHeight="1" x14ac:dyDescent="0.2">
      <c r="B4950" s="236"/>
      <c r="C4950" s="236"/>
      <c r="D4950" s="236"/>
    </row>
    <row r="4951" spans="2:4" x14ac:dyDescent="0.2">
      <c r="B4951" s="236"/>
      <c r="C4951" s="236"/>
      <c r="D4951" s="236"/>
    </row>
    <row r="4952" spans="2:4" x14ac:dyDescent="0.2">
      <c r="B4952" s="236"/>
      <c r="C4952" s="236"/>
      <c r="D4952" s="236"/>
    </row>
    <row r="4953" spans="2:4" ht="12.75" customHeight="1" x14ac:dyDescent="0.2">
      <c r="B4953" s="236"/>
      <c r="C4953" s="236"/>
      <c r="D4953" s="236"/>
    </row>
    <row r="4954" spans="2:4" ht="12.75" customHeight="1" x14ac:dyDescent="0.2">
      <c r="B4954" s="236"/>
      <c r="C4954" s="236"/>
      <c r="D4954" s="236"/>
    </row>
    <row r="4955" spans="2:4" ht="12.75" customHeight="1" x14ac:dyDescent="0.2">
      <c r="B4955" s="236"/>
      <c r="C4955" s="236"/>
      <c r="D4955" s="236"/>
    </row>
    <row r="4956" spans="2:4" ht="12.75" customHeight="1" x14ac:dyDescent="0.2">
      <c r="B4956" s="236"/>
      <c r="C4956" s="236"/>
      <c r="D4956" s="236"/>
    </row>
    <row r="4957" spans="2:4" ht="12.75" customHeight="1" x14ac:dyDescent="0.2">
      <c r="B4957" s="236"/>
      <c r="C4957" s="236"/>
      <c r="D4957" s="236"/>
    </row>
    <row r="4958" spans="2:4" ht="12.75" customHeight="1" x14ac:dyDescent="0.2">
      <c r="B4958" s="236"/>
      <c r="C4958" s="236"/>
      <c r="D4958" s="236"/>
    </row>
    <row r="4959" spans="2:4" ht="12.75" customHeight="1" x14ac:dyDescent="0.2">
      <c r="B4959" s="236"/>
      <c r="C4959" s="236"/>
      <c r="D4959" s="236"/>
    </row>
    <row r="4960" spans="2:4" ht="12.75" customHeight="1" x14ac:dyDescent="0.2">
      <c r="B4960" s="236"/>
      <c r="C4960" s="236"/>
      <c r="D4960" s="236"/>
    </row>
    <row r="4961" spans="2:4" ht="12.75" customHeight="1" x14ac:dyDescent="0.2">
      <c r="B4961" s="236"/>
      <c r="C4961" s="236"/>
      <c r="D4961" s="236"/>
    </row>
    <row r="4962" spans="2:4" ht="12.75" customHeight="1" x14ac:dyDescent="0.2">
      <c r="B4962" s="236"/>
      <c r="C4962" s="236"/>
      <c r="D4962" s="236"/>
    </row>
    <row r="4963" spans="2:4" ht="12.75" customHeight="1" x14ac:dyDescent="0.2">
      <c r="B4963" s="236"/>
      <c r="C4963" s="236"/>
      <c r="D4963" s="236"/>
    </row>
    <row r="4964" spans="2:4" ht="12.75" customHeight="1" x14ac:dyDescent="0.2">
      <c r="B4964" s="236"/>
      <c r="C4964" s="236"/>
      <c r="D4964" s="236"/>
    </row>
    <row r="4965" spans="2:4" ht="12.75" customHeight="1" x14ac:dyDescent="0.2">
      <c r="B4965" s="236"/>
      <c r="C4965" s="236"/>
      <c r="D4965" s="236"/>
    </row>
    <row r="4966" spans="2:4" ht="12.75" customHeight="1" x14ac:dyDescent="0.2">
      <c r="B4966" s="236"/>
      <c r="C4966" s="236"/>
      <c r="D4966" s="236"/>
    </row>
    <row r="4967" spans="2:4" ht="12.75" customHeight="1" x14ac:dyDescent="0.2">
      <c r="B4967" s="236"/>
      <c r="C4967" s="236"/>
      <c r="D4967" s="236"/>
    </row>
    <row r="4968" spans="2:4" ht="12.75" customHeight="1" x14ac:dyDescent="0.2">
      <c r="B4968" s="236"/>
      <c r="C4968" s="236"/>
      <c r="D4968" s="236"/>
    </row>
    <row r="4969" spans="2:4" ht="12.75" customHeight="1" x14ac:dyDescent="0.2">
      <c r="B4969" s="236"/>
      <c r="C4969" s="236"/>
      <c r="D4969" s="236"/>
    </row>
    <row r="4970" spans="2:4" ht="12.75" customHeight="1" x14ac:dyDescent="0.2">
      <c r="B4970" s="236"/>
      <c r="C4970" s="236"/>
      <c r="D4970" s="236"/>
    </row>
    <row r="4971" spans="2:4" ht="12.75" customHeight="1" x14ac:dyDescent="0.2">
      <c r="B4971" s="236"/>
      <c r="C4971" s="236"/>
      <c r="D4971" s="236"/>
    </row>
    <row r="4972" spans="2:4" ht="12.75" customHeight="1" x14ac:dyDescent="0.2">
      <c r="B4972" s="236"/>
      <c r="C4972" s="236"/>
      <c r="D4972" s="236"/>
    </row>
    <row r="4973" spans="2:4" x14ac:dyDescent="0.2">
      <c r="B4973" s="236"/>
      <c r="C4973" s="236"/>
      <c r="D4973" s="236"/>
    </row>
    <row r="4974" spans="2:4" ht="12.75" customHeight="1" x14ac:dyDescent="0.2">
      <c r="B4974" s="236"/>
      <c r="C4974" s="236"/>
      <c r="D4974" s="236"/>
    </row>
    <row r="4975" spans="2:4" x14ac:dyDescent="0.2">
      <c r="B4975" s="236"/>
      <c r="C4975" s="236"/>
      <c r="D4975" s="236"/>
    </row>
    <row r="4976" spans="2:4" ht="12.75" customHeight="1" x14ac:dyDescent="0.2">
      <c r="B4976" s="236"/>
      <c r="C4976" s="236"/>
      <c r="D4976" s="236"/>
    </row>
    <row r="4977" spans="2:4" ht="12.75" customHeight="1" x14ac:dyDescent="0.2">
      <c r="B4977" s="236"/>
      <c r="C4977" s="236"/>
      <c r="D4977" s="236"/>
    </row>
    <row r="4978" spans="2:4" x14ac:dyDescent="0.2">
      <c r="B4978" s="236"/>
      <c r="C4978" s="236"/>
      <c r="D4978" s="236"/>
    </row>
    <row r="4979" spans="2:4" ht="12.75" customHeight="1" x14ac:dyDescent="0.2">
      <c r="B4979" s="236"/>
      <c r="C4979" s="236"/>
      <c r="D4979" s="236"/>
    </row>
    <row r="4980" spans="2:4" x14ac:dyDescent="0.2">
      <c r="B4980" s="236"/>
      <c r="C4980" s="236"/>
      <c r="D4980" s="236"/>
    </row>
    <row r="4981" spans="2:4" ht="12.75" customHeight="1" x14ac:dyDescent="0.2">
      <c r="B4981" s="236"/>
      <c r="C4981" s="236"/>
      <c r="D4981" s="236"/>
    </row>
    <row r="4982" spans="2:4" x14ac:dyDescent="0.2">
      <c r="B4982" s="236"/>
      <c r="C4982" s="236"/>
      <c r="D4982" s="236"/>
    </row>
    <row r="4983" spans="2:4" x14ac:dyDescent="0.2">
      <c r="B4983" s="236"/>
      <c r="C4983" s="236"/>
      <c r="D4983" s="236"/>
    </row>
    <row r="4984" spans="2:4" ht="12.75" customHeight="1" x14ac:dyDescent="0.2">
      <c r="B4984" s="236"/>
      <c r="C4984" s="236"/>
      <c r="D4984" s="236"/>
    </row>
    <row r="4985" spans="2:4" x14ac:dyDescent="0.2">
      <c r="B4985" s="236"/>
      <c r="C4985" s="236"/>
      <c r="D4985" s="236"/>
    </row>
    <row r="4986" spans="2:4" ht="12.75" customHeight="1" x14ac:dyDescent="0.2">
      <c r="B4986" s="236"/>
      <c r="C4986" s="236"/>
      <c r="D4986" s="236"/>
    </row>
    <row r="4987" spans="2:4" ht="12.75" customHeight="1" x14ac:dyDescent="0.2">
      <c r="B4987" s="236"/>
      <c r="C4987" s="236"/>
      <c r="D4987" s="236"/>
    </row>
    <row r="4988" spans="2:4" x14ac:dyDescent="0.2">
      <c r="B4988" s="236"/>
      <c r="C4988" s="236"/>
      <c r="D4988" s="236"/>
    </row>
    <row r="4989" spans="2:4" x14ac:dyDescent="0.2">
      <c r="B4989" s="236"/>
      <c r="C4989" s="236"/>
      <c r="D4989" s="236"/>
    </row>
    <row r="4990" spans="2:4" x14ac:dyDescent="0.2">
      <c r="B4990" s="236"/>
      <c r="C4990" s="236"/>
      <c r="D4990" s="236"/>
    </row>
    <row r="4991" spans="2:4" ht="12.75" customHeight="1" x14ac:dyDescent="0.2">
      <c r="B4991" s="236"/>
      <c r="C4991" s="236"/>
      <c r="D4991" s="236"/>
    </row>
    <row r="4992" spans="2:4" ht="12.75" customHeight="1" x14ac:dyDescent="0.2">
      <c r="B4992" s="236"/>
      <c r="C4992" s="236"/>
      <c r="D4992" s="236"/>
    </row>
    <row r="4993" spans="2:4" x14ac:dyDescent="0.2">
      <c r="B4993" s="236"/>
      <c r="C4993" s="236"/>
      <c r="D4993" s="236"/>
    </row>
    <row r="4994" spans="2:4" ht="12.75" customHeight="1" x14ac:dyDescent="0.2">
      <c r="B4994" s="236"/>
      <c r="C4994" s="236"/>
      <c r="D4994" s="236"/>
    </row>
    <row r="4995" spans="2:4" x14ac:dyDescent="0.2">
      <c r="B4995" s="236"/>
      <c r="C4995" s="236"/>
      <c r="D4995" s="236"/>
    </row>
    <row r="4996" spans="2:4" ht="12.75" customHeight="1" x14ac:dyDescent="0.2">
      <c r="B4996" s="236"/>
      <c r="C4996" s="236"/>
      <c r="D4996" s="236"/>
    </row>
    <row r="4997" spans="2:4" ht="12.75" customHeight="1" x14ac:dyDescent="0.2">
      <c r="B4997" s="236"/>
      <c r="C4997" s="236"/>
      <c r="D4997" s="236"/>
    </row>
    <row r="4998" spans="2:4" ht="12.75" customHeight="1" x14ac:dyDescent="0.2">
      <c r="B4998" s="236"/>
      <c r="C4998" s="236"/>
      <c r="D4998" s="236"/>
    </row>
    <row r="4999" spans="2:4" x14ac:dyDescent="0.2">
      <c r="B4999" s="236"/>
      <c r="C4999" s="236"/>
      <c r="D4999" s="236"/>
    </row>
    <row r="5000" spans="2:4" ht="12.75" customHeight="1" x14ac:dyDescent="0.2">
      <c r="B5000" s="236"/>
      <c r="C5000" s="236"/>
      <c r="D5000" s="236"/>
    </row>
    <row r="5001" spans="2:4" ht="12.75" customHeight="1" x14ac:dyDescent="0.2">
      <c r="B5001" s="236"/>
      <c r="C5001" s="236"/>
      <c r="D5001" s="236"/>
    </row>
    <row r="5002" spans="2:4" x14ac:dyDescent="0.2">
      <c r="B5002" s="236"/>
      <c r="C5002" s="236"/>
      <c r="D5002" s="236"/>
    </row>
    <row r="5003" spans="2:4" ht="12.75" customHeight="1" x14ac:dyDescent="0.2">
      <c r="B5003" s="236"/>
      <c r="C5003" s="236"/>
      <c r="D5003" s="236"/>
    </row>
    <row r="5004" spans="2:4" ht="12.75" customHeight="1" x14ac:dyDescent="0.2">
      <c r="B5004" s="236"/>
      <c r="C5004" s="236"/>
      <c r="D5004" s="236"/>
    </row>
    <row r="5005" spans="2:4" ht="12.75" customHeight="1" x14ac:dyDescent="0.2">
      <c r="B5005" s="236"/>
      <c r="C5005" s="236"/>
      <c r="D5005" s="236"/>
    </row>
    <row r="5006" spans="2:4" x14ac:dyDescent="0.2">
      <c r="B5006" s="236"/>
      <c r="C5006" s="236"/>
      <c r="D5006" s="236"/>
    </row>
    <row r="5007" spans="2:4" ht="12.75" customHeight="1" x14ac:dyDescent="0.2">
      <c r="B5007" s="236"/>
      <c r="C5007" s="236"/>
      <c r="D5007" s="236"/>
    </row>
    <row r="5008" spans="2:4" ht="12.75" customHeight="1" x14ac:dyDescent="0.2">
      <c r="B5008" s="236"/>
      <c r="C5008" s="236"/>
      <c r="D5008" s="236"/>
    </row>
    <row r="5009" spans="2:4" x14ac:dyDescent="0.2">
      <c r="B5009" s="236"/>
      <c r="C5009" s="236"/>
      <c r="D5009" s="236"/>
    </row>
    <row r="5010" spans="2:4" ht="12.75" customHeight="1" x14ac:dyDescent="0.2">
      <c r="B5010" s="236"/>
      <c r="C5010" s="236"/>
      <c r="D5010" s="236"/>
    </row>
    <row r="5011" spans="2:4" x14ac:dyDescent="0.2">
      <c r="B5011" s="236"/>
      <c r="C5011" s="236"/>
      <c r="D5011" s="236"/>
    </row>
    <row r="5012" spans="2:4" ht="12.75" customHeight="1" x14ac:dyDescent="0.2">
      <c r="B5012" s="236"/>
      <c r="C5012" s="236"/>
      <c r="D5012" s="236"/>
    </row>
    <row r="5013" spans="2:4" x14ac:dyDescent="0.2">
      <c r="B5013" s="236"/>
      <c r="C5013" s="236"/>
      <c r="D5013" s="236"/>
    </row>
    <row r="5014" spans="2:4" ht="12.75" customHeight="1" x14ac:dyDescent="0.2">
      <c r="B5014" s="236"/>
      <c r="C5014" s="236"/>
      <c r="D5014" s="236"/>
    </row>
    <row r="5015" spans="2:4" x14ac:dyDescent="0.2">
      <c r="B5015" s="236"/>
      <c r="C5015" s="236"/>
      <c r="D5015" s="236"/>
    </row>
    <row r="5016" spans="2:4" ht="12.75" customHeight="1" x14ac:dyDescent="0.2">
      <c r="B5016" s="236"/>
      <c r="C5016" s="236"/>
      <c r="D5016" s="236"/>
    </row>
    <row r="5017" spans="2:4" ht="12.75" customHeight="1" x14ac:dyDescent="0.2">
      <c r="B5017" s="236"/>
      <c r="C5017" s="236"/>
      <c r="D5017" s="236"/>
    </row>
    <row r="5018" spans="2:4" ht="12.75" customHeight="1" x14ac:dyDescent="0.2">
      <c r="B5018" s="236"/>
      <c r="C5018" s="236"/>
      <c r="D5018" s="236"/>
    </row>
    <row r="5019" spans="2:4" ht="12.75" customHeight="1" x14ac:dyDescent="0.2">
      <c r="B5019" s="236"/>
      <c r="C5019" s="236"/>
      <c r="D5019" s="236"/>
    </row>
    <row r="5020" spans="2:4" x14ac:dyDescent="0.2">
      <c r="B5020" s="236"/>
      <c r="C5020" s="236"/>
      <c r="D5020" s="236"/>
    </row>
    <row r="5021" spans="2:4" x14ac:dyDescent="0.2">
      <c r="B5021" s="236"/>
      <c r="C5021" s="236"/>
      <c r="D5021" s="236"/>
    </row>
    <row r="5022" spans="2:4" x14ac:dyDescent="0.2">
      <c r="B5022" s="236"/>
      <c r="C5022" s="236"/>
      <c r="D5022" s="236"/>
    </row>
    <row r="5023" spans="2:4" ht="12.75" customHeight="1" x14ac:dyDescent="0.2">
      <c r="B5023" s="236"/>
      <c r="C5023" s="236"/>
      <c r="D5023" s="236"/>
    </row>
    <row r="5024" spans="2:4" ht="12.75" customHeight="1" x14ac:dyDescent="0.2">
      <c r="B5024" s="236"/>
      <c r="C5024" s="236"/>
      <c r="D5024" s="236"/>
    </row>
    <row r="5025" spans="2:4" x14ac:dyDescent="0.2">
      <c r="B5025" s="236"/>
      <c r="C5025" s="236"/>
      <c r="D5025" s="236"/>
    </row>
    <row r="5026" spans="2:4" ht="12.75" customHeight="1" x14ac:dyDescent="0.2">
      <c r="B5026" s="236"/>
      <c r="C5026" s="236"/>
      <c r="D5026" s="236"/>
    </row>
    <row r="5027" spans="2:4" ht="12.75" customHeight="1" x14ac:dyDescent="0.2">
      <c r="B5027" s="236"/>
      <c r="C5027" s="236"/>
      <c r="D5027" s="236"/>
    </row>
    <row r="5028" spans="2:4" ht="12.75" customHeight="1" x14ac:dyDescent="0.2">
      <c r="B5028" s="236"/>
      <c r="C5028" s="236"/>
      <c r="D5028" s="236"/>
    </row>
    <row r="5029" spans="2:4" ht="12.75" customHeight="1" x14ac:dyDescent="0.2">
      <c r="B5029" s="236"/>
      <c r="C5029" s="236"/>
      <c r="D5029" s="236"/>
    </row>
    <row r="5030" spans="2:4" ht="12.75" customHeight="1" x14ac:dyDescent="0.2">
      <c r="B5030" s="236"/>
      <c r="C5030" s="236"/>
      <c r="D5030" s="236"/>
    </row>
    <row r="5031" spans="2:4" x14ac:dyDescent="0.2">
      <c r="B5031" s="236"/>
      <c r="C5031" s="236"/>
      <c r="D5031" s="236"/>
    </row>
    <row r="5032" spans="2:4" ht="12.75" customHeight="1" x14ac:dyDescent="0.2">
      <c r="B5032" s="236"/>
      <c r="C5032" s="236"/>
      <c r="D5032" s="236"/>
    </row>
    <row r="5033" spans="2:4" x14ac:dyDescent="0.2">
      <c r="B5033" s="236"/>
      <c r="C5033" s="236"/>
      <c r="D5033" s="236"/>
    </row>
    <row r="5034" spans="2:4" ht="12.75" customHeight="1" x14ac:dyDescent="0.2">
      <c r="B5034" s="236"/>
      <c r="C5034" s="236"/>
      <c r="D5034" s="236"/>
    </row>
    <row r="5035" spans="2:4" ht="12.75" customHeight="1" x14ac:dyDescent="0.2">
      <c r="B5035" s="236"/>
      <c r="C5035" s="236"/>
      <c r="D5035" s="236"/>
    </row>
    <row r="5036" spans="2:4" ht="12.75" customHeight="1" x14ac:dyDescent="0.2">
      <c r="B5036" s="236"/>
      <c r="C5036" s="236"/>
      <c r="D5036" s="236"/>
    </row>
    <row r="5037" spans="2:4" x14ac:dyDescent="0.2">
      <c r="B5037" s="236"/>
      <c r="C5037" s="236"/>
      <c r="D5037" s="236"/>
    </row>
    <row r="5038" spans="2:4" ht="12.75" customHeight="1" x14ac:dyDescent="0.2">
      <c r="B5038" s="236"/>
      <c r="C5038" s="236"/>
      <c r="D5038" s="236"/>
    </row>
    <row r="5039" spans="2:4" x14ac:dyDescent="0.2">
      <c r="B5039" s="236"/>
      <c r="C5039" s="236"/>
      <c r="D5039" s="236"/>
    </row>
    <row r="5040" spans="2:4" x14ac:dyDescent="0.2">
      <c r="B5040" s="236"/>
      <c r="C5040" s="236"/>
      <c r="D5040" s="236"/>
    </row>
    <row r="5041" spans="2:4" ht="12.75" customHeight="1" x14ac:dyDescent="0.2">
      <c r="B5041" s="236"/>
      <c r="C5041" s="236"/>
      <c r="D5041" s="236"/>
    </row>
    <row r="5042" spans="2:4" ht="12.75" customHeight="1" x14ac:dyDescent="0.2">
      <c r="B5042" s="236"/>
      <c r="C5042" s="236"/>
      <c r="D5042" s="236"/>
    </row>
    <row r="5043" spans="2:4" x14ac:dyDescent="0.2">
      <c r="B5043" s="236"/>
      <c r="C5043" s="236"/>
      <c r="D5043" s="236"/>
    </row>
    <row r="5044" spans="2:4" ht="12.75" customHeight="1" x14ac:dyDescent="0.2">
      <c r="B5044" s="236"/>
      <c r="C5044" s="236"/>
      <c r="D5044" s="236"/>
    </row>
    <row r="5045" spans="2:4" x14ac:dyDescent="0.2">
      <c r="B5045" s="236"/>
      <c r="C5045" s="236"/>
      <c r="D5045" s="236"/>
    </row>
    <row r="5046" spans="2:4" x14ac:dyDescent="0.2">
      <c r="B5046" s="236"/>
      <c r="C5046" s="236"/>
      <c r="D5046" s="236"/>
    </row>
    <row r="5047" spans="2:4" ht="12.75" customHeight="1" x14ac:dyDescent="0.2">
      <c r="B5047" s="236"/>
      <c r="C5047" s="236"/>
      <c r="D5047" s="236"/>
    </row>
    <row r="5048" spans="2:4" x14ac:dyDescent="0.2">
      <c r="B5048" s="236"/>
      <c r="C5048" s="236"/>
      <c r="D5048" s="236"/>
    </row>
    <row r="5049" spans="2:4" ht="12.75" customHeight="1" x14ac:dyDescent="0.2">
      <c r="B5049" s="236"/>
      <c r="C5049" s="236"/>
      <c r="D5049" s="236"/>
    </row>
    <row r="5050" spans="2:4" x14ac:dyDescent="0.2">
      <c r="B5050" s="236"/>
      <c r="C5050" s="236"/>
      <c r="D5050" s="236"/>
    </row>
    <row r="5051" spans="2:4" x14ac:dyDescent="0.2">
      <c r="B5051" s="236"/>
      <c r="C5051" s="236"/>
      <c r="D5051" s="236"/>
    </row>
    <row r="5052" spans="2:4" ht="12.75" customHeight="1" x14ac:dyDescent="0.2">
      <c r="B5052" s="236"/>
      <c r="C5052" s="236"/>
      <c r="D5052" s="236"/>
    </row>
    <row r="5053" spans="2:4" ht="12.75" customHeight="1" x14ac:dyDescent="0.2">
      <c r="B5053" s="236"/>
      <c r="C5053" s="236"/>
      <c r="D5053" s="236"/>
    </row>
    <row r="5054" spans="2:4" ht="12.75" customHeight="1" x14ac:dyDescent="0.2">
      <c r="B5054" s="236"/>
      <c r="C5054" s="236"/>
      <c r="D5054" s="236"/>
    </row>
    <row r="5055" spans="2:4" x14ac:dyDescent="0.2">
      <c r="B5055" s="236"/>
      <c r="C5055" s="236"/>
      <c r="D5055" s="236"/>
    </row>
    <row r="5056" spans="2:4" ht="12.75" customHeight="1" x14ac:dyDescent="0.2">
      <c r="B5056" s="236"/>
      <c r="C5056" s="236"/>
      <c r="D5056" s="236"/>
    </row>
    <row r="5057" spans="2:4" x14ac:dyDescent="0.2">
      <c r="B5057" s="236"/>
      <c r="C5057" s="236"/>
      <c r="D5057" s="236"/>
    </row>
    <row r="5058" spans="2:4" ht="12.75" customHeight="1" x14ac:dyDescent="0.2">
      <c r="B5058" s="236"/>
      <c r="C5058" s="236"/>
      <c r="D5058" s="236"/>
    </row>
    <row r="5059" spans="2:4" ht="12.75" customHeight="1" x14ac:dyDescent="0.2">
      <c r="B5059" s="236"/>
      <c r="C5059" s="236"/>
      <c r="D5059" s="236"/>
    </row>
    <row r="5060" spans="2:4" x14ac:dyDescent="0.2">
      <c r="B5060" s="236"/>
      <c r="C5060" s="236"/>
      <c r="D5060" s="236"/>
    </row>
    <row r="5061" spans="2:4" ht="12.75" customHeight="1" x14ac:dyDescent="0.2">
      <c r="B5061" s="236"/>
      <c r="C5061" s="236"/>
      <c r="D5061" s="236"/>
    </row>
    <row r="5062" spans="2:4" ht="12.75" customHeight="1" x14ac:dyDescent="0.2">
      <c r="B5062" s="236"/>
      <c r="C5062" s="236"/>
      <c r="D5062" s="236"/>
    </row>
    <row r="5063" spans="2:4" ht="12.75" customHeight="1" x14ac:dyDescent="0.2">
      <c r="B5063" s="236"/>
      <c r="C5063" s="236"/>
      <c r="D5063" s="236"/>
    </row>
    <row r="5064" spans="2:4" ht="12.75" customHeight="1" x14ac:dyDescent="0.2">
      <c r="B5064" s="236"/>
      <c r="C5064" s="236"/>
      <c r="D5064" s="236"/>
    </row>
    <row r="5065" spans="2:4" ht="12.75" customHeight="1" x14ac:dyDescent="0.2">
      <c r="B5065" s="236"/>
      <c r="C5065" s="236"/>
      <c r="D5065" s="236"/>
    </row>
    <row r="5066" spans="2:4" x14ac:dyDescent="0.2">
      <c r="B5066" s="236"/>
      <c r="C5066" s="236"/>
      <c r="D5066" s="236"/>
    </row>
    <row r="5067" spans="2:4" ht="12.75" customHeight="1" x14ac:dyDescent="0.2">
      <c r="B5067" s="236"/>
      <c r="C5067" s="236"/>
      <c r="D5067" s="236"/>
    </row>
    <row r="5068" spans="2:4" x14ac:dyDescent="0.2">
      <c r="B5068" s="236"/>
      <c r="C5068" s="236"/>
      <c r="D5068" s="236"/>
    </row>
    <row r="5069" spans="2:4" ht="12.75" customHeight="1" x14ac:dyDescent="0.2">
      <c r="B5069" s="236"/>
      <c r="C5069" s="236"/>
      <c r="D5069" s="236"/>
    </row>
    <row r="5070" spans="2:4" ht="12.75" customHeight="1" x14ac:dyDescent="0.2">
      <c r="B5070" s="236"/>
      <c r="C5070" s="236"/>
      <c r="D5070" s="236"/>
    </row>
    <row r="5071" spans="2:4" ht="12.75" customHeight="1" x14ac:dyDescent="0.2">
      <c r="B5071" s="236"/>
      <c r="C5071" s="236"/>
      <c r="D5071" s="236"/>
    </row>
    <row r="5072" spans="2:4" ht="12.75" customHeight="1" x14ac:dyDescent="0.2">
      <c r="B5072" s="236"/>
      <c r="C5072" s="236"/>
      <c r="D5072" s="236"/>
    </row>
    <row r="5073" spans="2:4" x14ac:dyDescent="0.2">
      <c r="B5073" s="236"/>
      <c r="C5073" s="236"/>
      <c r="D5073" s="236"/>
    </row>
    <row r="5074" spans="2:4" ht="12.75" customHeight="1" x14ac:dyDescent="0.2">
      <c r="B5074" s="236"/>
      <c r="C5074" s="236"/>
      <c r="D5074" s="236"/>
    </row>
    <row r="5075" spans="2:4" ht="12.75" customHeight="1" x14ac:dyDescent="0.2">
      <c r="B5075" s="236"/>
      <c r="C5075" s="236"/>
      <c r="D5075" s="236"/>
    </row>
    <row r="5076" spans="2:4" x14ac:dyDescent="0.2">
      <c r="B5076" s="236"/>
      <c r="C5076" s="236"/>
      <c r="D5076" s="236"/>
    </row>
    <row r="5077" spans="2:4" ht="12.75" customHeight="1" x14ac:dyDescent="0.2">
      <c r="B5077" s="236"/>
      <c r="C5077" s="236"/>
      <c r="D5077" s="236"/>
    </row>
    <row r="5078" spans="2:4" x14ac:dyDescent="0.2">
      <c r="B5078" s="236"/>
      <c r="C5078" s="236"/>
      <c r="D5078" s="236"/>
    </row>
    <row r="5079" spans="2:4" x14ac:dyDescent="0.2">
      <c r="B5079" s="236"/>
      <c r="C5079" s="236"/>
      <c r="D5079" s="236"/>
    </row>
    <row r="5080" spans="2:4" ht="12.75" customHeight="1" x14ac:dyDescent="0.2">
      <c r="B5080" s="236"/>
      <c r="C5080" s="236"/>
      <c r="D5080" s="236"/>
    </row>
    <row r="5081" spans="2:4" x14ac:dyDescent="0.2">
      <c r="B5081" s="236"/>
      <c r="C5081" s="236"/>
      <c r="D5081" s="236"/>
    </row>
    <row r="5082" spans="2:4" ht="12.75" customHeight="1" x14ac:dyDescent="0.2">
      <c r="B5082" s="236"/>
      <c r="C5082" s="236"/>
      <c r="D5082" s="236"/>
    </row>
    <row r="5083" spans="2:4" ht="12.75" customHeight="1" x14ac:dyDescent="0.2">
      <c r="B5083" s="236"/>
      <c r="C5083" s="236"/>
      <c r="D5083" s="236"/>
    </row>
    <row r="5084" spans="2:4" x14ac:dyDescent="0.2">
      <c r="B5084" s="236"/>
      <c r="C5084" s="236"/>
      <c r="D5084" s="236"/>
    </row>
    <row r="5085" spans="2:4" ht="12.75" customHeight="1" x14ac:dyDescent="0.2">
      <c r="B5085" s="236"/>
      <c r="C5085" s="236"/>
      <c r="D5085" s="236"/>
    </row>
    <row r="5086" spans="2:4" ht="12.75" customHeight="1" x14ac:dyDescent="0.2">
      <c r="B5086" s="236"/>
      <c r="C5086" s="236"/>
      <c r="D5086" s="236"/>
    </row>
    <row r="5087" spans="2:4" x14ac:dyDescent="0.2">
      <c r="B5087" s="236"/>
      <c r="C5087" s="236"/>
      <c r="D5087" s="236"/>
    </row>
    <row r="5088" spans="2:4" ht="12.75" customHeight="1" x14ac:dyDescent="0.2">
      <c r="B5088" s="236"/>
      <c r="C5088" s="236"/>
      <c r="D5088" s="236"/>
    </row>
    <row r="5089" spans="2:4" x14ac:dyDescent="0.2">
      <c r="B5089" s="236"/>
      <c r="C5089" s="236"/>
      <c r="D5089" s="236"/>
    </row>
    <row r="5090" spans="2:4" x14ac:dyDescent="0.2">
      <c r="B5090" s="236"/>
      <c r="C5090" s="236"/>
      <c r="D5090" s="236"/>
    </row>
    <row r="5091" spans="2:4" ht="12.75" customHeight="1" x14ac:dyDescent="0.2">
      <c r="B5091" s="236"/>
      <c r="C5091" s="236"/>
      <c r="D5091" s="236"/>
    </row>
    <row r="5092" spans="2:4" ht="12.75" customHeight="1" x14ac:dyDescent="0.2">
      <c r="B5092" s="236"/>
      <c r="C5092" s="236"/>
      <c r="D5092" s="236"/>
    </row>
    <row r="5093" spans="2:4" ht="12.75" customHeight="1" x14ac:dyDescent="0.2">
      <c r="B5093" s="236"/>
      <c r="C5093" s="236"/>
      <c r="D5093" s="236"/>
    </row>
    <row r="5094" spans="2:4" ht="12.75" customHeight="1" x14ac:dyDescent="0.2">
      <c r="B5094" s="236"/>
      <c r="C5094" s="236"/>
      <c r="D5094" s="236"/>
    </row>
    <row r="5095" spans="2:4" x14ac:dyDescent="0.2">
      <c r="B5095" s="236"/>
      <c r="C5095" s="236"/>
      <c r="D5095" s="236"/>
    </row>
    <row r="5096" spans="2:4" ht="12.75" customHeight="1" x14ac:dyDescent="0.2">
      <c r="B5096" s="236"/>
      <c r="C5096" s="236"/>
      <c r="D5096" s="236"/>
    </row>
    <row r="5097" spans="2:4" ht="12.75" customHeight="1" x14ac:dyDescent="0.2">
      <c r="B5097" s="236"/>
      <c r="C5097" s="236"/>
      <c r="D5097" s="236"/>
    </row>
    <row r="5098" spans="2:4" ht="12.75" customHeight="1" x14ac:dyDescent="0.2">
      <c r="B5098" s="236"/>
      <c r="C5098" s="236"/>
      <c r="D5098" s="236"/>
    </row>
    <row r="5099" spans="2:4" ht="12.75" customHeight="1" x14ac:dyDescent="0.2">
      <c r="B5099" s="236"/>
      <c r="C5099" s="236"/>
      <c r="D5099" s="236"/>
    </row>
    <row r="5100" spans="2:4" x14ac:dyDescent="0.2">
      <c r="B5100" s="236"/>
      <c r="C5100" s="236"/>
      <c r="D5100" s="236"/>
    </row>
    <row r="5101" spans="2:4" ht="12.75" customHeight="1" x14ac:dyDescent="0.2">
      <c r="B5101" s="236"/>
      <c r="C5101" s="236"/>
      <c r="D5101" s="236"/>
    </row>
    <row r="5102" spans="2:4" x14ac:dyDescent="0.2">
      <c r="B5102" s="236"/>
      <c r="C5102" s="236"/>
      <c r="D5102" s="236"/>
    </row>
    <row r="5103" spans="2:4" ht="12.75" customHeight="1" x14ac:dyDescent="0.2">
      <c r="B5103" s="236"/>
      <c r="C5103" s="236"/>
      <c r="D5103" s="236"/>
    </row>
    <row r="5104" spans="2:4" x14ac:dyDescent="0.2">
      <c r="B5104" s="236"/>
      <c r="C5104" s="236"/>
      <c r="D5104" s="236"/>
    </row>
    <row r="5105" spans="2:4" ht="12.75" customHeight="1" x14ac:dyDescent="0.2">
      <c r="B5105" s="236"/>
      <c r="C5105" s="236"/>
      <c r="D5105" s="236"/>
    </row>
    <row r="5106" spans="2:4" ht="12.75" customHeight="1" x14ac:dyDescent="0.2">
      <c r="B5106" s="236"/>
      <c r="C5106" s="236"/>
      <c r="D5106" s="236"/>
    </row>
    <row r="5107" spans="2:4" x14ac:dyDescent="0.2">
      <c r="B5107" s="236"/>
      <c r="C5107" s="236"/>
      <c r="D5107" s="236"/>
    </row>
    <row r="5108" spans="2:4" ht="12.75" customHeight="1" x14ac:dyDescent="0.2">
      <c r="B5108" s="236"/>
      <c r="C5108" s="236"/>
      <c r="D5108" s="236"/>
    </row>
    <row r="5109" spans="2:4" ht="12.75" customHeight="1" x14ac:dyDescent="0.2">
      <c r="B5109" s="236"/>
      <c r="C5109" s="236"/>
      <c r="D5109" s="236"/>
    </row>
    <row r="5110" spans="2:4" ht="12.75" customHeight="1" x14ac:dyDescent="0.2">
      <c r="B5110" s="236"/>
      <c r="C5110" s="236"/>
      <c r="D5110" s="236"/>
    </row>
    <row r="5111" spans="2:4" ht="12.75" customHeight="1" x14ac:dyDescent="0.2">
      <c r="B5111" s="236"/>
      <c r="C5111" s="236"/>
      <c r="D5111" s="236"/>
    </row>
    <row r="5112" spans="2:4" ht="12.75" customHeight="1" x14ac:dyDescent="0.2">
      <c r="B5112" s="236"/>
      <c r="C5112" s="236"/>
      <c r="D5112" s="236"/>
    </row>
    <row r="5113" spans="2:4" ht="12.75" customHeight="1" x14ac:dyDescent="0.2">
      <c r="B5113" s="236"/>
      <c r="C5113" s="236"/>
      <c r="D5113" s="236"/>
    </row>
    <row r="5114" spans="2:4" x14ac:dyDescent="0.2">
      <c r="B5114" s="236"/>
      <c r="C5114" s="236"/>
      <c r="D5114" s="236"/>
    </row>
    <row r="5115" spans="2:4" x14ac:dyDescent="0.2">
      <c r="B5115" s="236"/>
      <c r="C5115" s="236"/>
      <c r="D5115" s="236"/>
    </row>
    <row r="5116" spans="2:4" ht="12.75" customHeight="1" x14ac:dyDescent="0.2">
      <c r="B5116" s="236"/>
      <c r="C5116" s="236"/>
      <c r="D5116" s="236"/>
    </row>
    <row r="5117" spans="2:4" ht="12.75" customHeight="1" x14ac:dyDescent="0.2">
      <c r="B5117" s="236"/>
      <c r="C5117" s="236"/>
      <c r="D5117" s="236"/>
    </row>
    <row r="5118" spans="2:4" ht="12.75" customHeight="1" x14ac:dyDescent="0.2">
      <c r="B5118" s="236"/>
      <c r="C5118" s="236"/>
      <c r="D5118" s="236"/>
    </row>
    <row r="5119" spans="2:4" x14ac:dyDescent="0.2">
      <c r="B5119" s="236"/>
      <c r="C5119" s="236"/>
      <c r="D5119" s="236"/>
    </row>
    <row r="5120" spans="2:4" ht="12.75" customHeight="1" x14ac:dyDescent="0.2">
      <c r="B5120" s="236"/>
      <c r="C5120" s="236"/>
      <c r="D5120" s="236"/>
    </row>
    <row r="5121" spans="2:4" ht="12.75" customHeight="1" x14ac:dyDescent="0.2">
      <c r="B5121" s="236"/>
      <c r="C5121" s="236"/>
      <c r="D5121" s="236"/>
    </row>
    <row r="5122" spans="2:4" ht="12.75" customHeight="1" x14ac:dyDescent="0.2">
      <c r="B5122" s="236"/>
      <c r="C5122" s="236"/>
      <c r="D5122" s="236"/>
    </row>
    <row r="5123" spans="2:4" x14ac:dyDescent="0.2">
      <c r="B5123" s="236"/>
      <c r="C5123" s="236"/>
      <c r="D5123" s="236"/>
    </row>
    <row r="5124" spans="2:4" ht="12.75" customHeight="1" x14ac:dyDescent="0.2">
      <c r="B5124" s="236"/>
      <c r="C5124" s="236"/>
      <c r="D5124" s="236"/>
    </row>
    <row r="5125" spans="2:4" ht="12.75" customHeight="1" x14ac:dyDescent="0.2">
      <c r="B5125" s="236"/>
      <c r="C5125" s="236"/>
      <c r="D5125" s="236"/>
    </row>
    <row r="5126" spans="2:4" x14ac:dyDescent="0.2">
      <c r="B5126" s="236"/>
      <c r="C5126" s="236"/>
      <c r="D5126" s="236"/>
    </row>
    <row r="5127" spans="2:4" ht="12.75" customHeight="1" x14ac:dyDescent="0.2">
      <c r="B5127" s="236"/>
      <c r="C5127" s="236"/>
      <c r="D5127" s="236"/>
    </row>
    <row r="5128" spans="2:4" x14ac:dyDescent="0.2">
      <c r="B5128" s="236"/>
      <c r="C5128" s="236"/>
      <c r="D5128" s="236"/>
    </row>
    <row r="5129" spans="2:4" ht="12.75" customHeight="1" x14ac:dyDescent="0.2">
      <c r="B5129" s="236"/>
      <c r="C5129" s="236"/>
      <c r="D5129" s="236"/>
    </row>
    <row r="5130" spans="2:4" x14ac:dyDescent="0.2">
      <c r="B5130" s="236"/>
      <c r="C5130" s="236"/>
      <c r="D5130" s="236"/>
    </row>
    <row r="5131" spans="2:4" ht="12.75" customHeight="1" x14ac:dyDescent="0.2">
      <c r="B5131" s="236"/>
      <c r="C5131" s="236"/>
      <c r="D5131" s="236"/>
    </row>
    <row r="5132" spans="2:4" ht="12.75" customHeight="1" x14ac:dyDescent="0.2">
      <c r="B5132" s="236"/>
      <c r="C5132" s="236"/>
      <c r="D5132" s="236"/>
    </row>
    <row r="5133" spans="2:4" ht="12.75" customHeight="1" x14ac:dyDescent="0.2">
      <c r="B5133" s="236"/>
      <c r="C5133" s="236"/>
      <c r="D5133" s="236"/>
    </row>
    <row r="5134" spans="2:4" x14ac:dyDescent="0.2">
      <c r="B5134" s="236"/>
      <c r="C5134" s="236"/>
      <c r="D5134" s="236"/>
    </row>
    <row r="5135" spans="2:4" ht="12.75" customHeight="1" x14ac:dyDescent="0.2">
      <c r="B5135" s="236"/>
      <c r="C5135" s="236"/>
      <c r="D5135" s="236"/>
    </row>
    <row r="5136" spans="2:4" x14ac:dyDescent="0.2">
      <c r="B5136" s="236"/>
      <c r="C5136" s="236"/>
      <c r="D5136" s="236"/>
    </row>
    <row r="5137" spans="2:4" ht="12.75" customHeight="1" x14ac:dyDescent="0.2">
      <c r="B5137" s="236"/>
      <c r="C5137" s="236"/>
      <c r="D5137" s="236"/>
    </row>
    <row r="5138" spans="2:4" x14ac:dyDescent="0.2">
      <c r="B5138" s="236"/>
      <c r="C5138" s="236"/>
      <c r="D5138" s="236"/>
    </row>
    <row r="5139" spans="2:4" ht="12.75" customHeight="1" x14ac:dyDescent="0.2">
      <c r="B5139" s="236"/>
      <c r="C5139" s="236"/>
      <c r="D5139" s="236"/>
    </row>
    <row r="5140" spans="2:4" x14ac:dyDescent="0.2">
      <c r="B5140" s="236"/>
      <c r="C5140" s="236"/>
      <c r="D5140" s="236"/>
    </row>
    <row r="5141" spans="2:4" ht="12.75" customHeight="1" x14ac:dyDescent="0.2">
      <c r="B5141" s="236"/>
      <c r="C5141" s="236"/>
      <c r="D5141" s="236"/>
    </row>
    <row r="5142" spans="2:4" ht="12.75" customHeight="1" x14ac:dyDescent="0.2">
      <c r="B5142" s="236"/>
      <c r="C5142" s="236"/>
      <c r="D5142" s="236"/>
    </row>
    <row r="5143" spans="2:4" x14ac:dyDescent="0.2">
      <c r="B5143" s="236"/>
      <c r="C5143" s="236"/>
      <c r="D5143" s="236"/>
    </row>
    <row r="5144" spans="2:4" ht="12.75" customHeight="1" x14ac:dyDescent="0.2">
      <c r="B5144" s="236"/>
      <c r="C5144" s="236"/>
      <c r="D5144" s="236"/>
    </row>
    <row r="5145" spans="2:4" ht="12.75" customHeight="1" x14ac:dyDescent="0.2">
      <c r="B5145" s="236"/>
      <c r="C5145" s="236"/>
      <c r="D5145" s="236"/>
    </row>
    <row r="5146" spans="2:4" x14ac:dyDescent="0.2">
      <c r="B5146" s="236"/>
      <c r="C5146" s="236"/>
      <c r="D5146" s="236"/>
    </row>
    <row r="5147" spans="2:4" ht="12.75" customHeight="1" x14ac:dyDescent="0.2">
      <c r="B5147" s="236"/>
      <c r="C5147" s="236"/>
      <c r="D5147" s="236"/>
    </row>
    <row r="5148" spans="2:4" ht="12.75" customHeight="1" x14ac:dyDescent="0.2">
      <c r="B5148" s="236"/>
      <c r="C5148" s="236"/>
      <c r="D5148" s="236"/>
    </row>
    <row r="5149" spans="2:4" ht="12.75" customHeight="1" x14ac:dyDescent="0.2">
      <c r="B5149" s="236"/>
      <c r="C5149" s="236"/>
      <c r="D5149" s="236"/>
    </row>
    <row r="5150" spans="2:4" x14ac:dyDescent="0.2">
      <c r="B5150" s="236"/>
      <c r="C5150" s="236"/>
      <c r="D5150" s="236"/>
    </row>
    <row r="5151" spans="2:4" ht="12.75" customHeight="1" x14ac:dyDescent="0.2">
      <c r="B5151" s="236"/>
      <c r="C5151" s="236"/>
      <c r="D5151" s="236"/>
    </row>
    <row r="5152" spans="2:4" x14ac:dyDescent="0.2">
      <c r="B5152" s="236"/>
      <c r="C5152" s="236"/>
      <c r="D5152" s="236"/>
    </row>
    <row r="5153" spans="2:4" ht="12.75" customHeight="1" x14ac:dyDescent="0.2">
      <c r="B5153" s="236"/>
      <c r="C5153" s="236"/>
      <c r="D5153" s="236"/>
    </row>
    <row r="5154" spans="2:4" ht="12.75" customHeight="1" x14ac:dyDescent="0.2">
      <c r="B5154" s="236"/>
      <c r="C5154" s="236"/>
      <c r="D5154" s="236"/>
    </row>
    <row r="5155" spans="2:4" x14ac:dyDescent="0.2">
      <c r="B5155" s="236"/>
      <c r="C5155" s="236"/>
      <c r="D5155" s="236"/>
    </row>
    <row r="5156" spans="2:4" x14ac:dyDescent="0.2">
      <c r="B5156" s="236"/>
      <c r="C5156" s="236"/>
      <c r="D5156" s="236"/>
    </row>
    <row r="5157" spans="2:4" ht="12.75" customHeight="1" x14ac:dyDescent="0.2">
      <c r="B5157" s="236"/>
      <c r="C5157" s="236"/>
      <c r="D5157" s="236"/>
    </row>
    <row r="5158" spans="2:4" ht="12.75" customHeight="1" x14ac:dyDescent="0.2">
      <c r="B5158" s="236"/>
      <c r="C5158" s="236"/>
      <c r="D5158" s="236"/>
    </row>
    <row r="5159" spans="2:4" x14ac:dyDescent="0.2">
      <c r="B5159" s="236"/>
      <c r="C5159" s="236"/>
      <c r="D5159" s="236"/>
    </row>
    <row r="5160" spans="2:4" ht="12.75" customHeight="1" x14ac:dyDescent="0.2">
      <c r="B5160" s="236"/>
      <c r="C5160" s="236"/>
      <c r="D5160" s="236"/>
    </row>
    <row r="5161" spans="2:4" ht="12.75" customHeight="1" x14ac:dyDescent="0.2">
      <c r="B5161" s="236"/>
      <c r="C5161" s="236"/>
      <c r="D5161" s="236"/>
    </row>
    <row r="5162" spans="2:4" ht="12.75" customHeight="1" x14ac:dyDescent="0.2">
      <c r="B5162" s="236"/>
      <c r="C5162" s="236"/>
      <c r="D5162" s="236"/>
    </row>
    <row r="5163" spans="2:4" ht="12.75" customHeight="1" x14ac:dyDescent="0.2">
      <c r="B5163" s="236"/>
      <c r="C5163" s="236"/>
      <c r="D5163" s="236"/>
    </row>
    <row r="5164" spans="2:4" x14ac:dyDescent="0.2">
      <c r="B5164" s="236"/>
      <c r="C5164" s="236"/>
      <c r="D5164" s="236"/>
    </row>
    <row r="5165" spans="2:4" ht="12.75" customHeight="1" x14ac:dyDescent="0.2">
      <c r="B5165" s="236"/>
      <c r="C5165" s="236"/>
      <c r="D5165" s="236"/>
    </row>
    <row r="5166" spans="2:4" x14ac:dyDescent="0.2">
      <c r="B5166" s="236"/>
      <c r="C5166" s="236"/>
      <c r="D5166" s="236"/>
    </row>
    <row r="5167" spans="2:4" ht="12.75" customHeight="1" x14ac:dyDescent="0.2">
      <c r="B5167" s="236"/>
      <c r="C5167" s="236"/>
      <c r="D5167" s="236"/>
    </row>
    <row r="5168" spans="2:4" ht="12.75" customHeight="1" x14ac:dyDescent="0.2">
      <c r="B5168" s="236"/>
      <c r="C5168" s="236"/>
      <c r="D5168" s="236"/>
    </row>
    <row r="5169" spans="2:4" ht="12.75" customHeight="1" x14ac:dyDescent="0.2">
      <c r="B5169" s="236"/>
      <c r="C5169" s="236"/>
      <c r="D5169" s="236"/>
    </row>
    <row r="5170" spans="2:4" ht="12.75" customHeight="1" x14ac:dyDescent="0.2">
      <c r="B5170" s="236"/>
      <c r="C5170" s="236"/>
      <c r="D5170" s="236"/>
    </row>
    <row r="5171" spans="2:4" ht="12.75" customHeight="1" x14ac:dyDescent="0.2">
      <c r="B5171" s="236"/>
      <c r="C5171" s="236"/>
      <c r="D5171" s="236"/>
    </row>
    <row r="5172" spans="2:4" ht="12.75" customHeight="1" x14ac:dyDescent="0.2">
      <c r="B5172" s="236"/>
      <c r="C5172" s="236"/>
      <c r="D5172" s="236"/>
    </row>
    <row r="5173" spans="2:4" ht="12.75" customHeight="1" x14ac:dyDescent="0.2">
      <c r="B5173" s="236"/>
      <c r="C5173" s="236"/>
      <c r="D5173" s="236"/>
    </row>
    <row r="5174" spans="2:4" ht="12.75" customHeight="1" x14ac:dyDescent="0.2">
      <c r="B5174" s="236"/>
      <c r="C5174" s="236"/>
      <c r="D5174" s="236"/>
    </row>
    <row r="5175" spans="2:4" x14ac:dyDescent="0.2">
      <c r="B5175" s="236"/>
      <c r="C5175" s="236"/>
      <c r="D5175" s="236"/>
    </row>
    <row r="5176" spans="2:4" ht="12.75" customHeight="1" x14ac:dyDescent="0.2">
      <c r="B5176" s="236"/>
      <c r="C5176" s="236"/>
      <c r="D5176" s="236"/>
    </row>
    <row r="5177" spans="2:4" ht="12.75" customHeight="1" x14ac:dyDescent="0.2">
      <c r="B5177" s="236"/>
      <c r="C5177" s="236"/>
      <c r="D5177" s="236"/>
    </row>
    <row r="5178" spans="2:4" x14ac:dyDescent="0.2">
      <c r="B5178" s="236"/>
      <c r="C5178" s="236"/>
      <c r="D5178" s="236"/>
    </row>
    <row r="5179" spans="2:4" ht="12.75" customHeight="1" x14ac:dyDescent="0.2">
      <c r="B5179" s="236"/>
      <c r="C5179" s="236"/>
      <c r="D5179" s="236"/>
    </row>
    <row r="5180" spans="2:4" x14ac:dyDescent="0.2">
      <c r="B5180" s="236"/>
      <c r="C5180" s="236"/>
      <c r="D5180" s="236"/>
    </row>
    <row r="5181" spans="2:4" ht="12.75" customHeight="1" x14ac:dyDescent="0.2">
      <c r="B5181" s="236"/>
      <c r="C5181" s="236"/>
      <c r="D5181" s="236"/>
    </row>
    <row r="5182" spans="2:4" ht="12.75" customHeight="1" x14ac:dyDescent="0.2">
      <c r="B5182" s="236"/>
      <c r="C5182" s="236"/>
      <c r="D5182" s="236"/>
    </row>
    <row r="5183" spans="2:4" ht="12.75" customHeight="1" x14ac:dyDescent="0.2">
      <c r="B5183" s="236"/>
      <c r="C5183" s="236"/>
      <c r="D5183" s="236"/>
    </row>
    <row r="5184" spans="2:4" x14ac:dyDescent="0.2">
      <c r="B5184" s="236"/>
      <c r="C5184" s="236"/>
      <c r="D5184" s="236"/>
    </row>
    <row r="5185" spans="2:4" ht="12.75" customHeight="1" x14ac:dyDescent="0.2">
      <c r="B5185" s="236"/>
      <c r="C5185" s="236"/>
      <c r="D5185" s="236"/>
    </row>
    <row r="5186" spans="2:4" ht="12.75" customHeight="1" x14ac:dyDescent="0.2">
      <c r="B5186" s="236"/>
      <c r="C5186" s="236"/>
      <c r="D5186" s="236"/>
    </row>
    <row r="5187" spans="2:4" x14ac:dyDescent="0.2">
      <c r="B5187" s="236"/>
      <c r="C5187" s="236"/>
      <c r="D5187" s="236"/>
    </row>
    <row r="5188" spans="2:4" ht="12.75" customHeight="1" x14ac:dyDescent="0.2">
      <c r="B5188" s="236"/>
      <c r="C5188" s="236"/>
      <c r="D5188" s="236"/>
    </row>
    <row r="5189" spans="2:4" ht="12.75" customHeight="1" x14ac:dyDescent="0.2">
      <c r="B5189" s="236"/>
      <c r="C5189" s="236"/>
      <c r="D5189" s="236"/>
    </row>
    <row r="5190" spans="2:4" x14ac:dyDescent="0.2">
      <c r="B5190" s="236"/>
      <c r="C5190" s="236"/>
      <c r="D5190" s="236"/>
    </row>
    <row r="5191" spans="2:4" ht="12.75" customHeight="1" x14ac:dyDescent="0.2">
      <c r="B5191" s="236"/>
      <c r="C5191" s="236"/>
      <c r="D5191" s="236"/>
    </row>
    <row r="5192" spans="2:4" ht="12.75" customHeight="1" x14ac:dyDescent="0.2">
      <c r="B5192" s="236"/>
      <c r="C5192" s="236"/>
      <c r="D5192" s="236"/>
    </row>
    <row r="5193" spans="2:4" ht="12.75" customHeight="1" x14ac:dyDescent="0.2">
      <c r="B5193" s="236"/>
      <c r="C5193" s="236"/>
      <c r="D5193" s="236"/>
    </row>
    <row r="5194" spans="2:4" ht="12.75" customHeight="1" x14ac:dyDescent="0.2">
      <c r="B5194" s="236"/>
      <c r="C5194" s="236"/>
      <c r="D5194" s="236"/>
    </row>
    <row r="5195" spans="2:4" ht="12.75" customHeight="1" x14ac:dyDescent="0.2">
      <c r="B5195" s="236"/>
      <c r="C5195" s="236"/>
      <c r="D5195" s="236"/>
    </row>
    <row r="5196" spans="2:4" x14ac:dyDescent="0.2">
      <c r="B5196" s="236"/>
      <c r="C5196" s="236"/>
      <c r="D5196" s="236"/>
    </row>
    <row r="5197" spans="2:4" ht="12.75" customHeight="1" x14ac:dyDescent="0.2">
      <c r="B5197" s="236"/>
      <c r="C5197" s="236"/>
      <c r="D5197" s="236"/>
    </row>
    <row r="5198" spans="2:4" ht="12.75" customHeight="1" x14ac:dyDescent="0.2">
      <c r="B5198" s="236"/>
      <c r="C5198" s="236"/>
      <c r="D5198" s="236"/>
    </row>
    <row r="5199" spans="2:4" x14ac:dyDescent="0.2">
      <c r="B5199" s="236"/>
      <c r="C5199" s="236"/>
      <c r="D5199" s="236"/>
    </row>
    <row r="5200" spans="2:4" ht="12.75" customHeight="1" x14ac:dyDescent="0.2">
      <c r="B5200" s="236"/>
      <c r="C5200" s="236"/>
      <c r="D5200" s="236"/>
    </row>
    <row r="5201" spans="2:4" ht="12.75" customHeight="1" x14ac:dyDescent="0.2">
      <c r="B5201" s="236"/>
      <c r="C5201" s="236"/>
      <c r="D5201" s="236"/>
    </row>
    <row r="5202" spans="2:4" ht="12.75" customHeight="1" x14ac:dyDescent="0.2">
      <c r="B5202" s="236"/>
      <c r="C5202" s="236"/>
      <c r="D5202" s="236"/>
    </row>
    <row r="5203" spans="2:4" x14ac:dyDescent="0.2">
      <c r="B5203" s="236"/>
      <c r="C5203" s="236"/>
      <c r="D5203" s="236"/>
    </row>
    <row r="5204" spans="2:4" ht="12.75" customHeight="1" x14ac:dyDescent="0.2">
      <c r="B5204" s="236"/>
      <c r="C5204" s="236"/>
      <c r="D5204" s="236"/>
    </row>
    <row r="5205" spans="2:4" ht="12.75" customHeight="1" x14ac:dyDescent="0.2">
      <c r="B5205" s="236"/>
      <c r="C5205" s="236"/>
      <c r="D5205" s="236"/>
    </row>
    <row r="5206" spans="2:4" ht="12.75" customHeight="1" x14ac:dyDescent="0.2">
      <c r="B5206" s="236"/>
      <c r="C5206" s="236"/>
      <c r="D5206" s="236"/>
    </row>
    <row r="5207" spans="2:4" x14ac:dyDescent="0.2">
      <c r="B5207" s="236"/>
      <c r="C5207" s="236"/>
      <c r="D5207" s="236"/>
    </row>
    <row r="5208" spans="2:4" ht="12.75" customHeight="1" x14ac:dyDescent="0.2">
      <c r="B5208" s="236"/>
      <c r="C5208" s="236"/>
      <c r="D5208" s="236"/>
    </row>
    <row r="5209" spans="2:4" x14ac:dyDescent="0.2">
      <c r="B5209" s="236"/>
      <c r="C5209" s="236"/>
      <c r="D5209" s="236"/>
    </row>
    <row r="5210" spans="2:4" ht="12.75" customHeight="1" x14ac:dyDescent="0.2">
      <c r="B5210" s="236"/>
      <c r="C5210" s="236"/>
      <c r="D5210" s="236"/>
    </row>
    <row r="5211" spans="2:4" x14ac:dyDescent="0.2">
      <c r="B5211" s="236"/>
      <c r="C5211" s="236"/>
      <c r="D5211" s="236"/>
    </row>
    <row r="5212" spans="2:4" ht="12.75" customHeight="1" x14ac:dyDescent="0.2">
      <c r="B5212" s="236"/>
      <c r="C5212" s="236"/>
      <c r="D5212" s="236"/>
    </row>
    <row r="5213" spans="2:4" ht="12.75" customHeight="1" x14ac:dyDescent="0.2">
      <c r="B5213" s="236"/>
      <c r="C5213" s="236"/>
      <c r="D5213" s="236"/>
    </row>
    <row r="5214" spans="2:4" ht="12.75" customHeight="1" x14ac:dyDescent="0.2">
      <c r="B5214" s="236"/>
      <c r="C5214" s="236"/>
      <c r="D5214" s="236"/>
    </row>
    <row r="5215" spans="2:4" x14ac:dyDescent="0.2">
      <c r="B5215" s="236"/>
      <c r="C5215" s="236"/>
      <c r="D5215" s="236"/>
    </row>
    <row r="5216" spans="2:4" ht="12.75" customHeight="1" x14ac:dyDescent="0.2">
      <c r="B5216" s="236"/>
      <c r="C5216" s="236"/>
      <c r="D5216" s="236"/>
    </row>
    <row r="5217" spans="2:4" ht="12.75" customHeight="1" x14ac:dyDescent="0.2">
      <c r="B5217" s="236"/>
      <c r="C5217" s="236"/>
      <c r="D5217" s="236"/>
    </row>
    <row r="5218" spans="2:4" ht="12.75" customHeight="1" x14ac:dyDescent="0.2">
      <c r="B5218" s="236"/>
      <c r="C5218" s="236"/>
      <c r="D5218" s="236"/>
    </row>
    <row r="5219" spans="2:4" ht="12.75" customHeight="1" x14ac:dyDescent="0.2">
      <c r="B5219" s="236"/>
      <c r="C5219" s="236"/>
      <c r="D5219" s="236"/>
    </row>
    <row r="5220" spans="2:4" ht="12.75" customHeight="1" x14ac:dyDescent="0.2">
      <c r="B5220" s="236"/>
      <c r="C5220" s="236"/>
      <c r="D5220" s="236"/>
    </row>
    <row r="5221" spans="2:4" x14ac:dyDescent="0.2">
      <c r="B5221" s="236"/>
      <c r="C5221" s="236"/>
      <c r="D5221" s="236"/>
    </row>
    <row r="5222" spans="2:4" ht="12.75" customHeight="1" x14ac:dyDescent="0.2">
      <c r="B5222" s="236"/>
      <c r="C5222" s="236"/>
      <c r="D5222" s="236"/>
    </row>
    <row r="5223" spans="2:4" x14ac:dyDescent="0.2">
      <c r="B5223" s="236"/>
      <c r="C5223" s="236"/>
      <c r="D5223" s="236"/>
    </row>
    <row r="5224" spans="2:4" ht="12.75" customHeight="1" x14ac:dyDescent="0.2">
      <c r="B5224" s="236"/>
      <c r="C5224" s="236"/>
      <c r="D5224" s="236"/>
    </row>
    <row r="5225" spans="2:4" ht="12.75" customHeight="1" x14ac:dyDescent="0.2">
      <c r="B5225" s="236"/>
      <c r="C5225" s="236"/>
      <c r="D5225" s="236"/>
    </row>
    <row r="5226" spans="2:4" ht="12.75" customHeight="1" x14ac:dyDescent="0.2">
      <c r="B5226" s="236"/>
      <c r="C5226" s="236"/>
      <c r="D5226" s="236"/>
    </row>
    <row r="5227" spans="2:4" x14ac:dyDescent="0.2">
      <c r="B5227" s="236"/>
      <c r="C5227" s="236"/>
      <c r="D5227" s="236"/>
    </row>
    <row r="5228" spans="2:4" ht="12.75" customHeight="1" x14ac:dyDescent="0.2">
      <c r="B5228" s="236"/>
      <c r="C5228" s="236"/>
      <c r="D5228" s="236"/>
    </row>
    <row r="5229" spans="2:4" ht="12.75" customHeight="1" x14ac:dyDescent="0.2">
      <c r="B5229" s="236"/>
      <c r="C5229" s="236"/>
      <c r="D5229" s="236"/>
    </row>
    <row r="5230" spans="2:4" x14ac:dyDescent="0.2">
      <c r="B5230" s="236"/>
      <c r="C5230" s="236"/>
      <c r="D5230" s="236"/>
    </row>
    <row r="5231" spans="2:4" ht="12.75" customHeight="1" x14ac:dyDescent="0.2">
      <c r="B5231" s="236"/>
      <c r="C5231" s="236"/>
      <c r="D5231" s="236"/>
    </row>
    <row r="5232" spans="2:4" x14ac:dyDescent="0.2">
      <c r="B5232" s="236"/>
      <c r="C5232" s="236"/>
      <c r="D5232" s="236"/>
    </row>
    <row r="5233" spans="2:4" ht="12.75" customHeight="1" x14ac:dyDescent="0.2">
      <c r="B5233" s="236"/>
      <c r="C5233" s="236"/>
      <c r="D5233" s="236"/>
    </row>
    <row r="5234" spans="2:4" ht="12.75" customHeight="1" x14ac:dyDescent="0.2">
      <c r="B5234" s="236"/>
      <c r="C5234" s="236"/>
      <c r="D5234" s="236"/>
    </row>
    <row r="5235" spans="2:4" x14ac:dyDescent="0.2">
      <c r="B5235" s="236"/>
      <c r="C5235" s="236"/>
      <c r="D5235" s="236"/>
    </row>
    <row r="5236" spans="2:4" ht="12.75" customHeight="1" x14ac:dyDescent="0.2">
      <c r="B5236" s="236"/>
      <c r="C5236" s="236"/>
      <c r="D5236" s="236"/>
    </row>
    <row r="5237" spans="2:4" x14ac:dyDescent="0.2">
      <c r="B5237" s="236"/>
      <c r="C5237" s="236"/>
      <c r="D5237" s="236"/>
    </row>
    <row r="5238" spans="2:4" x14ac:dyDescent="0.2">
      <c r="B5238" s="236"/>
      <c r="C5238" s="236"/>
      <c r="D5238" s="236"/>
    </row>
    <row r="5239" spans="2:4" ht="12.75" customHeight="1" x14ac:dyDescent="0.2">
      <c r="B5239" s="236"/>
      <c r="C5239" s="236"/>
      <c r="D5239" s="236"/>
    </row>
    <row r="5240" spans="2:4" ht="12.75" customHeight="1" x14ac:dyDescent="0.2">
      <c r="B5240" s="236"/>
      <c r="C5240" s="236"/>
      <c r="D5240" s="236"/>
    </row>
    <row r="5241" spans="2:4" ht="12.75" customHeight="1" x14ac:dyDescent="0.2">
      <c r="B5241" s="236"/>
      <c r="C5241" s="236"/>
      <c r="D5241" s="236"/>
    </row>
    <row r="5242" spans="2:4" ht="12.75" customHeight="1" x14ac:dyDescent="0.2">
      <c r="B5242" s="236"/>
      <c r="C5242" s="236"/>
      <c r="D5242" s="236"/>
    </row>
    <row r="5243" spans="2:4" x14ac:dyDescent="0.2">
      <c r="B5243" s="236"/>
      <c r="C5243" s="236"/>
      <c r="D5243" s="236"/>
    </row>
    <row r="5244" spans="2:4" ht="12.75" customHeight="1" x14ac:dyDescent="0.2">
      <c r="B5244" s="236"/>
      <c r="C5244" s="236"/>
      <c r="D5244" s="236"/>
    </row>
    <row r="5245" spans="2:4" ht="12.75" customHeight="1" x14ac:dyDescent="0.2">
      <c r="B5245" s="236"/>
      <c r="C5245" s="236"/>
      <c r="D5245" s="236"/>
    </row>
    <row r="5246" spans="2:4" x14ac:dyDescent="0.2">
      <c r="B5246" s="236"/>
      <c r="C5246" s="236"/>
      <c r="D5246" s="236"/>
    </row>
    <row r="5247" spans="2:4" x14ac:dyDescent="0.2">
      <c r="B5247" s="236"/>
      <c r="C5247" s="236"/>
      <c r="D5247" s="236"/>
    </row>
    <row r="5248" spans="2:4" ht="12.75" customHeight="1" x14ac:dyDescent="0.2">
      <c r="B5248" s="236"/>
      <c r="C5248" s="236"/>
      <c r="D5248" s="236"/>
    </row>
    <row r="5249" spans="2:4" x14ac:dyDescent="0.2">
      <c r="B5249" s="236"/>
      <c r="C5249" s="236"/>
      <c r="D5249" s="236"/>
    </row>
    <row r="5250" spans="2:4" x14ac:dyDescent="0.2">
      <c r="B5250" s="236"/>
      <c r="C5250" s="236"/>
      <c r="D5250" s="236"/>
    </row>
    <row r="5251" spans="2:4" ht="12.75" customHeight="1" x14ac:dyDescent="0.2">
      <c r="B5251" s="236"/>
      <c r="C5251" s="236"/>
      <c r="D5251" s="236"/>
    </row>
    <row r="5252" spans="2:4" ht="12.75" customHeight="1" x14ac:dyDescent="0.2">
      <c r="B5252" s="236"/>
      <c r="C5252" s="236"/>
      <c r="D5252" s="236"/>
    </row>
    <row r="5253" spans="2:4" ht="12.75" customHeight="1" x14ac:dyDescent="0.2">
      <c r="B5253" s="236"/>
      <c r="C5253" s="236"/>
      <c r="D5253" s="236"/>
    </row>
    <row r="5254" spans="2:4" x14ac:dyDescent="0.2">
      <c r="B5254" s="236"/>
      <c r="C5254" s="236"/>
      <c r="D5254" s="236"/>
    </row>
    <row r="5255" spans="2:4" ht="12.75" customHeight="1" x14ac:dyDescent="0.2">
      <c r="B5255" s="236"/>
      <c r="C5255" s="236"/>
      <c r="D5255" s="236"/>
    </row>
    <row r="5256" spans="2:4" ht="12.75" customHeight="1" x14ac:dyDescent="0.2">
      <c r="B5256" s="236"/>
      <c r="C5256" s="236"/>
      <c r="D5256" s="236"/>
    </row>
    <row r="5257" spans="2:4" x14ac:dyDescent="0.2">
      <c r="B5257" s="236"/>
      <c r="C5257" s="236"/>
      <c r="D5257" s="236"/>
    </row>
    <row r="5258" spans="2:4" ht="12.75" customHeight="1" x14ac:dyDescent="0.2">
      <c r="B5258" s="236"/>
      <c r="C5258" s="236"/>
      <c r="D5258" s="236"/>
    </row>
    <row r="5259" spans="2:4" x14ac:dyDescent="0.2">
      <c r="B5259" s="236"/>
      <c r="C5259" s="236"/>
      <c r="D5259" s="236"/>
    </row>
    <row r="5260" spans="2:4" x14ac:dyDescent="0.2">
      <c r="B5260" s="236"/>
      <c r="C5260" s="236"/>
      <c r="D5260" s="236"/>
    </row>
    <row r="5261" spans="2:4" ht="12.75" customHeight="1" x14ac:dyDescent="0.2">
      <c r="B5261" s="236"/>
      <c r="C5261" s="236"/>
      <c r="D5261" s="236"/>
    </row>
    <row r="5262" spans="2:4" x14ac:dyDescent="0.2">
      <c r="B5262" s="236"/>
      <c r="C5262" s="236"/>
      <c r="D5262" s="236"/>
    </row>
    <row r="5263" spans="2:4" ht="12.75" customHeight="1" x14ac:dyDescent="0.2">
      <c r="B5263" s="236"/>
      <c r="C5263" s="236"/>
      <c r="D5263" s="236"/>
    </row>
    <row r="5264" spans="2:4" x14ac:dyDescent="0.2">
      <c r="B5264" s="236"/>
      <c r="C5264" s="236"/>
      <c r="D5264" s="236"/>
    </row>
    <row r="5265" spans="2:4" ht="12.75" customHeight="1" x14ac:dyDescent="0.2">
      <c r="B5265" s="236"/>
      <c r="C5265" s="236"/>
      <c r="D5265" s="236"/>
    </row>
    <row r="5266" spans="2:4" x14ac:dyDescent="0.2">
      <c r="B5266" s="236"/>
      <c r="C5266" s="236"/>
      <c r="D5266" s="236"/>
    </row>
    <row r="5267" spans="2:4" x14ac:dyDescent="0.2">
      <c r="B5267" s="236"/>
      <c r="C5267" s="236"/>
      <c r="D5267" s="236"/>
    </row>
    <row r="5268" spans="2:4" x14ac:dyDescent="0.2">
      <c r="B5268" s="236"/>
      <c r="C5268" s="236"/>
      <c r="D5268" s="236"/>
    </row>
    <row r="5269" spans="2:4" ht="12.75" customHeight="1" x14ac:dyDescent="0.2">
      <c r="B5269" s="236"/>
      <c r="C5269" s="236"/>
      <c r="D5269" s="236"/>
    </row>
    <row r="5270" spans="2:4" ht="12.75" customHeight="1" x14ac:dyDescent="0.2">
      <c r="B5270" s="236"/>
      <c r="C5270" s="236"/>
      <c r="D5270" s="236"/>
    </row>
    <row r="5271" spans="2:4" ht="12.75" customHeight="1" x14ac:dyDescent="0.2">
      <c r="B5271" s="236"/>
      <c r="C5271" s="236"/>
      <c r="D5271" s="236"/>
    </row>
    <row r="5272" spans="2:4" x14ac:dyDescent="0.2">
      <c r="B5272" s="236"/>
      <c r="C5272" s="236"/>
      <c r="D5272" s="236"/>
    </row>
    <row r="5273" spans="2:4" x14ac:dyDescent="0.2">
      <c r="B5273" s="236"/>
      <c r="C5273" s="236"/>
      <c r="D5273" s="236"/>
    </row>
    <row r="5274" spans="2:4" ht="12.75" customHeight="1" x14ac:dyDescent="0.2">
      <c r="B5274" s="236"/>
      <c r="C5274" s="236"/>
      <c r="D5274" s="236"/>
    </row>
    <row r="5275" spans="2:4" x14ac:dyDescent="0.2">
      <c r="B5275" s="236"/>
      <c r="C5275" s="236"/>
      <c r="D5275" s="236"/>
    </row>
    <row r="5276" spans="2:4" ht="12.75" customHeight="1" x14ac:dyDescent="0.2">
      <c r="B5276" s="236"/>
      <c r="C5276" s="236"/>
      <c r="D5276" s="236"/>
    </row>
    <row r="5277" spans="2:4" ht="12.75" customHeight="1" x14ac:dyDescent="0.2">
      <c r="B5277" s="236"/>
      <c r="C5277" s="236"/>
      <c r="D5277" s="236"/>
    </row>
    <row r="5278" spans="2:4" ht="12.75" customHeight="1" x14ac:dyDescent="0.2">
      <c r="B5278" s="236"/>
      <c r="C5278" s="236"/>
      <c r="D5278" s="236"/>
    </row>
    <row r="5279" spans="2:4" x14ac:dyDescent="0.2">
      <c r="B5279" s="236"/>
      <c r="C5279" s="236"/>
      <c r="D5279" s="236"/>
    </row>
    <row r="5280" spans="2:4" ht="12.75" customHeight="1" x14ac:dyDescent="0.2">
      <c r="B5280" s="236"/>
      <c r="C5280" s="236"/>
      <c r="D5280" s="236"/>
    </row>
    <row r="5281" spans="2:4" ht="12.75" customHeight="1" x14ac:dyDescent="0.2">
      <c r="B5281" s="236"/>
      <c r="C5281" s="236"/>
      <c r="D5281" s="236"/>
    </row>
    <row r="5282" spans="2:4" ht="12.75" customHeight="1" x14ac:dyDescent="0.2">
      <c r="B5282" s="236"/>
      <c r="C5282" s="236"/>
      <c r="D5282" s="236"/>
    </row>
    <row r="5283" spans="2:4" ht="12.75" customHeight="1" x14ac:dyDescent="0.2">
      <c r="B5283" s="236"/>
      <c r="C5283" s="236"/>
      <c r="D5283" s="236"/>
    </row>
    <row r="5284" spans="2:4" ht="12.75" customHeight="1" x14ac:dyDescent="0.2">
      <c r="B5284" s="236"/>
      <c r="C5284" s="236"/>
      <c r="D5284" s="236"/>
    </row>
    <row r="5285" spans="2:4" x14ac:dyDescent="0.2">
      <c r="B5285" s="236"/>
      <c r="C5285" s="236"/>
      <c r="D5285" s="236"/>
    </row>
    <row r="5286" spans="2:4" ht="12.75" customHeight="1" x14ac:dyDescent="0.2">
      <c r="B5286" s="236"/>
      <c r="C5286" s="236"/>
      <c r="D5286" s="236"/>
    </row>
    <row r="5287" spans="2:4" x14ac:dyDescent="0.2">
      <c r="B5287" s="236"/>
      <c r="C5287" s="236"/>
      <c r="D5287" s="236"/>
    </row>
    <row r="5288" spans="2:4" ht="12.75" customHeight="1" x14ac:dyDescent="0.2">
      <c r="B5288" s="236"/>
      <c r="C5288" s="236"/>
      <c r="D5288" s="236"/>
    </row>
    <row r="5289" spans="2:4" x14ac:dyDescent="0.2">
      <c r="B5289" s="236"/>
      <c r="C5289" s="236"/>
      <c r="D5289" s="236"/>
    </row>
    <row r="5290" spans="2:4" ht="12.75" customHeight="1" x14ac:dyDescent="0.2">
      <c r="B5290" s="236"/>
      <c r="C5290" s="236"/>
      <c r="D5290" s="236"/>
    </row>
    <row r="5291" spans="2:4" ht="12.75" customHeight="1" x14ac:dyDescent="0.2">
      <c r="B5291" s="236"/>
      <c r="C5291" s="236"/>
      <c r="D5291" s="236"/>
    </row>
    <row r="5292" spans="2:4" ht="12.75" customHeight="1" x14ac:dyDescent="0.2">
      <c r="B5292" s="236"/>
      <c r="C5292" s="236"/>
      <c r="D5292" s="236"/>
    </row>
    <row r="5293" spans="2:4" x14ac:dyDescent="0.2">
      <c r="B5293" s="236"/>
      <c r="C5293" s="236"/>
      <c r="D5293" s="236"/>
    </row>
    <row r="5294" spans="2:4" ht="12.75" customHeight="1" x14ac:dyDescent="0.2">
      <c r="B5294" s="236"/>
      <c r="C5294" s="236"/>
      <c r="D5294" s="236"/>
    </row>
    <row r="5295" spans="2:4" x14ac:dyDescent="0.2">
      <c r="B5295" s="236"/>
      <c r="C5295" s="236"/>
      <c r="D5295" s="236"/>
    </row>
    <row r="5296" spans="2:4" ht="12.75" customHeight="1" x14ac:dyDescent="0.2">
      <c r="B5296" s="236"/>
      <c r="C5296" s="236"/>
      <c r="D5296" s="236"/>
    </row>
    <row r="5297" spans="2:4" ht="12.75" customHeight="1" x14ac:dyDescent="0.2">
      <c r="B5297" s="236"/>
      <c r="C5297" s="236"/>
      <c r="D5297" s="236"/>
    </row>
    <row r="5298" spans="2:4" x14ac:dyDescent="0.2">
      <c r="B5298" s="236"/>
      <c r="C5298" s="236"/>
      <c r="D5298" s="236"/>
    </row>
    <row r="5299" spans="2:4" ht="12.75" customHeight="1" x14ac:dyDescent="0.2">
      <c r="B5299" s="236"/>
      <c r="C5299" s="236"/>
      <c r="D5299" s="236"/>
    </row>
    <row r="5300" spans="2:4" x14ac:dyDescent="0.2">
      <c r="B5300" s="236"/>
      <c r="C5300" s="236"/>
      <c r="D5300" s="236"/>
    </row>
    <row r="5301" spans="2:4" x14ac:dyDescent="0.2">
      <c r="B5301" s="236"/>
      <c r="C5301" s="236"/>
      <c r="D5301" s="236"/>
    </row>
    <row r="5302" spans="2:4" ht="12.75" customHeight="1" x14ac:dyDescent="0.2">
      <c r="B5302" s="236"/>
      <c r="C5302" s="236"/>
      <c r="D5302" s="236"/>
    </row>
    <row r="5303" spans="2:4" ht="12.75" customHeight="1" x14ac:dyDescent="0.2">
      <c r="B5303" s="236"/>
      <c r="C5303" s="236"/>
      <c r="D5303" s="236"/>
    </row>
    <row r="5304" spans="2:4" x14ac:dyDescent="0.2">
      <c r="B5304" s="236"/>
      <c r="C5304" s="236"/>
      <c r="D5304" s="236"/>
    </row>
    <row r="5305" spans="2:4" ht="12.75" customHeight="1" x14ac:dyDescent="0.2">
      <c r="B5305" s="236"/>
      <c r="C5305" s="236"/>
      <c r="D5305" s="236"/>
    </row>
    <row r="5306" spans="2:4" x14ac:dyDescent="0.2">
      <c r="B5306" s="236"/>
      <c r="C5306" s="236"/>
      <c r="D5306" s="236"/>
    </row>
    <row r="5307" spans="2:4" ht="12.75" customHeight="1" x14ac:dyDescent="0.2">
      <c r="B5307" s="236"/>
      <c r="C5307" s="236"/>
      <c r="D5307" s="236"/>
    </row>
    <row r="5308" spans="2:4" x14ac:dyDescent="0.2">
      <c r="B5308" s="236"/>
      <c r="C5308" s="236"/>
      <c r="D5308" s="236"/>
    </row>
    <row r="5309" spans="2:4" x14ac:dyDescent="0.2">
      <c r="B5309" s="236"/>
      <c r="C5309" s="236"/>
      <c r="D5309" s="236"/>
    </row>
    <row r="5310" spans="2:4" ht="12.75" customHeight="1" x14ac:dyDescent="0.2">
      <c r="B5310" s="236"/>
      <c r="C5310" s="236"/>
      <c r="D5310" s="236"/>
    </row>
    <row r="5311" spans="2:4" x14ac:dyDescent="0.2">
      <c r="B5311" s="236"/>
      <c r="C5311" s="236"/>
      <c r="D5311" s="236"/>
    </row>
    <row r="5312" spans="2:4" x14ac:dyDescent="0.2">
      <c r="B5312" s="236"/>
      <c r="C5312" s="236"/>
      <c r="D5312" s="236"/>
    </row>
    <row r="5313" spans="2:4" ht="12.75" customHeight="1" x14ac:dyDescent="0.2">
      <c r="B5313" s="236"/>
      <c r="C5313" s="236"/>
      <c r="D5313" s="236"/>
    </row>
    <row r="5314" spans="2:4" ht="12.75" customHeight="1" x14ac:dyDescent="0.2">
      <c r="B5314" s="236"/>
      <c r="C5314" s="236"/>
      <c r="D5314" s="236"/>
    </row>
    <row r="5315" spans="2:4" ht="12.75" customHeight="1" x14ac:dyDescent="0.2">
      <c r="B5315" s="236"/>
      <c r="C5315" s="236"/>
      <c r="D5315" s="236"/>
    </row>
    <row r="5316" spans="2:4" ht="12.75" customHeight="1" x14ac:dyDescent="0.2">
      <c r="B5316" s="236"/>
      <c r="C5316" s="236"/>
      <c r="D5316" s="236"/>
    </row>
    <row r="5317" spans="2:4" ht="12.75" customHeight="1" x14ac:dyDescent="0.2">
      <c r="B5317" s="236"/>
      <c r="C5317" s="236"/>
      <c r="D5317" s="236"/>
    </row>
    <row r="5318" spans="2:4" x14ac:dyDescent="0.2">
      <c r="B5318" s="236"/>
      <c r="C5318" s="236"/>
      <c r="D5318" s="236"/>
    </row>
    <row r="5319" spans="2:4" ht="12.75" customHeight="1" x14ac:dyDescent="0.2">
      <c r="B5319" s="236"/>
      <c r="C5319" s="236"/>
      <c r="D5319" s="236"/>
    </row>
    <row r="5320" spans="2:4" ht="12.75" customHeight="1" x14ac:dyDescent="0.2">
      <c r="B5320" s="236"/>
      <c r="C5320" s="236"/>
      <c r="D5320" s="236"/>
    </row>
    <row r="5321" spans="2:4" x14ac:dyDescent="0.2">
      <c r="B5321" s="236"/>
      <c r="C5321" s="236"/>
      <c r="D5321" s="236"/>
    </row>
    <row r="5322" spans="2:4" ht="12.75" customHeight="1" x14ac:dyDescent="0.2">
      <c r="B5322" s="236"/>
      <c r="C5322" s="236"/>
      <c r="D5322" s="236"/>
    </row>
    <row r="5323" spans="2:4" ht="12.75" customHeight="1" x14ac:dyDescent="0.2">
      <c r="B5323" s="236"/>
      <c r="C5323" s="236"/>
      <c r="D5323" s="236"/>
    </row>
    <row r="5324" spans="2:4" ht="12.75" customHeight="1" x14ac:dyDescent="0.2">
      <c r="B5324" s="236"/>
      <c r="C5324" s="236"/>
      <c r="D5324" s="236"/>
    </row>
    <row r="5325" spans="2:4" x14ac:dyDescent="0.2">
      <c r="B5325" s="236"/>
      <c r="C5325" s="236"/>
      <c r="D5325" s="236"/>
    </row>
    <row r="5326" spans="2:4" x14ac:dyDescent="0.2">
      <c r="B5326" s="236"/>
      <c r="C5326" s="236"/>
      <c r="D5326" s="236"/>
    </row>
    <row r="5327" spans="2:4" ht="12.75" customHeight="1" x14ac:dyDescent="0.2">
      <c r="B5327" s="236"/>
      <c r="C5327" s="236"/>
      <c r="D5327" s="236"/>
    </row>
    <row r="5328" spans="2:4" ht="12.75" customHeight="1" x14ac:dyDescent="0.2">
      <c r="B5328" s="236"/>
      <c r="C5328" s="236"/>
      <c r="D5328" s="236"/>
    </row>
    <row r="5329" spans="2:4" x14ac:dyDescent="0.2">
      <c r="B5329" s="236"/>
      <c r="C5329" s="236"/>
      <c r="D5329" s="236"/>
    </row>
    <row r="5330" spans="2:4" ht="12.75" customHeight="1" x14ac:dyDescent="0.2">
      <c r="B5330" s="236"/>
      <c r="C5330" s="236"/>
      <c r="D5330" s="236"/>
    </row>
    <row r="5331" spans="2:4" x14ac:dyDescent="0.2">
      <c r="B5331" s="236"/>
      <c r="C5331" s="236"/>
      <c r="D5331" s="236"/>
    </row>
    <row r="5332" spans="2:4" ht="12.75" customHeight="1" x14ac:dyDescent="0.2">
      <c r="B5332" s="236"/>
      <c r="C5332" s="236"/>
      <c r="D5332" s="236"/>
    </row>
    <row r="5333" spans="2:4" x14ac:dyDescent="0.2">
      <c r="B5333" s="236"/>
      <c r="C5333" s="236"/>
      <c r="D5333" s="236"/>
    </row>
    <row r="5334" spans="2:4" x14ac:dyDescent="0.2">
      <c r="B5334" s="236"/>
      <c r="C5334" s="236"/>
      <c r="D5334" s="236"/>
    </row>
    <row r="5335" spans="2:4" x14ac:dyDescent="0.2">
      <c r="B5335" s="236"/>
      <c r="C5335" s="236"/>
      <c r="D5335" s="236"/>
    </row>
    <row r="5336" spans="2:4" ht="12.75" customHeight="1" x14ac:dyDescent="0.2">
      <c r="B5336" s="236"/>
      <c r="C5336" s="236"/>
      <c r="D5336" s="236"/>
    </row>
    <row r="5337" spans="2:4" ht="12.75" customHeight="1" x14ac:dyDescent="0.2">
      <c r="B5337" s="236"/>
      <c r="C5337" s="236"/>
      <c r="D5337" s="236"/>
    </row>
    <row r="5338" spans="2:4" ht="12.75" customHeight="1" x14ac:dyDescent="0.2">
      <c r="B5338" s="236"/>
      <c r="C5338" s="236"/>
      <c r="D5338" s="236"/>
    </row>
    <row r="5339" spans="2:4" x14ac:dyDescent="0.2">
      <c r="B5339" s="236"/>
      <c r="C5339" s="236"/>
      <c r="D5339" s="236"/>
    </row>
    <row r="5340" spans="2:4" ht="12.75" customHeight="1" x14ac:dyDescent="0.2">
      <c r="B5340" s="236"/>
      <c r="C5340" s="236"/>
      <c r="D5340" s="236"/>
    </row>
    <row r="5341" spans="2:4" x14ac:dyDescent="0.2">
      <c r="B5341" s="236"/>
      <c r="C5341" s="236"/>
      <c r="D5341" s="236"/>
    </row>
    <row r="5342" spans="2:4" ht="12.75" customHeight="1" x14ac:dyDescent="0.2">
      <c r="B5342" s="236"/>
      <c r="C5342" s="236"/>
      <c r="D5342" s="236"/>
    </row>
    <row r="5343" spans="2:4" ht="12.75" customHeight="1" x14ac:dyDescent="0.2">
      <c r="B5343" s="236"/>
      <c r="C5343" s="236"/>
      <c r="D5343" s="236"/>
    </row>
    <row r="5344" spans="2:4" x14ac:dyDescent="0.2">
      <c r="B5344" s="236"/>
      <c r="C5344" s="236"/>
      <c r="D5344" s="236"/>
    </row>
    <row r="5345" spans="2:4" ht="12.75" customHeight="1" x14ac:dyDescent="0.2">
      <c r="B5345" s="236"/>
      <c r="C5345" s="236"/>
      <c r="D5345" s="236"/>
    </row>
    <row r="5346" spans="2:4" x14ac:dyDescent="0.2">
      <c r="B5346" s="236"/>
      <c r="C5346" s="236"/>
      <c r="D5346" s="236"/>
    </row>
    <row r="5347" spans="2:4" ht="12.75" customHeight="1" x14ac:dyDescent="0.2">
      <c r="B5347" s="236"/>
      <c r="C5347" s="236"/>
      <c r="D5347" s="236"/>
    </row>
    <row r="5348" spans="2:4" ht="12.75" customHeight="1" x14ac:dyDescent="0.2">
      <c r="B5348" s="236"/>
      <c r="C5348" s="236"/>
      <c r="D5348" s="236"/>
    </row>
    <row r="5349" spans="2:4" ht="12.75" customHeight="1" x14ac:dyDescent="0.2">
      <c r="B5349" s="236"/>
      <c r="C5349" s="236"/>
      <c r="D5349" s="236"/>
    </row>
    <row r="5350" spans="2:4" x14ac:dyDescent="0.2">
      <c r="B5350" s="236"/>
      <c r="C5350" s="236"/>
      <c r="D5350" s="236"/>
    </row>
    <row r="5351" spans="2:4" x14ac:dyDescent="0.2">
      <c r="B5351" s="236"/>
      <c r="C5351" s="236"/>
      <c r="D5351" s="236"/>
    </row>
    <row r="5352" spans="2:4" ht="12.75" customHeight="1" x14ac:dyDescent="0.2">
      <c r="B5352" s="236"/>
      <c r="C5352" s="236"/>
      <c r="D5352" s="236"/>
    </row>
    <row r="5353" spans="2:4" ht="12.75" customHeight="1" x14ac:dyDescent="0.2">
      <c r="B5353" s="236"/>
      <c r="C5353" s="236"/>
      <c r="D5353" s="236"/>
    </row>
    <row r="5354" spans="2:4" ht="12.75" customHeight="1" x14ac:dyDescent="0.2">
      <c r="B5354" s="236"/>
      <c r="C5354" s="236"/>
      <c r="D5354" s="236"/>
    </row>
    <row r="5355" spans="2:4" ht="12.75" customHeight="1" x14ac:dyDescent="0.2">
      <c r="B5355" s="236"/>
      <c r="C5355" s="236"/>
      <c r="D5355" s="236"/>
    </row>
    <row r="5356" spans="2:4" ht="12.75" customHeight="1" x14ac:dyDescent="0.2">
      <c r="B5356" s="236"/>
      <c r="C5356" s="236"/>
      <c r="D5356" s="236"/>
    </row>
    <row r="5357" spans="2:4" ht="12.75" customHeight="1" x14ac:dyDescent="0.2">
      <c r="B5357" s="236"/>
      <c r="C5357" s="236"/>
      <c r="D5357" s="236"/>
    </row>
    <row r="5358" spans="2:4" ht="12.75" customHeight="1" x14ac:dyDescent="0.2">
      <c r="B5358" s="236"/>
      <c r="C5358" s="236"/>
      <c r="D5358" s="236"/>
    </row>
    <row r="5359" spans="2:4" ht="12.75" customHeight="1" x14ac:dyDescent="0.2">
      <c r="B5359" s="236"/>
      <c r="C5359" s="236"/>
      <c r="D5359" s="236"/>
    </row>
    <row r="5360" spans="2:4" x14ac:dyDescent="0.2">
      <c r="B5360" s="236"/>
      <c r="C5360" s="236"/>
      <c r="D5360" s="236"/>
    </row>
    <row r="5361" spans="2:4" x14ac:dyDescent="0.2">
      <c r="B5361" s="236"/>
      <c r="C5361" s="236"/>
      <c r="D5361" s="236"/>
    </row>
    <row r="5362" spans="2:4" ht="12.75" customHeight="1" x14ac:dyDescent="0.2">
      <c r="B5362" s="236"/>
      <c r="C5362" s="236"/>
      <c r="D5362" s="236"/>
    </row>
    <row r="5363" spans="2:4" x14ac:dyDescent="0.2">
      <c r="B5363" s="236"/>
      <c r="C5363" s="236"/>
      <c r="D5363" s="236"/>
    </row>
    <row r="5364" spans="2:4" ht="12.75" customHeight="1" x14ac:dyDescent="0.2">
      <c r="B5364" s="236"/>
      <c r="C5364" s="236"/>
      <c r="D5364" s="236"/>
    </row>
    <row r="5365" spans="2:4" x14ac:dyDescent="0.2">
      <c r="B5365" s="236"/>
      <c r="C5365" s="236"/>
      <c r="D5365" s="236"/>
    </row>
    <row r="5366" spans="2:4" ht="12.75" customHeight="1" x14ac:dyDescent="0.2">
      <c r="B5366" s="236"/>
      <c r="C5366" s="236"/>
      <c r="D5366" s="236"/>
    </row>
    <row r="5367" spans="2:4" ht="12.75" customHeight="1" x14ac:dyDescent="0.2">
      <c r="B5367" s="236"/>
      <c r="C5367" s="236"/>
      <c r="D5367" s="236"/>
    </row>
    <row r="5368" spans="2:4" x14ac:dyDescent="0.2">
      <c r="B5368" s="236"/>
      <c r="C5368" s="236"/>
      <c r="D5368" s="236"/>
    </row>
    <row r="5369" spans="2:4" ht="12.75" customHeight="1" x14ac:dyDescent="0.2">
      <c r="B5369" s="236"/>
      <c r="C5369" s="236"/>
      <c r="D5369" s="236"/>
    </row>
    <row r="5370" spans="2:4" x14ac:dyDescent="0.2">
      <c r="B5370" s="236"/>
      <c r="C5370" s="236"/>
      <c r="D5370" s="236"/>
    </row>
    <row r="5371" spans="2:4" ht="12.75" customHeight="1" x14ac:dyDescent="0.2">
      <c r="B5371" s="236"/>
      <c r="C5371" s="236"/>
      <c r="D5371" s="236"/>
    </row>
    <row r="5372" spans="2:4" x14ac:dyDescent="0.2">
      <c r="B5372" s="236"/>
      <c r="C5372" s="236"/>
      <c r="D5372" s="236"/>
    </row>
    <row r="5373" spans="2:4" ht="12.75" customHeight="1" x14ac:dyDescent="0.2">
      <c r="B5373" s="236"/>
      <c r="C5373" s="236"/>
      <c r="D5373" s="236"/>
    </row>
    <row r="5374" spans="2:4" x14ac:dyDescent="0.2">
      <c r="B5374" s="236"/>
      <c r="C5374" s="236"/>
      <c r="D5374" s="236"/>
    </row>
    <row r="5375" spans="2:4" ht="12.75" customHeight="1" x14ac:dyDescent="0.2">
      <c r="B5375" s="236"/>
      <c r="C5375" s="236"/>
      <c r="D5375" s="236"/>
    </row>
    <row r="5376" spans="2:4" x14ac:dyDescent="0.2">
      <c r="B5376" s="236"/>
      <c r="C5376" s="236"/>
      <c r="D5376" s="236"/>
    </row>
    <row r="5377" spans="2:4" ht="12.75" customHeight="1" x14ac:dyDescent="0.2">
      <c r="B5377" s="236"/>
      <c r="C5377" s="236"/>
      <c r="D5377" s="236"/>
    </row>
    <row r="5378" spans="2:4" x14ac:dyDescent="0.2">
      <c r="B5378" s="236"/>
      <c r="C5378" s="236"/>
      <c r="D5378" s="236"/>
    </row>
    <row r="5379" spans="2:4" ht="12.75" customHeight="1" x14ac:dyDescent="0.2">
      <c r="B5379" s="236"/>
      <c r="C5379" s="236"/>
      <c r="D5379" s="236"/>
    </row>
    <row r="5380" spans="2:4" ht="12.75" customHeight="1" x14ac:dyDescent="0.2">
      <c r="B5380" s="236"/>
      <c r="C5380" s="236"/>
      <c r="D5380" s="236"/>
    </row>
    <row r="5381" spans="2:4" x14ac:dyDescent="0.2">
      <c r="B5381" s="236"/>
      <c r="C5381" s="236"/>
      <c r="D5381" s="236"/>
    </row>
    <row r="5382" spans="2:4" x14ac:dyDescent="0.2">
      <c r="B5382" s="236"/>
      <c r="C5382" s="236"/>
      <c r="D5382" s="236"/>
    </row>
    <row r="5383" spans="2:4" ht="12.75" customHeight="1" x14ac:dyDescent="0.2">
      <c r="B5383" s="236"/>
      <c r="C5383" s="236"/>
      <c r="D5383" s="236"/>
    </row>
    <row r="5384" spans="2:4" ht="12.75" customHeight="1" x14ac:dyDescent="0.2">
      <c r="B5384" s="236"/>
      <c r="C5384" s="236"/>
      <c r="D5384" s="236"/>
    </row>
    <row r="5385" spans="2:4" x14ac:dyDescent="0.2">
      <c r="B5385" s="236"/>
      <c r="C5385" s="236"/>
      <c r="D5385" s="236"/>
    </row>
    <row r="5386" spans="2:4" x14ac:dyDescent="0.2">
      <c r="B5386" s="236"/>
      <c r="C5386" s="236"/>
      <c r="D5386" s="236"/>
    </row>
    <row r="5387" spans="2:4" ht="12.75" customHeight="1" x14ac:dyDescent="0.2">
      <c r="B5387" s="236"/>
      <c r="C5387" s="236"/>
      <c r="D5387" s="236"/>
    </row>
    <row r="5388" spans="2:4" ht="12.75" customHeight="1" x14ac:dyDescent="0.2">
      <c r="B5388" s="236"/>
      <c r="C5388" s="236"/>
      <c r="D5388" s="236"/>
    </row>
    <row r="5389" spans="2:4" ht="12.75" customHeight="1" x14ac:dyDescent="0.2">
      <c r="B5389" s="236"/>
      <c r="C5389" s="236"/>
      <c r="D5389" s="236"/>
    </row>
    <row r="5390" spans="2:4" ht="12.75" customHeight="1" x14ac:dyDescent="0.2">
      <c r="B5390" s="236"/>
      <c r="C5390" s="236"/>
      <c r="D5390" s="236"/>
    </row>
    <row r="5391" spans="2:4" x14ac:dyDescent="0.2">
      <c r="B5391" s="236"/>
      <c r="C5391" s="236"/>
      <c r="D5391" s="236"/>
    </row>
    <row r="5392" spans="2:4" ht="12.75" customHeight="1" x14ac:dyDescent="0.2">
      <c r="B5392" s="236"/>
      <c r="C5392" s="236"/>
      <c r="D5392" s="236"/>
    </row>
    <row r="5393" spans="2:4" x14ac:dyDescent="0.2">
      <c r="B5393" s="236"/>
      <c r="C5393" s="236"/>
      <c r="D5393" s="236"/>
    </row>
    <row r="5394" spans="2:4" x14ac:dyDescent="0.2">
      <c r="B5394" s="236"/>
      <c r="C5394" s="236"/>
      <c r="D5394" s="236"/>
    </row>
    <row r="5395" spans="2:4" ht="12.75" customHeight="1" x14ac:dyDescent="0.2">
      <c r="B5395" s="236"/>
      <c r="C5395" s="236"/>
      <c r="D5395" s="236"/>
    </row>
    <row r="5396" spans="2:4" ht="12.75" customHeight="1" x14ac:dyDescent="0.2">
      <c r="B5396" s="236"/>
      <c r="C5396" s="236"/>
      <c r="D5396" s="236"/>
    </row>
    <row r="5397" spans="2:4" ht="12.75" customHeight="1" x14ac:dyDescent="0.2">
      <c r="B5397" s="236"/>
      <c r="C5397" s="236"/>
      <c r="D5397" s="236"/>
    </row>
    <row r="5398" spans="2:4" ht="12.75" customHeight="1" x14ac:dyDescent="0.2">
      <c r="B5398" s="236"/>
      <c r="C5398" s="236"/>
      <c r="D5398" s="236"/>
    </row>
    <row r="5399" spans="2:4" ht="12.75" customHeight="1" x14ac:dyDescent="0.2">
      <c r="B5399" s="236"/>
      <c r="C5399" s="236"/>
      <c r="D5399" s="236"/>
    </row>
    <row r="5400" spans="2:4" x14ac:dyDescent="0.2">
      <c r="B5400" s="236"/>
      <c r="C5400" s="236"/>
      <c r="D5400" s="236"/>
    </row>
    <row r="5401" spans="2:4" ht="12.75" customHeight="1" x14ac:dyDescent="0.2">
      <c r="B5401" s="236"/>
      <c r="C5401" s="236"/>
      <c r="D5401" s="236"/>
    </row>
    <row r="5402" spans="2:4" ht="12.75" customHeight="1" x14ac:dyDescent="0.2">
      <c r="B5402" s="236"/>
      <c r="C5402" s="236"/>
      <c r="D5402" s="236"/>
    </row>
    <row r="5403" spans="2:4" x14ac:dyDescent="0.2">
      <c r="B5403" s="236"/>
      <c r="C5403" s="236"/>
      <c r="D5403" s="236"/>
    </row>
    <row r="5404" spans="2:4" ht="12.75" customHeight="1" x14ac:dyDescent="0.2">
      <c r="B5404" s="236"/>
      <c r="C5404" s="236"/>
      <c r="D5404" s="236"/>
    </row>
    <row r="5405" spans="2:4" x14ac:dyDescent="0.2">
      <c r="B5405" s="236"/>
      <c r="C5405" s="236"/>
      <c r="D5405" s="236"/>
    </row>
    <row r="5406" spans="2:4" ht="12.75" customHeight="1" x14ac:dyDescent="0.2">
      <c r="B5406" s="236"/>
      <c r="C5406" s="236"/>
      <c r="D5406" s="236"/>
    </row>
    <row r="5407" spans="2:4" ht="12.75" customHeight="1" x14ac:dyDescent="0.2">
      <c r="B5407" s="236"/>
      <c r="C5407" s="236"/>
      <c r="D5407" s="236"/>
    </row>
    <row r="5408" spans="2:4" x14ac:dyDescent="0.2">
      <c r="B5408" s="236"/>
      <c r="C5408" s="236"/>
      <c r="D5408" s="236"/>
    </row>
    <row r="5409" spans="2:4" ht="12.75" customHeight="1" x14ac:dyDescent="0.2">
      <c r="B5409" s="236"/>
      <c r="C5409" s="236"/>
      <c r="D5409" s="236"/>
    </row>
    <row r="5410" spans="2:4" x14ac:dyDescent="0.2">
      <c r="B5410" s="236"/>
      <c r="C5410" s="236"/>
      <c r="D5410" s="236"/>
    </row>
    <row r="5411" spans="2:4" ht="12.75" customHeight="1" x14ac:dyDescent="0.2">
      <c r="B5411" s="236"/>
      <c r="C5411" s="236"/>
      <c r="D5411" s="236"/>
    </row>
    <row r="5412" spans="2:4" ht="12.75" customHeight="1" x14ac:dyDescent="0.2">
      <c r="B5412" s="236"/>
      <c r="C5412" s="236"/>
      <c r="D5412" s="236"/>
    </row>
    <row r="5413" spans="2:4" ht="12.75" customHeight="1" x14ac:dyDescent="0.2">
      <c r="B5413" s="236"/>
      <c r="C5413" s="236"/>
      <c r="D5413" s="236"/>
    </row>
    <row r="5414" spans="2:4" ht="12.75" customHeight="1" x14ac:dyDescent="0.2">
      <c r="B5414" s="236"/>
      <c r="C5414" s="236"/>
      <c r="D5414" s="236"/>
    </row>
    <row r="5415" spans="2:4" x14ac:dyDescent="0.2">
      <c r="B5415" s="236"/>
      <c r="C5415" s="236"/>
      <c r="D5415" s="236"/>
    </row>
    <row r="5416" spans="2:4" x14ac:dyDescent="0.2">
      <c r="B5416" s="236"/>
      <c r="C5416" s="236"/>
      <c r="D5416" s="236"/>
    </row>
    <row r="5417" spans="2:4" ht="12.75" customHeight="1" x14ac:dyDescent="0.2">
      <c r="B5417" s="236"/>
      <c r="C5417" s="236"/>
      <c r="D5417" s="236"/>
    </row>
    <row r="5418" spans="2:4" x14ac:dyDescent="0.2">
      <c r="B5418" s="236"/>
      <c r="C5418" s="236"/>
      <c r="D5418" s="236"/>
    </row>
    <row r="5419" spans="2:4" ht="12.75" customHeight="1" x14ac:dyDescent="0.2">
      <c r="B5419" s="236"/>
      <c r="C5419" s="236"/>
      <c r="D5419" s="236"/>
    </row>
    <row r="5420" spans="2:4" x14ac:dyDescent="0.2">
      <c r="B5420" s="236"/>
      <c r="C5420" s="236"/>
      <c r="D5420" s="236"/>
    </row>
    <row r="5421" spans="2:4" x14ac:dyDescent="0.2">
      <c r="B5421" s="236"/>
      <c r="C5421" s="236"/>
      <c r="D5421" s="236"/>
    </row>
    <row r="5422" spans="2:4" ht="12.75" customHeight="1" x14ac:dyDescent="0.2">
      <c r="B5422" s="236"/>
      <c r="C5422" s="236"/>
      <c r="D5422" s="236"/>
    </row>
    <row r="5423" spans="2:4" ht="12.75" customHeight="1" x14ac:dyDescent="0.2">
      <c r="B5423" s="236"/>
      <c r="C5423" s="236"/>
      <c r="D5423" s="236"/>
    </row>
    <row r="5424" spans="2:4" x14ac:dyDescent="0.2">
      <c r="B5424" s="236"/>
      <c r="C5424" s="236"/>
      <c r="D5424" s="236"/>
    </row>
    <row r="5425" spans="2:4" ht="12.75" customHeight="1" x14ac:dyDescent="0.2">
      <c r="B5425" s="236"/>
      <c r="C5425" s="236"/>
      <c r="D5425" s="236"/>
    </row>
    <row r="5426" spans="2:4" ht="12.75" customHeight="1" x14ac:dyDescent="0.2">
      <c r="B5426" s="236"/>
      <c r="C5426" s="236"/>
      <c r="D5426" s="236"/>
    </row>
    <row r="5427" spans="2:4" x14ac:dyDescent="0.2">
      <c r="B5427" s="236"/>
      <c r="C5427" s="236"/>
      <c r="D5427" s="236"/>
    </row>
    <row r="5428" spans="2:4" ht="12.75" customHeight="1" x14ac:dyDescent="0.2">
      <c r="B5428" s="236"/>
      <c r="C5428" s="236"/>
      <c r="D5428" s="236"/>
    </row>
    <row r="5429" spans="2:4" ht="12.75" customHeight="1" x14ac:dyDescent="0.2">
      <c r="B5429" s="236"/>
      <c r="C5429" s="236"/>
      <c r="D5429" s="236"/>
    </row>
    <row r="5430" spans="2:4" ht="12.75" customHeight="1" x14ac:dyDescent="0.2">
      <c r="B5430" s="236"/>
      <c r="C5430" s="236"/>
      <c r="D5430" s="236"/>
    </row>
    <row r="5431" spans="2:4" ht="12.75" customHeight="1" x14ac:dyDescent="0.2">
      <c r="B5431" s="236"/>
      <c r="C5431" s="236"/>
      <c r="D5431" s="236"/>
    </row>
    <row r="5432" spans="2:4" ht="12.75" customHeight="1" x14ac:dyDescent="0.2">
      <c r="B5432" s="236"/>
      <c r="C5432" s="236"/>
      <c r="D5432" s="236"/>
    </row>
    <row r="5433" spans="2:4" x14ac:dyDescent="0.2">
      <c r="B5433" s="236"/>
      <c r="C5433" s="236"/>
      <c r="D5433" s="236"/>
    </row>
    <row r="5434" spans="2:4" ht="12.75" customHeight="1" x14ac:dyDescent="0.2">
      <c r="B5434" s="236"/>
      <c r="C5434" s="236"/>
      <c r="D5434" s="236"/>
    </row>
    <row r="5435" spans="2:4" x14ac:dyDescent="0.2">
      <c r="B5435" s="236"/>
      <c r="C5435" s="236"/>
      <c r="D5435" s="236"/>
    </row>
    <row r="5436" spans="2:4" x14ac:dyDescent="0.2">
      <c r="B5436" s="236"/>
      <c r="C5436" s="236"/>
      <c r="D5436" s="236"/>
    </row>
    <row r="5437" spans="2:4" x14ac:dyDescent="0.2">
      <c r="B5437" s="236"/>
      <c r="C5437" s="236"/>
      <c r="D5437" s="236"/>
    </row>
    <row r="5438" spans="2:4" ht="12.75" customHeight="1" x14ac:dyDescent="0.2">
      <c r="B5438" s="236"/>
      <c r="C5438" s="236"/>
      <c r="D5438" s="236"/>
    </row>
    <row r="5439" spans="2:4" x14ac:dyDescent="0.2">
      <c r="B5439" s="236"/>
      <c r="C5439" s="236"/>
      <c r="D5439" s="236"/>
    </row>
    <row r="5440" spans="2:4" ht="12.75" customHeight="1" x14ac:dyDescent="0.2">
      <c r="B5440" s="236"/>
      <c r="C5440" s="236"/>
      <c r="D5440" s="236"/>
    </row>
    <row r="5441" spans="2:4" ht="12.75" customHeight="1" x14ac:dyDescent="0.2">
      <c r="B5441" s="236"/>
      <c r="C5441" s="236"/>
      <c r="D5441" s="236"/>
    </row>
    <row r="5442" spans="2:4" ht="12.75" customHeight="1" x14ac:dyDescent="0.2">
      <c r="B5442" s="236"/>
      <c r="C5442" s="236"/>
      <c r="D5442" s="236"/>
    </row>
    <row r="5443" spans="2:4" x14ac:dyDescent="0.2">
      <c r="B5443" s="236"/>
      <c r="C5443" s="236"/>
      <c r="D5443" s="236"/>
    </row>
    <row r="5444" spans="2:4" x14ac:dyDescent="0.2">
      <c r="B5444" s="236"/>
      <c r="C5444" s="236"/>
      <c r="D5444" s="236"/>
    </row>
    <row r="5445" spans="2:4" ht="12.75" customHeight="1" x14ac:dyDescent="0.2">
      <c r="B5445" s="236"/>
      <c r="C5445" s="236"/>
      <c r="D5445" s="236"/>
    </row>
    <row r="5446" spans="2:4" ht="12.75" customHeight="1" x14ac:dyDescent="0.2">
      <c r="B5446" s="236"/>
      <c r="C5446" s="236"/>
      <c r="D5446" s="236"/>
    </row>
    <row r="5447" spans="2:4" ht="12.75" customHeight="1" x14ac:dyDescent="0.2">
      <c r="B5447" s="236"/>
      <c r="C5447" s="236"/>
      <c r="D5447" s="236"/>
    </row>
    <row r="5448" spans="2:4" ht="12.75" customHeight="1" x14ac:dyDescent="0.2">
      <c r="B5448" s="236"/>
      <c r="C5448" s="236"/>
      <c r="D5448" s="236"/>
    </row>
    <row r="5449" spans="2:4" ht="12.75" customHeight="1" x14ac:dyDescent="0.2">
      <c r="B5449" s="236"/>
      <c r="C5449" s="236"/>
      <c r="D5449" s="236"/>
    </row>
    <row r="5450" spans="2:4" x14ac:dyDescent="0.2">
      <c r="B5450" s="236"/>
      <c r="C5450" s="236"/>
      <c r="D5450" s="236"/>
    </row>
    <row r="5451" spans="2:4" ht="12.75" customHeight="1" x14ac:dyDescent="0.2">
      <c r="B5451" s="236"/>
      <c r="C5451" s="236"/>
      <c r="D5451" s="236"/>
    </row>
    <row r="5452" spans="2:4" x14ac:dyDescent="0.2">
      <c r="B5452" s="236"/>
      <c r="C5452" s="236"/>
      <c r="D5452" s="236"/>
    </row>
    <row r="5453" spans="2:4" ht="12.75" customHeight="1" x14ac:dyDescent="0.2">
      <c r="B5453" s="236"/>
      <c r="C5453" s="236"/>
      <c r="D5453" s="236"/>
    </row>
    <row r="5454" spans="2:4" x14ac:dyDescent="0.2">
      <c r="B5454" s="236"/>
      <c r="C5454" s="236"/>
      <c r="D5454" s="236"/>
    </row>
    <row r="5455" spans="2:4" ht="12.75" customHeight="1" x14ac:dyDescent="0.2">
      <c r="B5455" s="236"/>
      <c r="C5455" s="236"/>
      <c r="D5455" s="236"/>
    </row>
    <row r="5456" spans="2:4" ht="12.75" customHeight="1" x14ac:dyDescent="0.2">
      <c r="B5456" s="236"/>
      <c r="C5456" s="236"/>
      <c r="D5456" s="236"/>
    </row>
    <row r="5457" spans="2:4" ht="12.75" customHeight="1" x14ac:dyDescent="0.2">
      <c r="B5457" s="236"/>
      <c r="C5457" s="236"/>
      <c r="D5457" s="236"/>
    </row>
    <row r="5458" spans="2:4" ht="12.75" customHeight="1" x14ac:dyDescent="0.2">
      <c r="B5458" s="236"/>
      <c r="C5458" s="236"/>
      <c r="D5458" s="236"/>
    </row>
    <row r="5459" spans="2:4" ht="12.75" customHeight="1" x14ac:dyDescent="0.2">
      <c r="B5459" s="236"/>
      <c r="C5459" s="236"/>
      <c r="D5459" s="236"/>
    </row>
    <row r="5460" spans="2:4" ht="12.75" customHeight="1" x14ac:dyDescent="0.2">
      <c r="B5460" s="236"/>
      <c r="C5460" s="236"/>
      <c r="D5460" s="236"/>
    </row>
    <row r="5461" spans="2:4" ht="12.75" customHeight="1" x14ac:dyDescent="0.2">
      <c r="B5461" s="236"/>
      <c r="C5461" s="236"/>
      <c r="D5461" s="236"/>
    </row>
    <row r="5462" spans="2:4" ht="12.75" customHeight="1" x14ac:dyDescent="0.2">
      <c r="B5462" s="236"/>
      <c r="C5462" s="236"/>
      <c r="D5462" s="236"/>
    </row>
    <row r="5463" spans="2:4" ht="12.75" customHeight="1" x14ac:dyDescent="0.2">
      <c r="B5463" s="236"/>
      <c r="C5463" s="236"/>
      <c r="D5463" s="236"/>
    </row>
    <row r="5464" spans="2:4" ht="12.75" customHeight="1" x14ac:dyDescent="0.2">
      <c r="B5464" s="236"/>
      <c r="C5464" s="236"/>
      <c r="D5464" s="236"/>
    </row>
    <row r="5465" spans="2:4" ht="12.75" customHeight="1" x14ac:dyDescent="0.2">
      <c r="B5465" s="236"/>
      <c r="C5465" s="236"/>
      <c r="D5465" s="236"/>
    </row>
    <row r="5466" spans="2:4" ht="12.75" customHeight="1" x14ac:dyDescent="0.2">
      <c r="B5466" s="236"/>
      <c r="C5466" s="236"/>
      <c r="D5466" s="236"/>
    </row>
    <row r="5467" spans="2:4" ht="12.75" customHeight="1" x14ac:dyDescent="0.2">
      <c r="B5467" s="236"/>
      <c r="C5467" s="236"/>
      <c r="D5467" s="236"/>
    </row>
    <row r="5468" spans="2:4" x14ac:dyDescent="0.2">
      <c r="B5468" s="236"/>
      <c r="C5468" s="236"/>
      <c r="D5468" s="236"/>
    </row>
    <row r="5469" spans="2:4" ht="12.75" customHeight="1" x14ac:dyDescent="0.2">
      <c r="B5469" s="236"/>
      <c r="C5469" s="236"/>
      <c r="D5469" s="236"/>
    </row>
    <row r="5470" spans="2:4" ht="12.75" customHeight="1" x14ac:dyDescent="0.2">
      <c r="B5470" s="236"/>
      <c r="C5470" s="236"/>
      <c r="D5470" s="236"/>
    </row>
    <row r="5471" spans="2:4" ht="12.75" customHeight="1" x14ac:dyDescent="0.2">
      <c r="B5471" s="236"/>
      <c r="C5471" s="236"/>
      <c r="D5471" s="236"/>
    </row>
    <row r="5472" spans="2:4" x14ac:dyDescent="0.2">
      <c r="B5472" s="236"/>
      <c r="C5472" s="236"/>
      <c r="D5472" s="236"/>
    </row>
    <row r="5473" spans="2:4" ht="12.75" customHeight="1" x14ac:dyDescent="0.2">
      <c r="B5473" s="236"/>
      <c r="C5473" s="236"/>
      <c r="D5473" s="236"/>
    </row>
    <row r="5474" spans="2:4" x14ac:dyDescent="0.2">
      <c r="B5474" s="236"/>
      <c r="C5474" s="236"/>
      <c r="D5474" s="236"/>
    </row>
    <row r="5475" spans="2:4" ht="12.75" customHeight="1" x14ac:dyDescent="0.2">
      <c r="B5475" s="236"/>
      <c r="C5475" s="236"/>
      <c r="D5475" s="236"/>
    </row>
    <row r="5476" spans="2:4" x14ac:dyDescent="0.2">
      <c r="B5476" s="236"/>
      <c r="C5476" s="236"/>
      <c r="D5476" s="236"/>
    </row>
    <row r="5477" spans="2:4" ht="12.75" customHeight="1" x14ac:dyDescent="0.2">
      <c r="B5477" s="236"/>
      <c r="C5477" s="236"/>
      <c r="D5477" s="236"/>
    </row>
    <row r="5478" spans="2:4" ht="12.75" customHeight="1" x14ac:dyDescent="0.2">
      <c r="B5478" s="236"/>
      <c r="C5478" s="236"/>
      <c r="D5478" s="236"/>
    </row>
    <row r="5479" spans="2:4" x14ac:dyDescent="0.2">
      <c r="B5479" s="236"/>
      <c r="C5479" s="236"/>
      <c r="D5479" s="236"/>
    </row>
    <row r="5480" spans="2:4" ht="12.75" customHeight="1" x14ac:dyDescent="0.2">
      <c r="B5480" s="236"/>
      <c r="C5480" s="236"/>
      <c r="D5480" s="236"/>
    </row>
    <row r="5481" spans="2:4" ht="12.75" customHeight="1" x14ac:dyDescent="0.2">
      <c r="B5481" s="236"/>
      <c r="C5481" s="236"/>
      <c r="D5481" s="236"/>
    </row>
    <row r="5482" spans="2:4" ht="12.75" customHeight="1" x14ac:dyDescent="0.2">
      <c r="B5482" s="236"/>
      <c r="C5482" s="236"/>
      <c r="D5482" s="236"/>
    </row>
    <row r="5483" spans="2:4" x14ac:dyDescent="0.2">
      <c r="B5483" s="236"/>
      <c r="C5483" s="236"/>
      <c r="D5483" s="236"/>
    </row>
    <row r="5484" spans="2:4" ht="12.75" customHeight="1" x14ac:dyDescent="0.2">
      <c r="B5484" s="236"/>
      <c r="C5484" s="236"/>
      <c r="D5484" s="236"/>
    </row>
    <row r="5485" spans="2:4" ht="12.75" customHeight="1" x14ac:dyDescent="0.2">
      <c r="B5485" s="236"/>
      <c r="C5485" s="236"/>
      <c r="D5485" s="236"/>
    </row>
    <row r="5486" spans="2:4" x14ac:dyDescent="0.2">
      <c r="B5486" s="236"/>
      <c r="C5486" s="236"/>
      <c r="D5486" s="236"/>
    </row>
    <row r="5487" spans="2:4" ht="12.75" customHeight="1" x14ac:dyDescent="0.2">
      <c r="B5487" s="236"/>
      <c r="C5487" s="236"/>
      <c r="D5487" s="236"/>
    </row>
    <row r="5488" spans="2:4" ht="12.75" customHeight="1" x14ac:dyDescent="0.2">
      <c r="B5488" s="236"/>
      <c r="C5488" s="236"/>
      <c r="D5488" s="236"/>
    </row>
    <row r="5489" spans="2:4" ht="12.75" customHeight="1" x14ac:dyDescent="0.2">
      <c r="B5489" s="236"/>
      <c r="C5489" s="236"/>
      <c r="D5489" s="236"/>
    </row>
    <row r="5490" spans="2:4" x14ac:dyDescent="0.2">
      <c r="B5490" s="236"/>
      <c r="C5490" s="236"/>
      <c r="D5490" s="236"/>
    </row>
    <row r="5491" spans="2:4" ht="12.75" customHeight="1" x14ac:dyDescent="0.2">
      <c r="B5491" s="236"/>
      <c r="C5491" s="236"/>
      <c r="D5491" s="236"/>
    </row>
    <row r="5492" spans="2:4" ht="12.75" customHeight="1" x14ac:dyDescent="0.2">
      <c r="B5492" s="236"/>
      <c r="C5492" s="236"/>
      <c r="D5492" s="236"/>
    </row>
    <row r="5493" spans="2:4" x14ac:dyDescent="0.2">
      <c r="B5493" s="236"/>
      <c r="C5493" s="236"/>
      <c r="D5493" s="236"/>
    </row>
    <row r="5494" spans="2:4" ht="12.75" customHeight="1" x14ac:dyDescent="0.2">
      <c r="B5494" s="236"/>
      <c r="C5494" s="236"/>
      <c r="D5494" s="236"/>
    </row>
    <row r="5495" spans="2:4" ht="12.75" customHeight="1" x14ac:dyDescent="0.2">
      <c r="B5495" s="236"/>
      <c r="C5495" s="236"/>
      <c r="D5495" s="236"/>
    </row>
    <row r="5496" spans="2:4" x14ac:dyDescent="0.2">
      <c r="B5496" s="236"/>
      <c r="C5496" s="236"/>
      <c r="D5496" s="236"/>
    </row>
    <row r="5497" spans="2:4" x14ac:dyDescent="0.2">
      <c r="B5497" s="236"/>
      <c r="C5497" s="236"/>
      <c r="D5497" s="236"/>
    </row>
    <row r="5498" spans="2:4" x14ac:dyDescent="0.2">
      <c r="B5498" s="236"/>
      <c r="C5498" s="236"/>
      <c r="D5498" s="236"/>
    </row>
    <row r="5499" spans="2:4" x14ac:dyDescent="0.2">
      <c r="B5499" s="236"/>
      <c r="C5499" s="236"/>
      <c r="D5499" s="236"/>
    </row>
    <row r="5500" spans="2:4" ht="12.75" customHeight="1" x14ac:dyDescent="0.2">
      <c r="B5500" s="236"/>
      <c r="C5500" s="236"/>
      <c r="D5500" s="236"/>
    </row>
    <row r="5501" spans="2:4" ht="12.75" customHeight="1" x14ac:dyDescent="0.2">
      <c r="B5501" s="236"/>
      <c r="C5501" s="236"/>
      <c r="D5501" s="236"/>
    </row>
    <row r="5502" spans="2:4" ht="12.75" customHeight="1" x14ac:dyDescent="0.2">
      <c r="B5502" s="236"/>
      <c r="C5502" s="236"/>
      <c r="D5502" s="236"/>
    </row>
    <row r="5503" spans="2:4" x14ac:dyDescent="0.2">
      <c r="B5503" s="236"/>
      <c r="C5503" s="236"/>
      <c r="D5503" s="236"/>
    </row>
    <row r="5504" spans="2:4" ht="12.75" customHeight="1" x14ac:dyDescent="0.2">
      <c r="B5504" s="236"/>
      <c r="C5504" s="236"/>
      <c r="D5504" s="236"/>
    </row>
    <row r="5505" spans="2:4" ht="12.75" customHeight="1" x14ac:dyDescent="0.2">
      <c r="B5505" s="236"/>
      <c r="C5505" s="236"/>
      <c r="D5505" s="236"/>
    </row>
    <row r="5506" spans="2:4" x14ac:dyDescent="0.2">
      <c r="B5506" s="236"/>
      <c r="C5506" s="236"/>
      <c r="D5506" s="236"/>
    </row>
    <row r="5507" spans="2:4" ht="12.75" customHeight="1" x14ac:dyDescent="0.2">
      <c r="B5507" s="236"/>
      <c r="C5507" s="236"/>
      <c r="D5507" s="236"/>
    </row>
    <row r="5508" spans="2:4" ht="12.75" customHeight="1" x14ac:dyDescent="0.2">
      <c r="B5508" s="236"/>
      <c r="C5508" s="236"/>
      <c r="D5508" s="236"/>
    </row>
    <row r="5509" spans="2:4" ht="12.75" customHeight="1" x14ac:dyDescent="0.2">
      <c r="B5509" s="236"/>
      <c r="C5509" s="236"/>
      <c r="D5509" s="236"/>
    </row>
    <row r="5510" spans="2:4" ht="12.75" customHeight="1" x14ac:dyDescent="0.2">
      <c r="B5510" s="236"/>
      <c r="C5510" s="236"/>
      <c r="D5510" s="236"/>
    </row>
    <row r="5511" spans="2:4" ht="12.75" customHeight="1" x14ac:dyDescent="0.2">
      <c r="B5511" s="236"/>
      <c r="C5511" s="236"/>
      <c r="D5511" s="236"/>
    </row>
    <row r="5512" spans="2:4" ht="12.75" customHeight="1" x14ac:dyDescent="0.2">
      <c r="B5512" s="236"/>
      <c r="C5512" s="236"/>
      <c r="D5512" s="236"/>
    </row>
    <row r="5513" spans="2:4" x14ac:dyDescent="0.2">
      <c r="B5513" s="236"/>
      <c r="C5513" s="236"/>
      <c r="D5513" s="236"/>
    </row>
    <row r="5514" spans="2:4" ht="12.75" customHeight="1" x14ac:dyDescent="0.2">
      <c r="B5514" s="236"/>
      <c r="C5514" s="236"/>
      <c r="D5514" s="236"/>
    </row>
    <row r="5515" spans="2:4" ht="12.75" customHeight="1" x14ac:dyDescent="0.2">
      <c r="B5515" s="236"/>
      <c r="C5515" s="236"/>
      <c r="D5515" s="236"/>
    </row>
    <row r="5516" spans="2:4" ht="12.75" customHeight="1" x14ac:dyDescent="0.2">
      <c r="B5516" s="236"/>
      <c r="C5516" s="236"/>
      <c r="D5516" s="236"/>
    </row>
    <row r="5517" spans="2:4" ht="12.75" customHeight="1" x14ac:dyDescent="0.2">
      <c r="B5517" s="236"/>
      <c r="C5517" s="236"/>
      <c r="D5517" s="236"/>
    </row>
    <row r="5518" spans="2:4" x14ac:dyDescent="0.2">
      <c r="B5518" s="236"/>
      <c r="C5518" s="236"/>
      <c r="D5518" s="236"/>
    </row>
    <row r="5519" spans="2:4" ht="12.75" customHeight="1" x14ac:dyDescent="0.2">
      <c r="B5519" s="236"/>
      <c r="C5519" s="236"/>
      <c r="D5519" s="236"/>
    </row>
    <row r="5520" spans="2:4" ht="12.75" customHeight="1" x14ac:dyDescent="0.2">
      <c r="B5520" s="236"/>
      <c r="C5520" s="236"/>
      <c r="D5520" s="236"/>
    </row>
    <row r="5521" spans="2:4" x14ac:dyDescent="0.2">
      <c r="B5521" s="236"/>
      <c r="C5521" s="236"/>
      <c r="D5521" s="236"/>
    </row>
    <row r="5522" spans="2:4" ht="12.75" customHeight="1" x14ac:dyDescent="0.2">
      <c r="B5522" s="236"/>
      <c r="C5522" s="236"/>
      <c r="D5522" s="236"/>
    </row>
    <row r="5523" spans="2:4" ht="12.75" customHeight="1" x14ac:dyDescent="0.2">
      <c r="B5523" s="236"/>
      <c r="C5523" s="236"/>
      <c r="D5523" s="236"/>
    </row>
    <row r="5524" spans="2:4" x14ac:dyDescent="0.2">
      <c r="B5524" s="236"/>
      <c r="C5524" s="236"/>
      <c r="D5524" s="236"/>
    </row>
    <row r="5525" spans="2:4" ht="12.75" customHeight="1" x14ac:dyDescent="0.2">
      <c r="B5525" s="236"/>
      <c r="C5525" s="236"/>
      <c r="D5525" s="236"/>
    </row>
    <row r="5526" spans="2:4" x14ac:dyDescent="0.2">
      <c r="B5526" s="236"/>
      <c r="C5526" s="236"/>
      <c r="D5526" s="236"/>
    </row>
    <row r="5527" spans="2:4" ht="12.75" customHeight="1" x14ac:dyDescent="0.2">
      <c r="B5527" s="236"/>
      <c r="C5527" s="236"/>
      <c r="D5527" s="236"/>
    </row>
    <row r="5528" spans="2:4" x14ac:dyDescent="0.2">
      <c r="B5528" s="236"/>
      <c r="C5528" s="236"/>
      <c r="D5528" s="236"/>
    </row>
    <row r="5529" spans="2:4" x14ac:dyDescent="0.2">
      <c r="B5529" s="236"/>
      <c r="C5529" s="236"/>
      <c r="D5529" s="236"/>
    </row>
    <row r="5530" spans="2:4" ht="12.75" customHeight="1" x14ac:dyDescent="0.2">
      <c r="B5530" s="236"/>
      <c r="C5530" s="236"/>
      <c r="D5530" s="236"/>
    </row>
    <row r="5531" spans="2:4" x14ac:dyDescent="0.2">
      <c r="B5531" s="236"/>
      <c r="C5531" s="236"/>
      <c r="D5531" s="236"/>
    </row>
    <row r="5532" spans="2:4" ht="12.75" customHeight="1" x14ac:dyDescent="0.2">
      <c r="B5532" s="236"/>
      <c r="C5532" s="236"/>
      <c r="D5532" s="236"/>
    </row>
    <row r="5533" spans="2:4" x14ac:dyDescent="0.2">
      <c r="B5533" s="236"/>
      <c r="C5533" s="236"/>
      <c r="D5533" s="236"/>
    </row>
    <row r="5534" spans="2:4" x14ac:dyDescent="0.2">
      <c r="B5534" s="236"/>
      <c r="C5534" s="236"/>
      <c r="D5534" s="236"/>
    </row>
    <row r="5535" spans="2:4" ht="12.75" customHeight="1" x14ac:dyDescent="0.2">
      <c r="B5535" s="236"/>
      <c r="C5535" s="236"/>
      <c r="D5535" s="236"/>
    </row>
    <row r="5536" spans="2:4" x14ac:dyDescent="0.2">
      <c r="B5536" s="236"/>
      <c r="C5536" s="236"/>
      <c r="D5536" s="236"/>
    </row>
    <row r="5537" spans="2:4" x14ac:dyDescent="0.2">
      <c r="B5537" s="236"/>
      <c r="C5537" s="236"/>
      <c r="D5537" s="236"/>
    </row>
    <row r="5538" spans="2:4" ht="12.75" customHeight="1" x14ac:dyDescent="0.2">
      <c r="B5538" s="236"/>
      <c r="C5538" s="236"/>
      <c r="D5538" s="236"/>
    </row>
    <row r="5539" spans="2:4" x14ac:dyDescent="0.2">
      <c r="B5539" s="236"/>
      <c r="C5539" s="236"/>
      <c r="D5539" s="236"/>
    </row>
    <row r="5540" spans="2:4" ht="12.75" customHeight="1" x14ac:dyDescent="0.2">
      <c r="B5540" s="236"/>
      <c r="C5540" s="236"/>
      <c r="D5540" s="236"/>
    </row>
    <row r="5541" spans="2:4" ht="12.75" customHeight="1" x14ac:dyDescent="0.2">
      <c r="B5541" s="236"/>
      <c r="C5541" s="236"/>
      <c r="D5541" s="236"/>
    </row>
    <row r="5542" spans="2:4" x14ac:dyDescent="0.2">
      <c r="B5542" s="236"/>
      <c r="C5542" s="236"/>
      <c r="D5542" s="236"/>
    </row>
    <row r="5543" spans="2:4" ht="12.75" customHeight="1" x14ac:dyDescent="0.2">
      <c r="B5543" s="236"/>
      <c r="C5543" s="236"/>
      <c r="D5543" s="236"/>
    </row>
    <row r="5544" spans="2:4" ht="12.75" customHeight="1" x14ac:dyDescent="0.2">
      <c r="B5544" s="236"/>
      <c r="C5544" s="236"/>
      <c r="D5544" s="236"/>
    </row>
    <row r="5545" spans="2:4" ht="12.75" customHeight="1" x14ac:dyDescent="0.2">
      <c r="B5545" s="236"/>
      <c r="C5545" s="236"/>
      <c r="D5545" s="236"/>
    </row>
    <row r="5546" spans="2:4" x14ac:dyDescent="0.2">
      <c r="B5546" s="236"/>
      <c r="C5546" s="236"/>
      <c r="D5546" s="236"/>
    </row>
    <row r="5547" spans="2:4" ht="12.75" customHeight="1" x14ac:dyDescent="0.2">
      <c r="B5547" s="236"/>
      <c r="C5547" s="236"/>
      <c r="D5547" s="236"/>
    </row>
    <row r="5548" spans="2:4" ht="12.75" customHeight="1" x14ac:dyDescent="0.2">
      <c r="B5548" s="236"/>
      <c r="C5548" s="236"/>
      <c r="D5548" s="236"/>
    </row>
    <row r="5549" spans="2:4" ht="12.75" customHeight="1" x14ac:dyDescent="0.2">
      <c r="B5549" s="236"/>
      <c r="C5549" s="236"/>
      <c r="D5549" s="236"/>
    </row>
    <row r="5550" spans="2:4" ht="12.75" customHeight="1" x14ac:dyDescent="0.2">
      <c r="B5550" s="236"/>
      <c r="C5550" s="236"/>
      <c r="D5550" s="236"/>
    </row>
    <row r="5551" spans="2:4" ht="12.75" customHeight="1" x14ac:dyDescent="0.2">
      <c r="B5551" s="236"/>
      <c r="C5551" s="236"/>
      <c r="D5551" s="236"/>
    </row>
    <row r="5552" spans="2:4" x14ac:dyDescent="0.2">
      <c r="B5552" s="236"/>
      <c r="C5552" s="236"/>
      <c r="D5552" s="236"/>
    </row>
    <row r="5553" spans="2:4" ht="12.75" customHeight="1" x14ac:dyDescent="0.2">
      <c r="B5553" s="236"/>
      <c r="C5553" s="236"/>
      <c r="D5553" s="236"/>
    </row>
    <row r="5554" spans="2:4" ht="12.75" customHeight="1" x14ac:dyDescent="0.2">
      <c r="B5554" s="236"/>
      <c r="C5554" s="236"/>
      <c r="D5554" s="236"/>
    </row>
    <row r="5555" spans="2:4" x14ac:dyDescent="0.2">
      <c r="B5555" s="236"/>
      <c r="C5555" s="236"/>
      <c r="D5555" s="236"/>
    </row>
    <row r="5556" spans="2:4" x14ac:dyDescent="0.2">
      <c r="B5556" s="236"/>
      <c r="C5556" s="236"/>
      <c r="D5556" s="236"/>
    </row>
    <row r="5557" spans="2:4" ht="12.75" customHeight="1" x14ac:dyDescent="0.2">
      <c r="B5557" s="236"/>
      <c r="C5557" s="236"/>
      <c r="D5557" s="236"/>
    </row>
    <row r="5558" spans="2:4" x14ac:dyDescent="0.2">
      <c r="B5558" s="236"/>
      <c r="C5558" s="236"/>
      <c r="D5558" s="236"/>
    </row>
    <row r="5559" spans="2:4" ht="12.75" customHeight="1" x14ac:dyDescent="0.2">
      <c r="B5559" s="236"/>
      <c r="C5559" s="236"/>
      <c r="D5559" s="236"/>
    </row>
    <row r="5560" spans="2:4" x14ac:dyDescent="0.2">
      <c r="B5560" s="236"/>
      <c r="C5560" s="236"/>
      <c r="D5560" s="236"/>
    </row>
    <row r="5561" spans="2:4" x14ac:dyDescent="0.2">
      <c r="B5561" s="236"/>
      <c r="C5561" s="236"/>
      <c r="D5561" s="236"/>
    </row>
    <row r="5562" spans="2:4" x14ac:dyDescent="0.2">
      <c r="B5562" s="236"/>
      <c r="C5562" s="236"/>
      <c r="D5562" s="236"/>
    </row>
    <row r="5563" spans="2:4" ht="12.75" customHeight="1" x14ac:dyDescent="0.2">
      <c r="B5563" s="236"/>
      <c r="C5563" s="236"/>
      <c r="D5563" s="236"/>
    </row>
    <row r="5564" spans="2:4" x14ac:dyDescent="0.2">
      <c r="B5564" s="236"/>
      <c r="C5564" s="236"/>
      <c r="D5564" s="236"/>
    </row>
    <row r="5565" spans="2:4" ht="12.75" customHeight="1" x14ac:dyDescent="0.2">
      <c r="B5565" s="236"/>
      <c r="C5565" s="236"/>
      <c r="D5565" s="236"/>
    </row>
    <row r="5566" spans="2:4" ht="12.75" customHeight="1" x14ac:dyDescent="0.2">
      <c r="B5566" s="236"/>
      <c r="C5566" s="236"/>
      <c r="D5566" s="236"/>
    </row>
    <row r="5567" spans="2:4" ht="12.75" customHeight="1" x14ac:dyDescent="0.2">
      <c r="B5567" s="236"/>
      <c r="C5567" s="236"/>
      <c r="D5567" s="236"/>
    </row>
    <row r="5568" spans="2:4" ht="12.75" customHeight="1" x14ac:dyDescent="0.2">
      <c r="B5568" s="236"/>
      <c r="C5568" s="236"/>
      <c r="D5568" s="236"/>
    </row>
    <row r="5569" spans="2:4" x14ac:dyDescent="0.2">
      <c r="B5569" s="236"/>
      <c r="C5569" s="236"/>
      <c r="D5569" s="236"/>
    </row>
    <row r="5570" spans="2:4" ht="12.75" customHeight="1" x14ac:dyDescent="0.2">
      <c r="B5570" s="236"/>
      <c r="C5570" s="236"/>
      <c r="D5570" s="236"/>
    </row>
    <row r="5571" spans="2:4" x14ac:dyDescent="0.2">
      <c r="B5571" s="236"/>
      <c r="C5571" s="236"/>
      <c r="D5571" s="236"/>
    </row>
    <row r="5572" spans="2:4" ht="12.75" customHeight="1" x14ac:dyDescent="0.2">
      <c r="B5572" s="236"/>
      <c r="C5572" s="236"/>
      <c r="D5572" s="236"/>
    </row>
    <row r="5573" spans="2:4" x14ac:dyDescent="0.2">
      <c r="B5573" s="236"/>
      <c r="C5573" s="236"/>
      <c r="D5573" s="236"/>
    </row>
    <row r="5574" spans="2:4" ht="12.75" customHeight="1" x14ac:dyDescent="0.2">
      <c r="B5574" s="236"/>
      <c r="C5574" s="236"/>
      <c r="D5574" s="236"/>
    </row>
    <row r="5575" spans="2:4" ht="12.75" customHeight="1" x14ac:dyDescent="0.2">
      <c r="B5575" s="236"/>
      <c r="C5575" s="236"/>
      <c r="D5575" s="236"/>
    </row>
    <row r="5576" spans="2:4" x14ac:dyDescent="0.2">
      <c r="B5576" s="236"/>
      <c r="C5576" s="236"/>
      <c r="D5576" s="236"/>
    </row>
    <row r="5577" spans="2:4" ht="12.75" customHeight="1" x14ac:dyDescent="0.2">
      <c r="B5577" s="236"/>
      <c r="C5577" s="236"/>
      <c r="D5577" s="236"/>
    </row>
    <row r="5578" spans="2:4" x14ac:dyDescent="0.2">
      <c r="B5578" s="236"/>
      <c r="C5578" s="236"/>
      <c r="D5578" s="236"/>
    </row>
    <row r="5579" spans="2:4" ht="12.75" customHeight="1" x14ac:dyDescent="0.2">
      <c r="B5579" s="236"/>
      <c r="C5579" s="236"/>
      <c r="D5579" s="236"/>
    </row>
    <row r="5580" spans="2:4" x14ac:dyDescent="0.2">
      <c r="B5580" s="236"/>
      <c r="C5580" s="236"/>
      <c r="D5580" s="236"/>
    </row>
    <row r="5581" spans="2:4" ht="12.75" customHeight="1" x14ac:dyDescent="0.2">
      <c r="B5581" s="236"/>
      <c r="C5581" s="236"/>
      <c r="D5581" s="236"/>
    </row>
    <row r="5582" spans="2:4" x14ac:dyDescent="0.2">
      <c r="B5582" s="236"/>
      <c r="C5582" s="236"/>
      <c r="D5582" s="236"/>
    </row>
    <row r="5583" spans="2:4" x14ac:dyDescent="0.2">
      <c r="B5583" s="236"/>
      <c r="C5583" s="236"/>
      <c r="D5583" s="236"/>
    </row>
    <row r="5584" spans="2:4" x14ac:dyDescent="0.2">
      <c r="B5584" s="236"/>
      <c r="C5584" s="236"/>
      <c r="D5584" s="236"/>
    </row>
    <row r="5585" spans="2:4" ht="12.75" customHeight="1" x14ac:dyDescent="0.2">
      <c r="B5585" s="236"/>
      <c r="C5585" s="236"/>
      <c r="D5585" s="236"/>
    </row>
    <row r="5586" spans="2:4" ht="12.75" customHeight="1" x14ac:dyDescent="0.2">
      <c r="B5586" s="236"/>
      <c r="C5586" s="236"/>
      <c r="D5586" s="236"/>
    </row>
    <row r="5587" spans="2:4" x14ac:dyDescent="0.2">
      <c r="B5587" s="236"/>
      <c r="C5587" s="236"/>
      <c r="D5587" s="236"/>
    </row>
    <row r="5588" spans="2:4" ht="12.75" customHeight="1" x14ac:dyDescent="0.2">
      <c r="B5588" s="236"/>
      <c r="C5588" s="236"/>
      <c r="D5588" s="236"/>
    </row>
    <row r="5589" spans="2:4" ht="12.75" customHeight="1" x14ac:dyDescent="0.2">
      <c r="B5589" s="236"/>
      <c r="C5589" s="236"/>
      <c r="D5589" s="236"/>
    </row>
    <row r="5590" spans="2:4" x14ac:dyDescent="0.2">
      <c r="B5590" s="236"/>
      <c r="C5590" s="236"/>
      <c r="D5590" s="236"/>
    </row>
    <row r="5591" spans="2:4" ht="12.75" customHeight="1" x14ac:dyDescent="0.2">
      <c r="B5591" s="236"/>
      <c r="C5591" s="236"/>
      <c r="D5591" s="236"/>
    </row>
    <row r="5592" spans="2:4" x14ac:dyDescent="0.2">
      <c r="B5592" s="236"/>
      <c r="C5592" s="236"/>
      <c r="D5592" s="236"/>
    </row>
    <row r="5593" spans="2:4" ht="12.75" customHeight="1" x14ac:dyDescent="0.2">
      <c r="B5593" s="236"/>
      <c r="C5593" s="236"/>
      <c r="D5593" s="236"/>
    </row>
    <row r="5594" spans="2:4" x14ac:dyDescent="0.2">
      <c r="B5594" s="236"/>
      <c r="C5594" s="236"/>
      <c r="D5594" s="236"/>
    </row>
    <row r="5595" spans="2:4" ht="12.75" customHeight="1" x14ac:dyDescent="0.2">
      <c r="B5595" s="236"/>
      <c r="C5595" s="236"/>
      <c r="D5595" s="236"/>
    </row>
    <row r="5596" spans="2:4" ht="12.75" customHeight="1" x14ac:dyDescent="0.2">
      <c r="B5596" s="236"/>
      <c r="C5596" s="236"/>
      <c r="D5596" s="236"/>
    </row>
    <row r="5597" spans="2:4" x14ac:dyDescent="0.2">
      <c r="B5597" s="236"/>
      <c r="C5597" s="236"/>
      <c r="D5597" s="236"/>
    </row>
    <row r="5598" spans="2:4" ht="12.75" customHeight="1" x14ac:dyDescent="0.2">
      <c r="B5598" s="236"/>
      <c r="C5598" s="236"/>
      <c r="D5598" s="236"/>
    </row>
    <row r="5599" spans="2:4" ht="12.75" customHeight="1" x14ac:dyDescent="0.2">
      <c r="B5599" s="236"/>
      <c r="C5599" s="236"/>
      <c r="D5599" s="236"/>
    </row>
    <row r="5600" spans="2:4" x14ac:dyDescent="0.2">
      <c r="B5600" s="236"/>
      <c r="C5600" s="236"/>
      <c r="D5600" s="236"/>
    </row>
    <row r="5601" spans="2:4" ht="12.75" customHeight="1" x14ac:dyDescent="0.2">
      <c r="B5601" s="236"/>
      <c r="C5601" s="236"/>
      <c r="D5601" s="236"/>
    </row>
    <row r="5602" spans="2:4" ht="12.75" customHeight="1" x14ac:dyDescent="0.2">
      <c r="B5602" s="236"/>
      <c r="C5602" s="236"/>
      <c r="D5602" s="236"/>
    </row>
    <row r="5603" spans="2:4" ht="12.75" customHeight="1" x14ac:dyDescent="0.2">
      <c r="B5603" s="236"/>
      <c r="C5603" s="236"/>
      <c r="D5603" s="236"/>
    </row>
    <row r="5604" spans="2:4" x14ac:dyDescent="0.2">
      <c r="B5604" s="236"/>
      <c r="C5604" s="236"/>
      <c r="D5604" s="236"/>
    </row>
    <row r="5605" spans="2:4" ht="12.75" customHeight="1" x14ac:dyDescent="0.2">
      <c r="B5605" s="236"/>
      <c r="C5605" s="236"/>
      <c r="D5605" s="236"/>
    </row>
    <row r="5606" spans="2:4" ht="12.75" customHeight="1" x14ac:dyDescent="0.2">
      <c r="B5606" s="236"/>
      <c r="C5606" s="236"/>
      <c r="D5606" s="236"/>
    </row>
    <row r="5607" spans="2:4" ht="12.75" customHeight="1" x14ac:dyDescent="0.2">
      <c r="B5607" s="236"/>
      <c r="C5607" s="236"/>
      <c r="D5607" s="236"/>
    </row>
    <row r="5608" spans="2:4" x14ac:dyDescent="0.2">
      <c r="B5608" s="236"/>
      <c r="C5608" s="236"/>
      <c r="D5608" s="236"/>
    </row>
    <row r="5609" spans="2:4" ht="12.75" customHeight="1" x14ac:dyDescent="0.2">
      <c r="B5609" s="236"/>
      <c r="C5609" s="236"/>
      <c r="D5609" s="236"/>
    </row>
    <row r="5610" spans="2:4" ht="12.75" customHeight="1" x14ac:dyDescent="0.2">
      <c r="B5610" s="236"/>
      <c r="C5610" s="236"/>
      <c r="D5610" s="236"/>
    </row>
    <row r="5611" spans="2:4" ht="12.75" customHeight="1" x14ac:dyDescent="0.2">
      <c r="B5611" s="236"/>
      <c r="C5611" s="236"/>
      <c r="D5611" s="236"/>
    </row>
    <row r="5612" spans="2:4" ht="12.75" customHeight="1" x14ac:dyDescent="0.2">
      <c r="B5612" s="236"/>
      <c r="C5612" s="236"/>
      <c r="D5612" s="236"/>
    </row>
    <row r="5613" spans="2:4" ht="12.75" customHeight="1" x14ac:dyDescent="0.2">
      <c r="B5613" s="236"/>
      <c r="C5613" s="236"/>
      <c r="D5613" s="236"/>
    </row>
    <row r="5614" spans="2:4" x14ac:dyDescent="0.2">
      <c r="B5614" s="236"/>
      <c r="C5614" s="236"/>
      <c r="D5614" s="236"/>
    </row>
    <row r="5615" spans="2:4" ht="12.75" customHeight="1" x14ac:dyDescent="0.2">
      <c r="B5615" s="236"/>
      <c r="C5615" s="236"/>
      <c r="D5615" s="236"/>
    </row>
    <row r="5616" spans="2:4" ht="12.75" customHeight="1" x14ac:dyDescent="0.2">
      <c r="B5616" s="236"/>
      <c r="C5616" s="236"/>
      <c r="D5616" s="236"/>
    </row>
    <row r="5617" spans="2:4" ht="12.75" customHeight="1" x14ac:dyDescent="0.2">
      <c r="B5617" s="236"/>
      <c r="C5617" s="236"/>
      <c r="D5617" s="236"/>
    </row>
    <row r="5618" spans="2:4" x14ac:dyDescent="0.2">
      <c r="B5618" s="236"/>
      <c r="C5618" s="236"/>
      <c r="D5618" s="236"/>
    </row>
    <row r="5619" spans="2:4" ht="12.75" customHeight="1" x14ac:dyDescent="0.2">
      <c r="B5619" s="236"/>
      <c r="C5619" s="236"/>
      <c r="D5619" s="236"/>
    </row>
    <row r="5620" spans="2:4" x14ac:dyDescent="0.2">
      <c r="B5620" s="236"/>
      <c r="C5620" s="236"/>
      <c r="D5620" s="236"/>
    </row>
    <row r="5621" spans="2:4" ht="12.75" customHeight="1" x14ac:dyDescent="0.2">
      <c r="B5621" s="236"/>
      <c r="C5621" s="236"/>
      <c r="D5621" s="236"/>
    </row>
    <row r="5622" spans="2:4" x14ac:dyDescent="0.2">
      <c r="B5622" s="236"/>
      <c r="C5622" s="236"/>
      <c r="D5622" s="236"/>
    </row>
    <row r="5623" spans="2:4" ht="12.75" customHeight="1" x14ac:dyDescent="0.2">
      <c r="B5623" s="236"/>
      <c r="C5623" s="236"/>
      <c r="D5623" s="236"/>
    </row>
    <row r="5624" spans="2:4" x14ac:dyDescent="0.2">
      <c r="B5624" s="236"/>
      <c r="C5624" s="236"/>
      <c r="D5624" s="236"/>
    </row>
    <row r="5625" spans="2:4" ht="12.75" customHeight="1" x14ac:dyDescent="0.2">
      <c r="B5625" s="236"/>
      <c r="C5625" s="236"/>
      <c r="D5625" s="236"/>
    </row>
    <row r="5626" spans="2:4" ht="12.75" customHeight="1" x14ac:dyDescent="0.2">
      <c r="B5626" s="236"/>
      <c r="C5626" s="236"/>
      <c r="D5626" s="236"/>
    </row>
    <row r="5627" spans="2:4" ht="12.75" customHeight="1" x14ac:dyDescent="0.2">
      <c r="B5627" s="236"/>
      <c r="C5627" s="236"/>
      <c r="D5627" s="236"/>
    </row>
    <row r="5628" spans="2:4" ht="12.75" customHeight="1" x14ac:dyDescent="0.2">
      <c r="B5628" s="236"/>
      <c r="C5628" s="236"/>
      <c r="D5628" s="236"/>
    </row>
    <row r="5629" spans="2:4" ht="12.75" customHeight="1" x14ac:dyDescent="0.2">
      <c r="B5629" s="236"/>
      <c r="C5629" s="236"/>
      <c r="D5629" s="236"/>
    </row>
    <row r="5630" spans="2:4" ht="12.75" customHeight="1" x14ac:dyDescent="0.2">
      <c r="B5630" s="236"/>
      <c r="C5630" s="236"/>
      <c r="D5630" s="236"/>
    </row>
    <row r="5631" spans="2:4" x14ac:dyDescent="0.2">
      <c r="B5631" s="236"/>
      <c r="C5631" s="236"/>
      <c r="D5631" s="236"/>
    </row>
    <row r="5632" spans="2:4" ht="12.75" customHeight="1" x14ac:dyDescent="0.2">
      <c r="B5632" s="236"/>
      <c r="C5632" s="236"/>
      <c r="D5632" s="236"/>
    </row>
    <row r="5633" spans="2:4" x14ac:dyDescent="0.2">
      <c r="B5633" s="236"/>
      <c r="C5633" s="236"/>
      <c r="D5633" s="236"/>
    </row>
    <row r="5634" spans="2:4" ht="12.75" customHeight="1" x14ac:dyDescent="0.2">
      <c r="B5634" s="236"/>
      <c r="C5634" s="236"/>
      <c r="D5634" s="236"/>
    </row>
    <row r="5635" spans="2:4" ht="12.75" customHeight="1" x14ac:dyDescent="0.2">
      <c r="B5635" s="236"/>
      <c r="C5635" s="236"/>
      <c r="D5635" s="236"/>
    </row>
    <row r="5636" spans="2:4" x14ac:dyDescent="0.2">
      <c r="B5636" s="236"/>
      <c r="C5636" s="236"/>
      <c r="D5636" s="236"/>
    </row>
    <row r="5637" spans="2:4" ht="12.75" customHeight="1" x14ac:dyDescent="0.2">
      <c r="B5637" s="236"/>
      <c r="C5637" s="236"/>
      <c r="D5637" s="236"/>
    </row>
    <row r="5638" spans="2:4" x14ac:dyDescent="0.2">
      <c r="B5638" s="236"/>
      <c r="C5638" s="236"/>
      <c r="D5638" s="236"/>
    </row>
    <row r="5639" spans="2:4" ht="12.75" customHeight="1" x14ac:dyDescent="0.2">
      <c r="B5639" s="236"/>
      <c r="C5639" s="236"/>
      <c r="D5639" s="236"/>
    </row>
    <row r="5640" spans="2:4" ht="12.75" customHeight="1" x14ac:dyDescent="0.2">
      <c r="B5640" s="236"/>
      <c r="C5640" s="236"/>
      <c r="D5640" s="236"/>
    </row>
    <row r="5641" spans="2:4" ht="12.75" customHeight="1" x14ac:dyDescent="0.2">
      <c r="B5641" s="236"/>
      <c r="C5641" s="236"/>
      <c r="D5641" s="236"/>
    </row>
    <row r="5642" spans="2:4" x14ac:dyDescent="0.2">
      <c r="B5642" s="236"/>
      <c r="C5642" s="236"/>
      <c r="D5642" s="236"/>
    </row>
    <row r="5643" spans="2:4" ht="12.75" customHeight="1" x14ac:dyDescent="0.2">
      <c r="B5643" s="236"/>
      <c r="C5643" s="236"/>
      <c r="D5643" s="236"/>
    </row>
    <row r="5644" spans="2:4" ht="12.75" customHeight="1" x14ac:dyDescent="0.2">
      <c r="B5644" s="236"/>
      <c r="C5644" s="236"/>
      <c r="D5644" s="236"/>
    </row>
    <row r="5645" spans="2:4" x14ac:dyDescent="0.2">
      <c r="B5645" s="236"/>
      <c r="C5645" s="236"/>
      <c r="D5645" s="236"/>
    </row>
    <row r="5646" spans="2:4" ht="12.75" customHeight="1" x14ac:dyDescent="0.2">
      <c r="B5646" s="236"/>
      <c r="C5646" s="236"/>
      <c r="D5646" s="236"/>
    </row>
    <row r="5647" spans="2:4" ht="12.75" customHeight="1" x14ac:dyDescent="0.2">
      <c r="B5647" s="236"/>
      <c r="C5647" s="236"/>
      <c r="D5647" s="236"/>
    </row>
    <row r="5648" spans="2:4" x14ac:dyDescent="0.2">
      <c r="B5648" s="236"/>
      <c r="C5648" s="236"/>
      <c r="D5648" s="236"/>
    </row>
    <row r="5649" spans="2:4" ht="12.75" customHeight="1" x14ac:dyDescent="0.2">
      <c r="B5649" s="236"/>
      <c r="C5649" s="236"/>
      <c r="D5649" s="236"/>
    </row>
    <row r="5650" spans="2:4" ht="12.75" customHeight="1" x14ac:dyDescent="0.2">
      <c r="B5650" s="236"/>
      <c r="C5650" s="236"/>
      <c r="D5650" s="236"/>
    </row>
    <row r="5651" spans="2:4" x14ac:dyDescent="0.2">
      <c r="B5651" s="236"/>
      <c r="C5651" s="236"/>
      <c r="D5651" s="236"/>
    </row>
    <row r="5652" spans="2:4" ht="12.75" customHeight="1" x14ac:dyDescent="0.2">
      <c r="B5652" s="236"/>
      <c r="C5652" s="236"/>
      <c r="D5652" s="236"/>
    </row>
    <row r="5653" spans="2:4" x14ac:dyDescent="0.2">
      <c r="B5653" s="236"/>
      <c r="C5653" s="236"/>
      <c r="D5653" s="236"/>
    </row>
    <row r="5654" spans="2:4" ht="12.75" customHeight="1" x14ac:dyDescent="0.2">
      <c r="B5654" s="236"/>
      <c r="C5654" s="236"/>
      <c r="D5654" s="236"/>
    </row>
    <row r="5655" spans="2:4" x14ac:dyDescent="0.2">
      <c r="B5655" s="236"/>
      <c r="C5655" s="236"/>
      <c r="D5655" s="236"/>
    </row>
    <row r="5656" spans="2:4" ht="12.75" customHeight="1" x14ac:dyDescent="0.2">
      <c r="B5656" s="236"/>
      <c r="C5656" s="236"/>
      <c r="D5656" s="236"/>
    </row>
    <row r="5657" spans="2:4" x14ac:dyDescent="0.2">
      <c r="B5657" s="236"/>
      <c r="C5657" s="236"/>
      <c r="D5657" s="236"/>
    </row>
    <row r="5658" spans="2:4" x14ac:dyDescent="0.2">
      <c r="B5658" s="236"/>
      <c r="C5658" s="236"/>
      <c r="D5658" s="236"/>
    </row>
    <row r="5659" spans="2:4" x14ac:dyDescent="0.2">
      <c r="B5659" s="236"/>
      <c r="C5659" s="236"/>
      <c r="D5659" s="236"/>
    </row>
    <row r="5660" spans="2:4" x14ac:dyDescent="0.2">
      <c r="B5660" s="236"/>
      <c r="C5660" s="236"/>
      <c r="D5660" s="236"/>
    </row>
    <row r="5661" spans="2:4" ht="12.75" customHeight="1" x14ac:dyDescent="0.2">
      <c r="B5661" s="236"/>
      <c r="C5661" s="236"/>
      <c r="D5661" s="236"/>
    </row>
    <row r="5662" spans="2:4" x14ac:dyDescent="0.2">
      <c r="B5662" s="236"/>
      <c r="C5662" s="236"/>
      <c r="D5662" s="236"/>
    </row>
    <row r="5663" spans="2:4" ht="12.75" customHeight="1" x14ac:dyDescent="0.2">
      <c r="B5663" s="236"/>
      <c r="C5663" s="236"/>
      <c r="D5663" s="236"/>
    </row>
    <row r="5664" spans="2:4" x14ac:dyDescent="0.2">
      <c r="B5664" s="236"/>
      <c r="C5664" s="236"/>
      <c r="D5664" s="236"/>
    </row>
    <row r="5665" spans="2:4" ht="12.75" customHeight="1" x14ac:dyDescent="0.2">
      <c r="B5665" s="236"/>
      <c r="C5665" s="236"/>
      <c r="D5665" s="236"/>
    </row>
    <row r="5666" spans="2:4" ht="12.75" customHeight="1" x14ac:dyDescent="0.2">
      <c r="B5666" s="236"/>
      <c r="C5666" s="236"/>
      <c r="D5666" s="236"/>
    </row>
    <row r="5667" spans="2:4" ht="12.75" customHeight="1" x14ac:dyDescent="0.2">
      <c r="B5667" s="236"/>
      <c r="C5667" s="236"/>
      <c r="D5667" s="236"/>
    </row>
    <row r="5668" spans="2:4" x14ac:dyDescent="0.2">
      <c r="B5668" s="236"/>
      <c r="C5668" s="236"/>
      <c r="D5668" s="236"/>
    </row>
    <row r="5669" spans="2:4" ht="12.75" customHeight="1" x14ac:dyDescent="0.2">
      <c r="B5669" s="236"/>
      <c r="C5669" s="236"/>
      <c r="D5669" s="236"/>
    </row>
    <row r="5670" spans="2:4" ht="12.75" customHeight="1" x14ac:dyDescent="0.2">
      <c r="B5670" s="236"/>
      <c r="C5670" s="236"/>
      <c r="D5670" s="236"/>
    </row>
    <row r="5671" spans="2:4" ht="12.75" customHeight="1" x14ac:dyDescent="0.2">
      <c r="B5671" s="236"/>
      <c r="C5671" s="236"/>
      <c r="D5671" s="236"/>
    </row>
    <row r="5672" spans="2:4" x14ac:dyDescent="0.2">
      <c r="B5672" s="236"/>
      <c r="C5672" s="236"/>
      <c r="D5672" s="236"/>
    </row>
    <row r="5673" spans="2:4" x14ac:dyDescent="0.2">
      <c r="B5673" s="236"/>
      <c r="C5673" s="236"/>
      <c r="D5673" s="236"/>
    </row>
    <row r="5674" spans="2:4" ht="12.75" customHeight="1" x14ac:dyDescent="0.2">
      <c r="B5674" s="236"/>
      <c r="C5674" s="236"/>
      <c r="D5674" s="236"/>
    </row>
    <row r="5675" spans="2:4" ht="12.75" customHeight="1" x14ac:dyDescent="0.2">
      <c r="B5675" s="236"/>
      <c r="C5675" s="236"/>
      <c r="D5675" s="236"/>
    </row>
    <row r="5676" spans="2:4" ht="12.75" customHeight="1" x14ac:dyDescent="0.2">
      <c r="B5676" s="236"/>
      <c r="C5676" s="236"/>
      <c r="D5676" s="236"/>
    </row>
    <row r="5677" spans="2:4" ht="12.75" customHeight="1" x14ac:dyDescent="0.2">
      <c r="B5677" s="236"/>
      <c r="C5677" s="236"/>
      <c r="D5677" s="236"/>
    </row>
    <row r="5678" spans="2:4" ht="12.75" customHeight="1" x14ac:dyDescent="0.2">
      <c r="B5678" s="236"/>
      <c r="C5678" s="236"/>
      <c r="D5678" s="236"/>
    </row>
    <row r="5679" spans="2:4" ht="12.75" customHeight="1" x14ac:dyDescent="0.2">
      <c r="B5679" s="236"/>
      <c r="C5679" s="236"/>
      <c r="D5679" s="236"/>
    </row>
    <row r="5680" spans="2:4" ht="12.75" customHeight="1" x14ac:dyDescent="0.2">
      <c r="B5680" s="236"/>
      <c r="C5680" s="236"/>
      <c r="D5680" s="236"/>
    </row>
    <row r="5681" spans="2:4" ht="12.75" customHeight="1" x14ac:dyDescent="0.2">
      <c r="B5681" s="236"/>
      <c r="C5681" s="236"/>
      <c r="D5681" s="236"/>
    </row>
    <row r="5682" spans="2:4" x14ac:dyDescent="0.2">
      <c r="B5682" s="236"/>
      <c r="C5682" s="236"/>
      <c r="D5682" s="236"/>
    </row>
    <row r="5683" spans="2:4" ht="12.75" customHeight="1" x14ac:dyDescent="0.2">
      <c r="B5683" s="236"/>
      <c r="C5683" s="236"/>
      <c r="D5683" s="236"/>
    </row>
    <row r="5684" spans="2:4" x14ac:dyDescent="0.2">
      <c r="B5684" s="236"/>
      <c r="C5684" s="236"/>
      <c r="D5684" s="236"/>
    </row>
    <row r="5685" spans="2:4" ht="12.75" customHeight="1" x14ac:dyDescent="0.2">
      <c r="B5685" s="236"/>
      <c r="C5685" s="236"/>
      <c r="D5685" s="236"/>
    </row>
    <row r="5686" spans="2:4" x14ac:dyDescent="0.2">
      <c r="B5686" s="236"/>
      <c r="C5686" s="236"/>
      <c r="D5686" s="236"/>
    </row>
    <row r="5687" spans="2:4" ht="12.75" customHeight="1" x14ac:dyDescent="0.2">
      <c r="B5687" s="236"/>
      <c r="C5687" s="236"/>
      <c r="D5687" s="236"/>
    </row>
    <row r="5688" spans="2:4" ht="12.75" customHeight="1" x14ac:dyDescent="0.2">
      <c r="B5688" s="236"/>
      <c r="C5688" s="236"/>
      <c r="D5688" s="236"/>
    </row>
    <row r="5689" spans="2:4" x14ac:dyDescent="0.2">
      <c r="B5689" s="236"/>
      <c r="C5689" s="236"/>
      <c r="D5689" s="236"/>
    </row>
    <row r="5690" spans="2:4" ht="12.75" customHeight="1" x14ac:dyDescent="0.2">
      <c r="B5690" s="236"/>
      <c r="C5690" s="236"/>
      <c r="D5690" s="236"/>
    </row>
    <row r="5691" spans="2:4" x14ac:dyDescent="0.2">
      <c r="B5691" s="236"/>
      <c r="C5691" s="236"/>
      <c r="D5691" s="236"/>
    </row>
    <row r="5692" spans="2:4" ht="12.75" customHeight="1" x14ac:dyDescent="0.2">
      <c r="B5692" s="236"/>
      <c r="C5692" s="236"/>
      <c r="D5692" s="236"/>
    </row>
    <row r="5693" spans="2:4" ht="12.75" customHeight="1" x14ac:dyDescent="0.2">
      <c r="B5693" s="236"/>
      <c r="C5693" s="236"/>
      <c r="D5693" s="236"/>
    </row>
    <row r="5694" spans="2:4" x14ac:dyDescent="0.2">
      <c r="B5694" s="236"/>
      <c r="C5694" s="236"/>
      <c r="D5694" s="236"/>
    </row>
    <row r="5695" spans="2:4" ht="12.75" customHeight="1" x14ac:dyDescent="0.2">
      <c r="B5695" s="236"/>
      <c r="C5695" s="236"/>
      <c r="D5695" s="236"/>
    </row>
    <row r="5696" spans="2:4" ht="12.75" customHeight="1" x14ac:dyDescent="0.2">
      <c r="B5696" s="236"/>
      <c r="C5696" s="236"/>
      <c r="D5696" s="236"/>
    </row>
    <row r="5697" spans="2:4" x14ac:dyDescent="0.2">
      <c r="B5697" s="236"/>
      <c r="C5697" s="236"/>
      <c r="D5697" s="236"/>
    </row>
    <row r="5698" spans="2:4" ht="12.75" customHeight="1" x14ac:dyDescent="0.2">
      <c r="B5698" s="236"/>
      <c r="C5698" s="236"/>
      <c r="D5698" s="236"/>
    </row>
    <row r="5699" spans="2:4" x14ac:dyDescent="0.2">
      <c r="B5699" s="236"/>
      <c r="C5699" s="236"/>
      <c r="D5699" s="236"/>
    </row>
    <row r="5700" spans="2:4" ht="12.75" customHeight="1" x14ac:dyDescent="0.2">
      <c r="B5700" s="236"/>
      <c r="C5700" s="236"/>
      <c r="D5700" s="236"/>
    </row>
    <row r="5701" spans="2:4" x14ac:dyDescent="0.2">
      <c r="B5701" s="236"/>
      <c r="C5701" s="236"/>
      <c r="D5701" s="236"/>
    </row>
    <row r="5702" spans="2:4" ht="12.75" customHeight="1" x14ac:dyDescent="0.2">
      <c r="B5702" s="236"/>
      <c r="C5702" s="236"/>
      <c r="D5702" s="236"/>
    </row>
    <row r="5703" spans="2:4" x14ac:dyDescent="0.2">
      <c r="B5703" s="236"/>
      <c r="C5703" s="236"/>
      <c r="D5703" s="236"/>
    </row>
    <row r="5704" spans="2:4" ht="12.75" customHeight="1" x14ac:dyDescent="0.2">
      <c r="B5704" s="236"/>
      <c r="C5704" s="236"/>
      <c r="D5704" s="236"/>
    </row>
    <row r="5705" spans="2:4" ht="12.75" customHeight="1" x14ac:dyDescent="0.2">
      <c r="B5705" s="236"/>
      <c r="C5705" s="236"/>
      <c r="D5705" s="236"/>
    </row>
    <row r="5706" spans="2:4" x14ac:dyDescent="0.2">
      <c r="B5706" s="236"/>
      <c r="C5706" s="236"/>
      <c r="D5706" s="236"/>
    </row>
    <row r="5707" spans="2:4" ht="12.75" customHeight="1" x14ac:dyDescent="0.2">
      <c r="B5707" s="236"/>
      <c r="C5707" s="236"/>
      <c r="D5707" s="236"/>
    </row>
    <row r="5708" spans="2:4" x14ac:dyDescent="0.2">
      <c r="B5708" s="236"/>
      <c r="C5708" s="236"/>
      <c r="D5708" s="236"/>
    </row>
    <row r="5709" spans="2:4" ht="12.75" customHeight="1" x14ac:dyDescent="0.2">
      <c r="B5709" s="236"/>
      <c r="C5709" s="236"/>
      <c r="D5709" s="236"/>
    </row>
    <row r="5710" spans="2:4" ht="12.75" customHeight="1" x14ac:dyDescent="0.2">
      <c r="B5710" s="236"/>
      <c r="C5710" s="236"/>
      <c r="D5710" s="236"/>
    </row>
    <row r="5711" spans="2:4" ht="12.75" customHeight="1" x14ac:dyDescent="0.2">
      <c r="B5711" s="236"/>
      <c r="C5711" s="236"/>
      <c r="D5711" s="236"/>
    </row>
    <row r="5712" spans="2:4" ht="12.75" customHeight="1" x14ac:dyDescent="0.2">
      <c r="B5712" s="236"/>
      <c r="C5712" s="236"/>
      <c r="D5712" s="236"/>
    </row>
    <row r="5713" spans="2:4" ht="12.75" customHeight="1" x14ac:dyDescent="0.2">
      <c r="B5713" s="236"/>
      <c r="C5713" s="236"/>
      <c r="D5713" s="236"/>
    </row>
    <row r="5714" spans="2:4" ht="12.75" customHeight="1" x14ac:dyDescent="0.2">
      <c r="B5714" s="236"/>
      <c r="C5714" s="236"/>
      <c r="D5714" s="236"/>
    </row>
    <row r="5715" spans="2:4" ht="12.75" customHeight="1" x14ac:dyDescent="0.2">
      <c r="B5715" s="236"/>
      <c r="C5715" s="236"/>
      <c r="D5715" s="236"/>
    </row>
    <row r="5716" spans="2:4" x14ac:dyDescent="0.2">
      <c r="B5716" s="236"/>
      <c r="C5716" s="236"/>
      <c r="D5716" s="236"/>
    </row>
    <row r="5717" spans="2:4" ht="12.75" customHeight="1" x14ac:dyDescent="0.2">
      <c r="B5717" s="236"/>
      <c r="C5717" s="236"/>
      <c r="D5717" s="236"/>
    </row>
    <row r="5718" spans="2:4" x14ac:dyDescent="0.2">
      <c r="B5718" s="236"/>
      <c r="C5718" s="236"/>
      <c r="D5718" s="236"/>
    </row>
    <row r="5719" spans="2:4" ht="12.75" customHeight="1" x14ac:dyDescent="0.2">
      <c r="B5719" s="236"/>
      <c r="C5719" s="236"/>
      <c r="D5719" s="236"/>
    </row>
    <row r="5720" spans="2:4" ht="12.75" customHeight="1" x14ac:dyDescent="0.2">
      <c r="B5720" s="236"/>
      <c r="C5720" s="236"/>
      <c r="D5720" s="236"/>
    </row>
    <row r="5721" spans="2:4" ht="12.75" customHeight="1" x14ac:dyDescent="0.2">
      <c r="B5721" s="236"/>
      <c r="C5721" s="236"/>
      <c r="D5721" s="236"/>
    </row>
    <row r="5722" spans="2:4" ht="12.75" customHeight="1" x14ac:dyDescent="0.2">
      <c r="B5722" s="236"/>
      <c r="C5722" s="236"/>
      <c r="D5722" s="236"/>
    </row>
    <row r="5723" spans="2:4" ht="12.75" customHeight="1" x14ac:dyDescent="0.2">
      <c r="B5723" s="236"/>
      <c r="C5723" s="236"/>
      <c r="D5723" s="236"/>
    </row>
    <row r="5724" spans="2:4" ht="12.75" customHeight="1" x14ac:dyDescent="0.2">
      <c r="B5724" s="236"/>
      <c r="C5724" s="236"/>
      <c r="D5724" s="236"/>
    </row>
    <row r="5725" spans="2:4" ht="12.75" customHeight="1" x14ac:dyDescent="0.2">
      <c r="B5725" s="236"/>
      <c r="C5725" s="236"/>
      <c r="D5725" s="236"/>
    </row>
    <row r="5726" spans="2:4" x14ac:dyDescent="0.2">
      <c r="B5726" s="236"/>
      <c r="C5726" s="236"/>
      <c r="D5726" s="236"/>
    </row>
    <row r="5727" spans="2:4" ht="12.75" customHeight="1" x14ac:dyDescent="0.2">
      <c r="B5727" s="236"/>
      <c r="C5727" s="236"/>
      <c r="D5727" s="236"/>
    </row>
    <row r="5728" spans="2:4" x14ac:dyDescent="0.2">
      <c r="B5728" s="236"/>
      <c r="C5728" s="236"/>
      <c r="D5728" s="236"/>
    </row>
    <row r="5729" spans="2:4" ht="12.75" customHeight="1" x14ac:dyDescent="0.2">
      <c r="B5729" s="236"/>
      <c r="C5729" s="236"/>
      <c r="D5729" s="236"/>
    </row>
    <row r="5730" spans="2:4" ht="12.75" customHeight="1" x14ac:dyDescent="0.2">
      <c r="B5730" s="236"/>
      <c r="C5730" s="236"/>
      <c r="D5730" s="236"/>
    </row>
    <row r="5731" spans="2:4" x14ac:dyDescent="0.2">
      <c r="B5731" s="236"/>
      <c r="C5731" s="236"/>
      <c r="D5731" s="236"/>
    </row>
    <row r="5732" spans="2:4" ht="12.75" customHeight="1" x14ac:dyDescent="0.2">
      <c r="B5732" s="236"/>
      <c r="C5732" s="236"/>
      <c r="D5732" s="236"/>
    </row>
    <row r="5733" spans="2:4" ht="12.75" customHeight="1" x14ac:dyDescent="0.2">
      <c r="B5733" s="236"/>
      <c r="C5733" s="236"/>
      <c r="D5733" s="236"/>
    </row>
    <row r="5734" spans="2:4" ht="12.75" customHeight="1" x14ac:dyDescent="0.2">
      <c r="B5734" s="236"/>
      <c r="C5734" s="236"/>
      <c r="D5734" s="236"/>
    </row>
    <row r="5735" spans="2:4" x14ac:dyDescent="0.2">
      <c r="B5735" s="236"/>
      <c r="C5735" s="236"/>
      <c r="D5735" s="236"/>
    </row>
    <row r="5736" spans="2:4" x14ac:dyDescent="0.2">
      <c r="B5736" s="236"/>
      <c r="C5736" s="236"/>
      <c r="D5736" s="236"/>
    </row>
    <row r="5737" spans="2:4" ht="12.75" customHeight="1" x14ac:dyDescent="0.2">
      <c r="B5737" s="236"/>
      <c r="C5737" s="236"/>
      <c r="D5737" s="236"/>
    </row>
    <row r="5738" spans="2:4" x14ac:dyDescent="0.2">
      <c r="B5738" s="236"/>
      <c r="C5738" s="236"/>
      <c r="D5738" s="236"/>
    </row>
    <row r="5739" spans="2:4" ht="12.75" customHeight="1" x14ac:dyDescent="0.2">
      <c r="B5739" s="236"/>
      <c r="C5739" s="236"/>
      <c r="D5739" s="236"/>
    </row>
    <row r="5740" spans="2:4" ht="12.75" customHeight="1" x14ac:dyDescent="0.2">
      <c r="B5740" s="236"/>
      <c r="C5740" s="236"/>
      <c r="D5740" s="236"/>
    </row>
    <row r="5741" spans="2:4" ht="12.75" customHeight="1" x14ac:dyDescent="0.2">
      <c r="B5741" s="236"/>
      <c r="C5741" s="236"/>
      <c r="D5741" s="236"/>
    </row>
    <row r="5742" spans="2:4" x14ac:dyDescent="0.2">
      <c r="B5742" s="236"/>
      <c r="C5742" s="236"/>
      <c r="D5742" s="236"/>
    </row>
    <row r="5743" spans="2:4" x14ac:dyDescent="0.2">
      <c r="B5743" s="236"/>
      <c r="C5743" s="236"/>
      <c r="D5743" s="236"/>
    </row>
    <row r="5744" spans="2:4" ht="12.75" customHeight="1" x14ac:dyDescent="0.2">
      <c r="B5744" s="236"/>
      <c r="C5744" s="236"/>
      <c r="D5744" s="236"/>
    </row>
    <row r="5745" spans="2:4" x14ac:dyDescent="0.2">
      <c r="B5745" s="236"/>
      <c r="C5745" s="236"/>
      <c r="D5745" s="236"/>
    </row>
    <row r="5746" spans="2:4" x14ac:dyDescent="0.2">
      <c r="B5746" s="236"/>
      <c r="C5746" s="236"/>
      <c r="D5746" s="236"/>
    </row>
    <row r="5747" spans="2:4" ht="12.75" customHeight="1" x14ac:dyDescent="0.2">
      <c r="B5747" s="236"/>
      <c r="C5747" s="236"/>
      <c r="D5747" s="236"/>
    </row>
    <row r="5748" spans="2:4" ht="12.75" customHeight="1" x14ac:dyDescent="0.2">
      <c r="B5748" s="236"/>
      <c r="C5748" s="236"/>
      <c r="D5748" s="236"/>
    </row>
    <row r="5749" spans="2:4" ht="12.75" customHeight="1" x14ac:dyDescent="0.2">
      <c r="B5749" s="236"/>
      <c r="C5749" s="236"/>
      <c r="D5749" s="236"/>
    </row>
    <row r="5750" spans="2:4" x14ac:dyDescent="0.2">
      <c r="B5750" s="236"/>
      <c r="C5750" s="236"/>
      <c r="D5750" s="236"/>
    </row>
    <row r="5751" spans="2:4" ht="12.75" customHeight="1" x14ac:dyDescent="0.2">
      <c r="B5751" s="236"/>
      <c r="C5751" s="236"/>
      <c r="D5751" s="236"/>
    </row>
    <row r="5752" spans="2:4" ht="12.75" customHeight="1" x14ac:dyDescent="0.2">
      <c r="B5752" s="236"/>
      <c r="C5752" s="236"/>
      <c r="D5752" s="236"/>
    </row>
    <row r="5753" spans="2:4" ht="12.75" customHeight="1" x14ac:dyDescent="0.2">
      <c r="B5753" s="236"/>
      <c r="C5753" s="236"/>
      <c r="D5753" s="236"/>
    </row>
    <row r="5754" spans="2:4" x14ac:dyDescent="0.2">
      <c r="B5754" s="236"/>
      <c r="C5754" s="236"/>
      <c r="D5754" s="236"/>
    </row>
    <row r="5755" spans="2:4" ht="12.75" customHeight="1" x14ac:dyDescent="0.2">
      <c r="B5755" s="236"/>
      <c r="C5755" s="236"/>
      <c r="D5755" s="236"/>
    </row>
    <row r="5756" spans="2:4" ht="12.75" customHeight="1" x14ac:dyDescent="0.2">
      <c r="B5756" s="236"/>
      <c r="C5756" s="236"/>
      <c r="D5756" s="236"/>
    </row>
    <row r="5757" spans="2:4" ht="12.75" customHeight="1" x14ac:dyDescent="0.2">
      <c r="B5757" s="236"/>
      <c r="C5757" s="236"/>
      <c r="D5757" s="236"/>
    </row>
    <row r="5758" spans="2:4" ht="12.75" customHeight="1" x14ac:dyDescent="0.2">
      <c r="B5758" s="236"/>
      <c r="C5758" s="236"/>
      <c r="D5758" s="236"/>
    </row>
    <row r="5759" spans="2:4" x14ac:dyDescent="0.2">
      <c r="B5759" s="236"/>
      <c r="C5759" s="236"/>
      <c r="D5759" s="236"/>
    </row>
    <row r="5760" spans="2:4" ht="12.75" customHeight="1" x14ac:dyDescent="0.2">
      <c r="B5760" s="236"/>
      <c r="C5760" s="236"/>
      <c r="D5760" s="236"/>
    </row>
    <row r="5761" spans="2:4" ht="12.75" customHeight="1" x14ac:dyDescent="0.2">
      <c r="B5761" s="236"/>
      <c r="C5761" s="236"/>
      <c r="D5761" s="236"/>
    </row>
    <row r="5762" spans="2:4" x14ac:dyDescent="0.2">
      <c r="B5762" s="236"/>
      <c r="C5762" s="236"/>
      <c r="D5762" s="236"/>
    </row>
    <row r="5763" spans="2:4" x14ac:dyDescent="0.2">
      <c r="B5763" s="236"/>
      <c r="C5763" s="236"/>
      <c r="D5763" s="236"/>
    </row>
    <row r="5764" spans="2:4" ht="12.75" customHeight="1" x14ac:dyDescent="0.2">
      <c r="B5764" s="236"/>
      <c r="C5764" s="236"/>
      <c r="D5764" s="236"/>
    </row>
    <row r="5765" spans="2:4" x14ac:dyDescent="0.2">
      <c r="B5765" s="236"/>
      <c r="C5765" s="236"/>
      <c r="D5765" s="236"/>
    </row>
    <row r="5766" spans="2:4" ht="12.75" customHeight="1" x14ac:dyDescent="0.2">
      <c r="B5766" s="236"/>
      <c r="C5766" s="236"/>
      <c r="D5766" s="236"/>
    </row>
    <row r="5767" spans="2:4" ht="12.75" customHeight="1" x14ac:dyDescent="0.2">
      <c r="B5767" s="236"/>
      <c r="C5767" s="236"/>
      <c r="D5767" s="236"/>
    </row>
    <row r="5768" spans="2:4" ht="12.75" customHeight="1" x14ac:dyDescent="0.2">
      <c r="B5768" s="236"/>
      <c r="C5768" s="236"/>
      <c r="D5768" s="236"/>
    </row>
    <row r="5769" spans="2:4" x14ac:dyDescent="0.2">
      <c r="B5769" s="236"/>
      <c r="C5769" s="236"/>
      <c r="D5769" s="236"/>
    </row>
    <row r="5770" spans="2:4" ht="12.75" customHeight="1" x14ac:dyDescent="0.2">
      <c r="B5770" s="236"/>
      <c r="C5770" s="236"/>
      <c r="D5770" s="236"/>
    </row>
    <row r="5771" spans="2:4" ht="12.75" customHeight="1" x14ac:dyDescent="0.2">
      <c r="B5771" s="236"/>
      <c r="C5771" s="236"/>
      <c r="D5771" s="236"/>
    </row>
    <row r="5772" spans="2:4" ht="12.75" customHeight="1" x14ac:dyDescent="0.2">
      <c r="B5772" s="236"/>
      <c r="C5772" s="236"/>
      <c r="D5772" s="236"/>
    </row>
    <row r="5773" spans="2:4" ht="12.75" customHeight="1" x14ac:dyDescent="0.2">
      <c r="B5773" s="236"/>
      <c r="C5773" s="236"/>
      <c r="D5773" s="236"/>
    </row>
    <row r="5774" spans="2:4" ht="12.75" customHeight="1" x14ac:dyDescent="0.2">
      <c r="B5774" s="236"/>
      <c r="C5774" s="236"/>
      <c r="D5774" s="236"/>
    </row>
    <row r="5775" spans="2:4" ht="12.75" customHeight="1" x14ac:dyDescent="0.2">
      <c r="B5775" s="236"/>
      <c r="C5775" s="236"/>
      <c r="D5775" s="236"/>
    </row>
    <row r="5776" spans="2:4" ht="12.75" customHeight="1" x14ac:dyDescent="0.2">
      <c r="B5776" s="236"/>
      <c r="C5776" s="236"/>
      <c r="D5776" s="236"/>
    </row>
    <row r="5777" spans="2:4" ht="12.75" customHeight="1" x14ac:dyDescent="0.2">
      <c r="B5777" s="236"/>
      <c r="C5777" s="236"/>
      <c r="D5777" s="236"/>
    </row>
    <row r="5778" spans="2:4" ht="12.75" customHeight="1" x14ac:dyDescent="0.2">
      <c r="B5778" s="236"/>
      <c r="C5778" s="236"/>
      <c r="D5778" s="236"/>
    </row>
    <row r="5779" spans="2:4" ht="12.75" customHeight="1" x14ac:dyDescent="0.2">
      <c r="B5779" s="236"/>
      <c r="C5779" s="236"/>
      <c r="D5779" s="236"/>
    </row>
    <row r="5780" spans="2:4" x14ac:dyDescent="0.2">
      <c r="B5780" s="236"/>
      <c r="C5780" s="236"/>
      <c r="D5780" s="236"/>
    </row>
    <row r="5781" spans="2:4" ht="12.75" customHeight="1" x14ac:dyDescent="0.2">
      <c r="B5781" s="236"/>
      <c r="C5781" s="236"/>
      <c r="D5781" s="236"/>
    </row>
    <row r="5782" spans="2:4" ht="12.75" customHeight="1" x14ac:dyDescent="0.2">
      <c r="B5782" s="236"/>
      <c r="C5782" s="236"/>
      <c r="D5782" s="236"/>
    </row>
    <row r="5783" spans="2:4" x14ac:dyDescent="0.2">
      <c r="B5783" s="236"/>
      <c r="C5783" s="236"/>
      <c r="D5783" s="236"/>
    </row>
    <row r="5784" spans="2:4" ht="12.75" customHeight="1" x14ac:dyDescent="0.2">
      <c r="B5784" s="236"/>
      <c r="C5784" s="236"/>
      <c r="D5784" s="236"/>
    </row>
    <row r="5785" spans="2:4" x14ac:dyDescent="0.2">
      <c r="B5785" s="236"/>
      <c r="C5785" s="236"/>
      <c r="D5785" s="236"/>
    </row>
    <row r="5786" spans="2:4" ht="12.75" customHeight="1" x14ac:dyDescent="0.2">
      <c r="B5786" s="236"/>
      <c r="C5786" s="236"/>
      <c r="D5786" s="236"/>
    </row>
    <row r="5787" spans="2:4" x14ac:dyDescent="0.2">
      <c r="B5787" s="236"/>
      <c r="C5787" s="236"/>
      <c r="D5787" s="236"/>
    </row>
    <row r="5788" spans="2:4" ht="12.75" customHeight="1" x14ac:dyDescent="0.2">
      <c r="B5788" s="236"/>
      <c r="C5788" s="236"/>
      <c r="D5788" s="236"/>
    </row>
    <row r="5789" spans="2:4" x14ac:dyDescent="0.2">
      <c r="B5789" s="236"/>
      <c r="C5789" s="236"/>
      <c r="D5789" s="236"/>
    </row>
    <row r="5790" spans="2:4" ht="12.75" customHeight="1" x14ac:dyDescent="0.2">
      <c r="B5790" s="236"/>
      <c r="C5790" s="236"/>
      <c r="D5790" s="236"/>
    </row>
    <row r="5791" spans="2:4" x14ac:dyDescent="0.2">
      <c r="B5791" s="236"/>
      <c r="C5791" s="236"/>
      <c r="D5791" s="236"/>
    </row>
    <row r="5792" spans="2:4" ht="12.75" customHeight="1" x14ac:dyDescent="0.2">
      <c r="B5792" s="236"/>
      <c r="C5792" s="236"/>
      <c r="D5792" s="236"/>
    </row>
    <row r="5793" spans="2:4" ht="12.75" customHeight="1" x14ac:dyDescent="0.2">
      <c r="B5793" s="236"/>
      <c r="C5793" s="236"/>
      <c r="D5793" s="236"/>
    </row>
    <row r="5794" spans="2:4" x14ac:dyDescent="0.2">
      <c r="B5794" s="236"/>
      <c r="C5794" s="236"/>
      <c r="D5794" s="236"/>
    </row>
    <row r="5795" spans="2:4" ht="12.75" customHeight="1" x14ac:dyDescent="0.2">
      <c r="B5795" s="236"/>
      <c r="C5795" s="236"/>
      <c r="D5795" s="236"/>
    </row>
    <row r="5796" spans="2:4" ht="12.75" customHeight="1" x14ac:dyDescent="0.2">
      <c r="B5796" s="236"/>
      <c r="C5796" s="236"/>
      <c r="D5796" s="236"/>
    </row>
    <row r="5797" spans="2:4" x14ac:dyDescent="0.2">
      <c r="B5797" s="236"/>
      <c r="C5797" s="236"/>
      <c r="D5797" s="236"/>
    </row>
    <row r="5798" spans="2:4" ht="12.75" customHeight="1" x14ac:dyDescent="0.2">
      <c r="B5798" s="236"/>
      <c r="C5798" s="236"/>
      <c r="D5798" s="236"/>
    </row>
    <row r="5799" spans="2:4" ht="12.75" customHeight="1" x14ac:dyDescent="0.2">
      <c r="B5799" s="236"/>
      <c r="C5799" s="236"/>
      <c r="D5799" s="236"/>
    </row>
    <row r="5800" spans="2:4" x14ac:dyDescent="0.2">
      <c r="B5800" s="236"/>
      <c r="C5800" s="236"/>
      <c r="D5800" s="236"/>
    </row>
    <row r="5801" spans="2:4" ht="12.75" customHeight="1" x14ac:dyDescent="0.2">
      <c r="B5801" s="236"/>
      <c r="C5801" s="236"/>
      <c r="D5801" s="236"/>
    </row>
    <row r="5802" spans="2:4" ht="12.75" customHeight="1" x14ac:dyDescent="0.2">
      <c r="B5802" s="236"/>
      <c r="C5802" s="236"/>
      <c r="D5802" s="236"/>
    </row>
    <row r="5803" spans="2:4" x14ac:dyDescent="0.2">
      <c r="B5803" s="236"/>
      <c r="C5803" s="236"/>
      <c r="D5803" s="236"/>
    </row>
    <row r="5804" spans="2:4" ht="12.75" customHeight="1" x14ac:dyDescent="0.2">
      <c r="B5804" s="236"/>
      <c r="C5804" s="236"/>
      <c r="D5804" s="236"/>
    </row>
    <row r="5805" spans="2:4" ht="12.75" customHeight="1" x14ac:dyDescent="0.2">
      <c r="B5805" s="236"/>
      <c r="C5805" s="236"/>
      <c r="D5805" s="236"/>
    </row>
    <row r="5806" spans="2:4" x14ac:dyDescent="0.2">
      <c r="B5806" s="236"/>
      <c r="C5806" s="236"/>
      <c r="D5806" s="236"/>
    </row>
    <row r="5807" spans="2:4" ht="12.75" customHeight="1" x14ac:dyDescent="0.2">
      <c r="B5807" s="236"/>
      <c r="C5807" s="236"/>
      <c r="D5807" s="236"/>
    </row>
    <row r="5808" spans="2:4" ht="12.75" customHeight="1" x14ac:dyDescent="0.2">
      <c r="B5808" s="236"/>
      <c r="C5808" s="236"/>
      <c r="D5808" s="236"/>
    </row>
    <row r="5809" spans="2:4" x14ac:dyDescent="0.2">
      <c r="B5809" s="236"/>
      <c r="C5809" s="236"/>
      <c r="D5809" s="236"/>
    </row>
    <row r="5810" spans="2:4" ht="12.75" customHeight="1" x14ac:dyDescent="0.2">
      <c r="B5810" s="236"/>
      <c r="C5810" s="236"/>
      <c r="D5810" s="236"/>
    </row>
    <row r="5811" spans="2:4" ht="12.75" customHeight="1" x14ac:dyDescent="0.2">
      <c r="B5811" s="236"/>
      <c r="C5811" s="236"/>
      <c r="D5811" s="236"/>
    </row>
    <row r="5812" spans="2:4" ht="12.75" customHeight="1" x14ac:dyDescent="0.2">
      <c r="B5812" s="236"/>
      <c r="C5812" s="236"/>
      <c r="D5812" s="236"/>
    </row>
    <row r="5813" spans="2:4" ht="12.75" customHeight="1" x14ac:dyDescent="0.2">
      <c r="B5813" s="236"/>
      <c r="C5813" s="236"/>
      <c r="D5813" s="236"/>
    </row>
    <row r="5814" spans="2:4" x14ac:dyDescent="0.2">
      <c r="B5814" s="236"/>
      <c r="C5814" s="236"/>
      <c r="D5814" s="236"/>
    </row>
    <row r="5815" spans="2:4" ht="12.75" customHeight="1" x14ac:dyDescent="0.2">
      <c r="B5815" s="236"/>
      <c r="C5815" s="236"/>
      <c r="D5815" s="236"/>
    </row>
    <row r="5816" spans="2:4" ht="12.75" customHeight="1" x14ac:dyDescent="0.2">
      <c r="B5816" s="236"/>
      <c r="C5816" s="236"/>
      <c r="D5816" s="236"/>
    </row>
    <row r="5817" spans="2:4" x14ac:dyDescent="0.2">
      <c r="B5817" s="236"/>
      <c r="C5817" s="236"/>
      <c r="D5817" s="236"/>
    </row>
    <row r="5818" spans="2:4" ht="12.75" customHeight="1" x14ac:dyDescent="0.2">
      <c r="B5818" s="236"/>
      <c r="C5818" s="236"/>
      <c r="D5818" s="236"/>
    </row>
    <row r="5819" spans="2:4" ht="12.75" customHeight="1" x14ac:dyDescent="0.2">
      <c r="B5819" s="236"/>
      <c r="C5819" s="236"/>
      <c r="D5819" s="236"/>
    </row>
    <row r="5820" spans="2:4" ht="12.75" customHeight="1" x14ac:dyDescent="0.2">
      <c r="B5820" s="236"/>
      <c r="C5820" s="236"/>
      <c r="D5820" s="236"/>
    </row>
    <row r="5821" spans="2:4" x14ac:dyDescent="0.2">
      <c r="B5821" s="236"/>
      <c r="C5821" s="236"/>
      <c r="D5821" s="236"/>
    </row>
    <row r="5822" spans="2:4" ht="12.75" customHeight="1" x14ac:dyDescent="0.2">
      <c r="B5822" s="236"/>
      <c r="C5822" s="236"/>
      <c r="D5822" s="236"/>
    </row>
    <row r="5823" spans="2:4" ht="12.75" customHeight="1" x14ac:dyDescent="0.2">
      <c r="B5823" s="236"/>
      <c r="C5823" s="236"/>
      <c r="D5823" s="236"/>
    </row>
    <row r="5824" spans="2:4" ht="12.75" customHeight="1" x14ac:dyDescent="0.2">
      <c r="B5824" s="236"/>
      <c r="C5824" s="236"/>
      <c r="D5824" s="236"/>
    </row>
    <row r="5825" spans="2:4" ht="12.75" customHeight="1" x14ac:dyDescent="0.2">
      <c r="B5825" s="236"/>
      <c r="C5825" s="236"/>
      <c r="D5825" s="236"/>
    </row>
    <row r="5826" spans="2:4" x14ac:dyDescent="0.2">
      <c r="B5826" s="236"/>
      <c r="C5826" s="236"/>
      <c r="D5826" s="236"/>
    </row>
    <row r="5827" spans="2:4" ht="12.75" customHeight="1" x14ac:dyDescent="0.2">
      <c r="B5827" s="236"/>
      <c r="C5827" s="236"/>
      <c r="D5827" s="236"/>
    </row>
    <row r="5828" spans="2:4" ht="12.75" customHeight="1" x14ac:dyDescent="0.2">
      <c r="B5828" s="236"/>
      <c r="C5828" s="236"/>
      <c r="D5828" s="236"/>
    </row>
    <row r="5829" spans="2:4" ht="12.75" customHeight="1" x14ac:dyDescent="0.2">
      <c r="B5829" s="236"/>
      <c r="C5829" s="236"/>
      <c r="D5829" s="236"/>
    </row>
    <row r="5830" spans="2:4" ht="12.75" customHeight="1" x14ac:dyDescent="0.2">
      <c r="B5830" s="236"/>
      <c r="C5830" s="236"/>
      <c r="D5830" s="236"/>
    </row>
    <row r="5831" spans="2:4" ht="12.75" customHeight="1" x14ac:dyDescent="0.2">
      <c r="B5831" s="236"/>
      <c r="C5831" s="236"/>
      <c r="D5831" s="236"/>
    </row>
    <row r="5832" spans="2:4" ht="12.75" customHeight="1" x14ac:dyDescent="0.2">
      <c r="B5832" s="236"/>
      <c r="C5832" s="236"/>
      <c r="D5832" s="236"/>
    </row>
    <row r="5833" spans="2:4" ht="12.75" customHeight="1" x14ac:dyDescent="0.2">
      <c r="B5833" s="236"/>
      <c r="C5833" s="236"/>
      <c r="D5833" s="236"/>
    </row>
    <row r="5834" spans="2:4" ht="12.75" customHeight="1" x14ac:dyDescent="0.2">
      <c r="B5834" s="236"/>
      <c r="C5834" s="236"/>
      <c r="D5834" s="236"/>
    </row>
    <row r="5835" spans="2:4" ht="12.75" customHeight="1" x14ac:dyDescent="0.2">
      <c r="B5835" s="236"/>
      <c r="C5835" s="236"/>
      <c r="D5835" s="236"/>
    </row>
    <row r="5836" spans="2:4" ht="12.75" customHeight="1" x14ac:dyDescent="0.2">
      <c r="B5836" s="236"/>
      <c r="C5836" s="236"/>
      <c r="D5836" s="236"/>
    </row>
    <row r="5837" spans="2:4" x14ac:dyDescent="0.2">
      <c r="B5837" s="236"/>
      <c r="C5837" s="236"/>
      <c r="D5837" s="236"/>
    </row>
    <row r="5838" spans="2:4" ht="12.75" customHeight="1" x14ac:dyDescent="0.2">
      <c r="B5838" s="236"/>
      <c r="C5838" s="236"/>
      <c r="D5838" s="236"/>
    </row>
    <row r="5839" spans="2:4" x14ac:dyDescent="0.2">
      <c r="B5839" s="236"/>
      <c r="C5839" s="236"/>
      <c r="D5839" s="236"/>
    </row>
    <row r="5840" spans="2:4" ht="12.75" customHeight="1" x14ac:dyDescent="0.2">
      <c r="B5840" s="236"/>
      <c r="C5840" s="236"/>
      <c r="D5840" s="236"/>
    </row>
    <row r="5841" spans="2:4" ht="12.75" customHeight="1" x14ac:dyDescent="0.2">
      <c r="B5841" s="236"/>
      <c r="C5841" s="236"/>
      <c r="D5841" s="236"/>
    </row>
    <row r="5842" spans="2:4" x14ac:dyDescent="0.2">
      <c r="B5842" s="236"/>
      <c r="C5842" s="236"/>
      <c r="D5842" s="236"/>
    </row>
    <row r="5843" spans="2:4" x14ac:dyDescent="0.2">
      <c r="B5843" s="236"/>
      <c r="C5843" s="236"/>
      <c r="D5843" s="236"/>
    </row>
    <row r="5844" spans="2:4" ht="12.75" customHeight="1" x14ac:dyDescent="0.2">
      <c r="B5844" s="236"/>
      <c r="C5844" s="236"/>
      <c r="D5844" s="236"/>
    </row>
    <row r="5845" spans="2:4" ht="12.75" customHeight="1" x14ac:dyDescent="0.2">
      <c r="B5845" s="236"/>
      <c r="C5845" s="236"/>
      <c r="D5845" s="236"/>
    </row>
    <row r="5846" spans="2:4" ht="12.75" customHeight="1" x14ac:dyDescent="0.2">
      <c r="B5846" s="236"/>
      <c r="C5846" s="236"/>
      <c r="D5846" s="236"/>
    </row>
    <row r="5847" spans="2:4" x14ac:dyDescent="0.2">
      <c r="B5847" s="236"/>
      <c r="C5847" s="236"/>
      <c r="D5847" s="236"/>
    </row>
    <row r="5848" spans="2:4" ht="12.75" customHeight="1" x14ac:dyDescent="0.2">
      <c r="B5848" s="236"/>
      <c r="C5848" s="236"/>
      <c r="D5848" s="236"/>
    </row>
    <row r="5849" spans="2:4" x14ac:dyDescent="0.2">
      <c r="B5849" s="236"/>
      <c r="C5849" s="236"/>
      <c r="D5849" s="236"/>
    </row>
    <row r="5850" spans="2:4" ht="12.75" customHeight="1" x14ac:dyDescent="0.2">
      <c r="B5850" s="236"/>
      <c r="C5850" s="236"/>
      <c r="D5850" s="236"/>
    </row>
    <row r="5851" spans="2:4" x14ac:dyDescent="0.2">
      <c r="B5851" s="236"/>
      <c r="C5851" s="236"/>
      <c r="D5851" s="236"/>
    </row>
    <row r="5852" spans="2:4" x14ac:dyDescent="0.2">
      <c r="B5852" s="236"/>
      <c r="C5852" s="236"/>
      <c r="D5852" s="236"/>
    </row>
    <row r="5853" spans="2:4" x14ac:dyDescent="0.2">
      <c r="B5853" s="236"/>
      <c r="C5853" s="236"/>
      <c r="D5853" s="236"/>
    </row>
    <row r="5854" spans="2:4" ht="12.75" customHeight="1" x14ac:dyDescent="0.2">
      <c r="B5854" s="236"/>
      <c r="C5854" s="236"/>
      <c r="D5854" s="236"/>
    </row>
    <row r="5855" spans="2:4" x14ac:dyDescent="0.2">
      <c r="B5855" s="236"/>
      <c r="C5855" s="236"/>
      <c r="D5855" s="236"/>
    </row>
    <row r="5856" spans="2:4" ht="12.75" customHeight="1" x14ac:dyDescent="0.2">
      <c r="B5856" s="236"/>
      <c r="C5856" s="236"/>
      <c r="D5856" s="236"/>
    </row>
    <row r="5857" spans="2:4" x14ac:dyDescent="0.2">
      <c r="B5857" s="236"/>
      <c r="C5857" s="236"/>
      <c r="D5857" s="236"/>
    </row>
    <row r="5858" spans="2:4" x14ac:dyDescent="0.2">
      <c r="B5858" s="236"/>
      <c r="C5858" s="236"/>
      <c r="D5858" s="236"/>
    </row>
    <row r="5859" spans="2:4" ht="12.75" customHeight="1" x14ac:dyDescent="0.2">
      <c r="B5859" s="236"/>
      <c r="C5859" s="236"/>
      <c r="D5859" s="236"/>
    </row>
    <row r="5860" spans="2:4" ht="12.75" customHeight="1" x14ac:dyDescent="0.2">
      <c r="B5860" s="236"/>
      <c r="C5860" s="236"/>
      <c r="D5860" s="236"/>
    </row>
    <row r="5861" spans="2:4" ht="12.75" customHeight="1" x14ac:dyDescent="0.2">
      <c r="B5861" s="236"/>
      <c r="C5861" s="236"/>
      <c r="D5861" s="236"/>
    </row>
    <row r="5862" spans="2:4" ht="12.75" customHeight="1" x14ac:dyDescent="0.2">
      <c r="B5862" s="236"/>
      <c r="C5862" s="236"/>
      <c r="D5862" s="236"/>
    </row>
    <row r="5863" spans="2:4" x14ac:dyDescent="0.2">
      <c r="B5863" s="236"/>
      <c r="C5863" s="236"/>
      <c r="D5863" s="236"/>
    </row>
    <row r="5864" spans="2:4" ht="12.75" customHeight="1" x14ac:dyDescent="0.2">
      <c r="B5864" s="236"/>
      <c r="C5864" s="236"/>
      <c r="D5864" s="236"/>
    </row>
    <row r="5865" spans="2:4" ht="12.75" customHeight="1" x14ac:dyDescent="0.2">
      <c r="B5865" s="236"/>
      <c r="C5865" s="236"/>
      <c r="D5865" s="236"/>
    </row>
    <row r="5866" spans="2:4" x14ac:dyDescent="0.2">
      <c r="B5866" s="236"/>
      <c r="C5866" s="236"/>
      <c r="D5866" s="236"/>
    </row>
    <row r="5867" spans="2:4" ht="12.75" customHeight="1" x14ac:dyDescent="0.2">
      <c r="B5867" s="236"/>
      <c r="C5867" s="236"/>
      <c r="D5867" s="236"/>
    </row>
    <row r="5868" spans="2:4" x14ac:dyDescent="0.2">
      <c r="B5868" s="236"/>
      <c r="C5868" s="236"/>
      <c r="D5868" s="236"/>
    </row>
    <row r="5869" spans="2:4" ht="12.75" customHeight="1" x14ac:dyDescent="0.2">
      <c r="B5869" s="236"/>
      <c r="C5869" s="236"/>
      <c r="D5869" s="236"/>
    </row>
    <row r="5870" spans="2:4" ht="12.75" customHeight="1" x14ac:dyDescent="0.2">
      <c r="B5870" s="236"/>
      <c r="C5870" s="236"/>
      <c r="D5870" s="236"/>
    </row>
    <row r="5871" spans="2:4" x14ac:dyDescent="0.2">
      <c r="B5871" s="236"/>
      <c r="C5871" s="236"/>
      <c r="D5871" s="236"/>
    </row>
    <row r="5872" spans="2:4" ht="12.75" customHeight="1" x14ac:dyDescent="0.2">
      <c r="B5872" s="236"/>
      <c r="C5872" s="236"/>
      <c r="D5872" s="236"/>
    </row>
    <row r="5873" spans="2:4" x14ac:dyDescent="0.2">
      <c r="B5873" s="236"/>
      <c r="C5873" s="236"/>
      <c r="D5873" s="236"/>
    </row>
    <row r="5874" spans="2:4" ht="12.75" customHeight="1" x14ac:dyDescent="0.2">
      <c r="B5874" s="236"/>
      <c r="C5874" s="236"/>
      <c r="D5874" s="236"/>
    </row>
    <row r="5875" spans="2:4" x14ac:dyDescent="0.2">
      <c r="B5875" s="236"/>
      <c r="C5875" s="236"/>
      <c r="D5875" s="236"/>
    </row>
    <row r="5876" spans="2:4" ht="12.75" customHeight="1" x14ac:dyDescent="0.2">
      <c r="B5876" s="236"/>
      <c r="C5876" s="236"/>
      <c r="D5876" s="236"/>
    </row>
    <row r="5877" spans="2:4" ht="12.75" customHeight="1" x14ac:dyDescent="0.2">
      <c r="B5877" s="236"/>
      <c r="C5877" s="236"/>
      <c r="D5877" s="236"/>
    </row>
    <row r="5878" spans="2:4" x14ac:dyDescent="0.2">
      <c r="B5878" s="236"/>
      <c r="C5878" s="236"/>
      <c r="D5878" s="236"/>
    </row>
    <row r="5879" spans="2:4" ht="12.75" customHeight="1" x14ac:dyDescent="0.2">
      <c r="B5879" s="236"/>
      <c r="C5879" s="236"/>
      <c r="D5879" s="236"/>
    </row>
    <row r="5880" spans="2:4" ht="12.75" customHeight="1" x14ac:dyDescent="0.2">
      <c r="B5880" s="236"/>
      <c r="C5880" s="236"/>
      <c r="D5880" s="236"/>
    </row>
    <row r="5881" spans="2:4" ht="12.75" customHeight="1" x14ac:dyDescent="0.2">
      <c r="B5881" s="236"/>
      <c r="C5881" s="236"/>
      <c r="D5881" s="236"/>
    </row>
    <row r="5882" spans="2:4" x14ac:dyDescent="0.2">
      <c r="B5882" s="236"/>
      <c r="C5882" s="236"/>
      <c r="D5882" s="236"/>
    </row>
    <row r="5883" spans="2:4" ht="12.75" customHeight="1" x14ac:dyDescent="0.2">
      <c r="B5883" s="236"/>
      <c r="C5883" s="236"/>
      <c r="D5883" s="236"/>
    </row>
    <row r="5884" spans="2:4" x14ac:dyDescent="0.2">
      <c r="B5884" s="236"/>
      <c r="C5884" s="236"/>
      <c r="D5884" s="236"/>
    </row>
    <row r="5885" spans="2:4" ht="12.75" customHeight="1" x14ac:dyDescent="0.2">
      <c r="B5885" s="236"/>
      <c r="C5885" s="236"/>
      <c r="D5885" s="236"/>
    </row>
    <row r="5886" spans="2:4" ht="12.75" customHeight="1" x14ac:dyDescent="0.2">
      <c r="B5886" s="236"/>
      <c r="C5886" s="236"/>
      <c r="D5886" s="236"/>
    </row>
    <row r="5887" spans="2:4" ht="12.75" customHeight="1" x14ac:dyDescent="0.2">
      <c r="B5887" s="236"/>
      <c r="C5887" s="236"/>
      <c r="D5887" s="236"/>
    </row>
    <row r="5888" spans="2:4" x14ac:dyDescent="0.2">
      <c r="B5888" s="236"/>
      <c r="C5888" s="236"/>
      <c r="D5888" s="236"/>
    </row>
    <row r="5889" spans="2:4" ht="12.75" customHeight="1" x14ac:dyDescent="0.2">
      <c r="B5889" s="236"/>
      <c r="C5889" s="236"/>
      <c r="D5889" s="236"/>
    </row>
    <row r="5890" spans="2:4" x14ac:dyDescent="0.2">
      <c r="B5890" s="236"/>
      <c r="C5890" s="236"/>
      <c r="D5890" s="236"/>
    </row>
    <row r="5891" spans="2:4" x14ac:dyDescent="0.2">
      <c r="B5891" s="236"/>
      <c r="C5891" s="236"/>
      <c r="D5891" s="236"/>
    </row>
    <row r="5892" spans="2:4" ht="12.75" customHeight="1" x14ac:dyDescent="0.2">
      <c r="B5892" s="236"/>
      <c r="C5892" s="236"/>
      <c r="D5892" s="236"/>
    </row>
    <row r="5893" spans="2:4" ht="12.75" customHeight="1" x14ac:dyDescent="0.2">
      <c r="B5893" s="236"/>
      <c r="C5893" s="236"/>
      <c r="D5893" s="236"/>
    </row>
    <row r="5894" spans="2:4" ht="12.75" customHeight="1" x14ac:dyDescent="0.2">
      <c r="B5894" s="236"/>
      <c r="C5894" s="236"/>
      <c r="D5894" s="236"/>
    </row>
    <row r="5895" spans="2:4" ht="12.75" customHeight="1" x14ac:dyDescent="0.2">
      <c r="B5895" s="236"/>
      <c r="C5895" s="236"/>
      <c r="D5895" s="236"/>
    </row>
    <row r="5896" spans="2:4" ht="12.75" customHeight="1" x14ac:dyDescent="0.2">
      <c r="B5896" s="236"/>
      <c r="C5896" s="236"/>
      <c r="D5896" s="236"/>
    </row>
    <row r="5897" spans="2:4" ht="12.75" customHeight="1" x14ac:dyDescent="0.2">
      <c r="B5897" s="236"/>
      <c r="C5897" s="236"/>
      <c r="D5897" s="236"/>
    </row>
    <row r="5898" spans="2:4" ht="12.75" customHeight="1" x14ac:dyDescent="0.2">
      <c r="B5898" s="236"/>
      <c r="C5898" s="236"/>
      <c r="D5898" s="236"/>
    </row>
    <row r="5899" spans="2:4" x14ac:dyDescent="0.2">
      <c r="B5899" s="236"/>
      <c r="C5899" s="236"/>
      <c r="D5899" s="236"/>
    </row>
    <row r="5900" spans="2:4" ht="12.75" customHeight="1" x14ac:dyDescent="0.2">
      <c r="B5900" s="236"/>
      <c r="C5900" s="236"/>
      <c r="D5900" s="236"/>
    </row>
    <row r="5901" spans="2:4" ht="12.75" customHeight="1" x14ac:dyDescent="0.2">
      <c r="B5901" s="236"/>
      <c r="C5901" s="236"/>
      <c r="D5901" s="236"/>
    </row>
    <row r="5902" spans="2:4" ht="12.75" customHeight="1" x14ac:dyDescent="0.2">
      <c r="B5902" s="236"/>
      <c r="C5902" s="236"/>
      <c r="D5902" s="236"/>
    </row>
    <row r="5903" spans="2:4" x14ac:dyDescent="0.2">
      <c r="B5903" s="236"/>
      <c r="C5903" s="236"/>
      <c r="D5903" s="236"/>
    </row>
    <row r="5904" spans="2:4" ht="12.75" customHeight="1" x14ac:dyDescent="0.2">
      <c r="B5904" s="236"/>
      <c r="C5904" s="236"/>
      <c r="D5904" s="236"/>
    </row>
    <row r="5905" spans="2:4" x14ac:dyDescent="0.2">
      <c r="B5905" s="236"/>
      <c r="C5905" s="236"/>
      <c r="D5905" s="236"/>
    </row>
    <row r="5906" spans="2:4" ht="12.75" customHeight="1" x14ac:dyDescent="0.2">
      <c r="B5906" s="236"/>
      <c r="C5906" s="236"/>
      <c r="D5906" s="236"/>
    </row>
    <row r="5907" spans="2:4" x14ac:dyDescent="0.2">
      <c r="B5907" s="236"/>
      <c r="C5907" s="236"/>
      <c r="D5907" s="236"/>
    </row>
    <row r="5908" spans="2:4" ht="12.75" customHeight="1" x14ac:dyDescent="0.2">
      <c r="B5908" s="236"/>
      <c r="C5908" s="236"/>
      <c r="D5908" s="236"/>
    </row>
    <row r="5909" spans="2:4" ht="12.75" customHeight="1" x14ac:dyDescent="0.2">
      <c r="B5909" s="236"/>
      <c r="C5909" s="236"/>
      <c r="D5909" s="236"/>
    </row>
    <row r="5910" spans="2:4" ht="12.75" customHeight="1" x14ac:dyDescent="0.2">
      <c r="B5910" s="236"/>
      <c r="C5910" s="236"/>
      <c r="D5910" s="236"/>
    </row>
    <row r="5911" spans="2:4" x14ac:dyDescent="0.2">
      <c r="B5911" s="236"/>
      <c r="C5911" s="236"/>
      <c r="D5911" s="236"/>
    </row>
    <row r="5912" spans="2:4" ht="12.75" customHeight="1" x14ac:dyDescent="0.2">
      <c r="B5912" s="236"/>
      <c r="C5912" s="236"/>
      <c r="D5912" s="236"/>
    </row>
    <row r="5913" spans="2:4" ht="12.75" customHeight="1" x14ac:dyDescent="0.2">
      <c r="B5913" s="236"/>
      <c r="C5913" s="236"/>
      <c r="D5913" s="236"/>
    </row>
    <row r="5914" spans="2:4" ht="12.75" customHeight="1" x14ac:dyDescent="0.2">
      <c r="B5914" s="236"/>
      <c r="C5914" s="236"/>
      <c r="D5914" s="236"/>
    </row>
    <row r="5915" spans="2:4" x14ac:dyDescent="0.2">
      <c r="B5915" s="236"/>
      <c r="C5915" s="236"/>
      <c r="D5915" s="236"/>
    </row>
    <row r="5916" spans="2:4" ht="12.75" customHeight="1" x14ac:dyDescent="0.2">
      <c r="B5916" s="236"/>
      <c r="C5916" s="236"/>
      <c r="D5916" s="236"/>
    </row>
    <row r="5917" spans="2:4" ht="12.75" customHeight="1" x14ac:dyDescent="0.2">
      <c r="B5917" s="236"/>
      <c r="C5917" s="236"/>
      <c r="D5917" s="236"/>
    </row>
    <row r="5918" spans="2:4" ht="12.75" customHeight="1" x14ac:dyDescent="0.2">
      <c r="B5918" s="236"/>
      <c r="C5918" s="236"/>
      <c r="D5918" s="236"/>
    </row>
    <row r="5919" spans="2:4" ht="12.75" customHeight="1" x14ac:dyDescent="0.2">
      <c r="B5919" s="236"/>
      <c r="C5919" s="236"/>
      <c r="D5919" s="236"/>
    </row>
    <row r="5920" spans="2:4" x14ac:dyDescent="0.2">
      <c r="B5920" s="236"/>
      <c r="C5920" s="236"/>
      <c r="D5920" s="236"/>
    </row>
    <row r="5921" spans="2:4" ht="12.75" customHeight="1" x14ac:dyDescent="0.2">
      <c r="B5921" s="236"/>
      <c r="C5921" s="236"/>
      <c r="D5921" s="236"/>
    </row>
    <row r="5922" spans="2:4" x14ac:dyDescent="0.2">
      <c r="B5922" s="236"/>
      <c r="C5922" s="236"/>
      <c r="D5922" s="236"/>
    </row>
    <row r="5923" spans="2:4" ht="12.75" customHeight="1" x14ac:dyDescent="0.2">
      <c r="B5923" s="236"/>
      <c r="C5923" s="236"/>
      <c r="D5923" s="236"/>
    </row>
    <row r="5924" spans="2:4" ht="12.75" customHeight="1" x14ac:dyDescent="0.2">
      <c r="B5924" s="236"/>
      <c r="C5924" s="236"/>
      <c r="D5924" s="236"/>
    </row>
    <row r="5925" spans="2:4" x14ac:dyDescent="0.2">
      <c r="B5925" s="236"/>
      <c r="C5925" s="236"/>
      <c r="D5925" s="236"/>
    </row>
    <row r="5926" spans="2:4" x14ac:dyDescent="0.2">
      <c r="B5926" s="236"/>
      <c r="C5926" s="236"/>
      <c r="D5926" s="236"/>
    </row>
    <row r="5927" spans="2:4" x14ac:dyDescent="0.2">
      <c r="B5927" s="236"/>
      <c r="C5927" s="236"/>
      <c r="D5927" s="236"/>
    </row>
    <row r="5928" spans="2:4" ht="12.75" customHeight="1" x14ac:dyDescent="0.2">
      <c r="B5928" s="236"/>
      <c r="C5928" s="236"/>
      <c r="D5928" s="236"/>
    </row>
    <row r="5929" spans="2:4" x14ac:dyDescent="0.2">
      <c r="B5929" s="236"/>
      <c r="C5929" s="236"/>
      <c r="D5929" s="236"/>
    </row>
    <row r="5930" spans="2:4" ht="12.75" customHeight="1" x14ac:dyDescent="0.2">
      <c r="B5930" s="236"/>
      <c r="C5930" s="236"/>
      <c r="D5930" s="236"/>
    </row>
    <row r="5931" spans="2:4" x14ac:dyDescent="0.2">
      <c r="B5931" s="236"/>
      <c r="C5931" s="236"/>
      <c r="D5931" s="236"/>
    </row>
    <row r="5932" spans="2:4" x14ac:dyDescent="0.2">
      <c r="B5932" s="236"/>
      <c r="C5932" s="236"/>
      <c r="D5932" s="236"/>
    </row>
    <row r="5933" spans="2:4" x14ac:dyDescent="0.2">
      <c r="B5933" s="236"/>
      <c r="C5933" s="236"/>
      <c r="D5933" s="236"/>
    </row>
    <row r="5934" spans="2:4" ht="12.75" customHeight="1" x14ac:dyDescent="0.2">
      <c r="B5934" s="236"/>
      <c r="C5934" s="236"/>
      <c r="D5934" s="236"/>
    </row>
    <row r="5935" spans="2:4" x14ac:dyDescent="0.2">
      <c r="B5935" s="236"/>
      <c r="C5935" s="236"/>
      <c r="D5935" s="236"/>
    </row>
    <row r="5936" spans="2:4" ht="12.75" customHeight="1" x14ac:dyDescent="0.2">
      <c r="B5936" s="236"/>
      <c r="C5936" s="236"/>
      <c r="D5936" s="236"/>
    </row>
    <row r="5937" spans="2:4" ht="12.75" customHeight="1" x14ac:dyDescent="0.2">
      <c r="B5937" s="236"/>
      <c r="C5937" s="236"/>
      <c r="D5937" s="236"/>
    </row>
    <row r="5938" spans="2:4" ht="12.75" customHeight="1" x14ac:dyDescent="0.2">
      <c r="B5938" s="236"/>
      <c r="C5938" s="236"/>
      <c r="D5938" s="236"/>
    </row>
    <row r="5939" spans="2:4" ht="12.75" customHeight="1" x14ac:dyDescent="0.2">
      <c r="B5939" s="236"/>
      <c r="C5939" s="236"/>
      <c r="D5939" s="236"/>
    </row>
    <row r="5940" spans="2:4" x14ac:dyDescent="0.2">
      <c r="B5940" s="236"/>
      <c r="C5940" s="236"/>
      <c r="D5940" s="236"/>
    </row>
    <row r="5941" spans="2:4" ht="12.75" customHeight="1" x14ac:dyDescent="0.2">
      <c r="B5941" s="236"/>
      <c r="C5941" s="236"/>
      <c r="D5941" s="236"/>
    </row>
    <row r="5942" spans="2:4" x14ac:dyDescent="0.2">
      <c r="B5942" s="236"/>
      <c r="C5942" s="236"/>
      <c r="D5942" s="236"/>
    </row>
    <row r="5943" spans="2:4" ht="12.75" customHeight="1" x14ac:dyDescent="0.2">
      <c r="B5943" s="236"/>
      <c r="C5943" s="236"/>
      <c r="D5943" s="236"/>
    </row>
    <row r="5944" spans="2:4" ht="12.75" customHeight="1" x14ac:dyDescent="0.2">
      <c r="B5944" s="236"/>
      <c r="C5944" s="236"/>
      <c r="D5944" s="236"/>
    </row>
    <row r="5945" spans="2:4" ht="12.75" customHeight="1" x14ac:dyDescent="0.2">
      <c r="B5945" s="236"/>
      <c r="C5945" s="236"/>
      <c r="D5945" s="236"/>
    </row>
    <row r="5946" spans="2:4" ht="12.75" customHeight="1" x14ac:dyDescent="0.2">
      <c r="B5946" s="236"/>
      <c r="C5946" s="236"/>
      <c r="D5946" s="236"/>
    </row>
    <row r="5947" spans="2:4" x14ac:dyDescent="0.2">
      <c r="B5947" s="236"/>
      <c r="C5947" s="236"/>
      <c r="D5947" s="236"/>
    </row>
    <row r="5948" spans="2:4" ht="12.75" customHeight="1" x14ac:dyDescent="0.2">
      <c r="B5948" s="236"/>
      <c r="C5948" s="236"/>
      <c r="D5948" s="236"/>
    </row>
    <row r="5949" spans="2:4" ht="12.75" customHeight="1" x14ac:dyDescent="0.2">
      <c r="B5949" s="236"/>
      <c r="C5949" s="236"/>
      <c r="D5949" s="236"/>
    </row>
    <row r="5950" spans="2:4" x14ac:dyDescent="0.2">
      <c r="B5950" s="236"/>
      <c r="C5950" s="236"/>
      <c r="D5950" s="236"/>
    </row>
    <row r="5951" spans="2:4" ht="12.75" customHeight="1" x14ac:dyDescent="0.2">
      <c r="B5951" s="236"/>
      <c r="C5951" s="236"/>
      <c r="D5951" s="236"/>
    </row>
    <row r="5952" spans="2:4" ht="12.75" customHeight="1" x14ac:dyDescent="0.2">
      <c r="B5952" s="236"/>
      <c r="C5952" s="236"/>
      <c r="D5952" s="236"/>
    </row>
    <row r="5953" spans="2:4" x14ac:dyDescent="0.2">
      <c r="B5953" s="236"/>
      <c r="C5953" s="236"/>
      <c r="D5953" s="236"/>
    </row>
    <row r="5954" spans="2:4" x14ac:dyDescent="0.2">
      <c r="B5954" s="236"/>
      <c r="C5954" s="236"/>
      <c r="D5954" s="236"/>
    </row>
    <row r="5955" spans="2:4" ht="12.75" customHeight="1" x14ac:dyDescent="0.2">
      <c r="B5955" s="236"/>
      <c r="C5955" s="236"/>
      <c r="D5955" s="236"/>
    </row>
    <row r="5956" spans="2:4" ht="12.75" customHeight="1" x14ac:dyDescent="0.2">
      <c r="B5956" s="236"/>
      <c r="C5956" s="236"/>
      <c r="D5956" s="236"/>
    </row>
    <row r="5957" spans="2:4" ht="12.75" customHeight="1" x14ac:dyDescent="0.2">
      <c r="B5957" s="236"/>
      <c r="C5957" s="236"/>
      <c r="D5957" s="236"/>
    </row>
    <row r="5958" spans="2:4" ht="12.75" customHeight="1" x14ac:dyDescent="0.2">
      <c r="B5958" s="236"/>
      <c r="C5958" s="236"/>
      <c r="D5958" s="236"/>
    </row>
    <row r="5959" spans="2:4" x14ac:dyDescent="0.2">
      <c r="B5959" s="236"/>
      <c r="C5959" s="236"/>
      <c r="D5959" s="236"/>
    </row>
    <row r="5960" spans="2:4" ht="12.75" customHeight="1" x14ac:dyDescent="0.2">
      <c r="B5960" s="236"/>
      <c r="C5960" s="236"/>
      <c r="D5960" s="236"/>
    </row>
    <row r="5961" spans="2:4" ht="12.75" customHeight="1" x14ac:dyDescent="0.2">
      <c r="B5961" s="236"/>
      <c r="C5961" s="236"/>
      <c r="D5961" s="236"/>
    </row>
    <row r="5962" spans="2:4" ht="12.75" customHeight="1" x14ac:dyDescent="0.2">
      <c r="B5962" s="236"/>
      <c r="C5962" s="236"/>
      <c r="D5962" s="236"/>
    </row>
    <row r="5963" spans="2:4" x14ac:dyDescent="0.2">
      <c r="B5963" s="236"/>
      <c r="C5963" s="236"/>
      <c r="D5963" s="236"/>
    </row>
    <row r="5964" spans="2:4" ht="12.75" customHeight="1" x14ac:dyDescent="0.2">
      <c r="B5964" s="236"/>
      <c r="C5964" s="236"/>
      <c r="D5964" s="236"/>
    </row>
    <row r="5965" spans="2:4" x14ac:dyDescent="0.2">
      <c r="B5965" s="236"/>
      <c r="C5965" s="236"/>
      <c r="D5965" s="236"/>
    </row>
    <row r="5966" spans="2:4" ht="12.75" customHeight="1" x14ac:dyDescent="0.2">
      <c r="B5966" s="236"/>
      <c r="C5966" s="236"/>
      <c r="D5966" s="236"/>
    </row>
    <row r="5967" spans="2:4" ht="12.75" customHeight="1" x14ac:dyDescent="0.2">
      <c r="B5967" s="236"/>
      <c r="C5967" s="236"/>
      <c r="D5967" s="236"/>
    </row>
    <row r="5968" spans="2:4" ht="12.75" customHeight="1" x14ac:dyDescent="0.2">
      <c r="B5968" s="236"/>
      <c r="C5968" s="236"/>
      <c r="D5968" s="236"/>
    </row>
    <row r="5969" spans="2:4" ht="12.75" customHeight="1" x14ac:dyDescent="0.2">
      <c r="B5969" s="236"/>
      <c r="C5969" s="236"/>
      <c r="D5969" s="236"/>
    </row>
    <row r="5970" spans="2:4" ht="12.75" customHeight="1" x14ac:dyDescent="0.2">
      <c r="B5970" s="236"/>
      <c r="C5970" s="236"/>
      <c r="D5970" s="236"/>
    </row>
    <row r="5971" spans="2:4" x14ac:dyDescent="0.2">
      <c r="B5971" s="236"/>
      <c r="C5971" s="236"/>
      <c r="D5971" s="236"/>
    </row>
    <row r="5972" spans="2:4" ht="12.75" customHeight="1" x14ac:dyDescent="0.2">
      <c r="B5972" s="236"/>
      <c r="C5972" s="236"/>
      <c r="D5972" s="236"/>
    </row>
    <row r="5973" spans="2:4" x14ac:dyDescent="0.2">
      <c r="B5973" s="236"/>
      <c r="C5973" s="236"/>
      <c r="D5973" s="236"/>
    </row>
    <row r="5974" spans="2:4" ht="12.75" customHeight="1" x14ac:dyDescent="0.2">
      <c r="B5974" s="236"/>
      <c r="C5974" s="236"/>
      <c r="D5974" s="236"/>
    </row>
    <row r="5975" spans="2:4" ht="12.75" customHeight="1" x14ac:dyDescent="0.2">
      <c r="B5975" s="236"/>
      <c r="C5975" s="236"/>
      <c r="D5975" s="236"/>
    </row>
    <row r="5976" spans="2:4" ht="12.75" customHeight="1" x14ac:dyDescent="0.2">
      <c r="B5976" s="236"/>
      <c r="C5976" s="236"/>
      <c r="D5976" s="236"/>
    </row>
    <row r="5977" spans="2:4" x14ac:dyDescent="0.2">
      <c r="B5977" s="236"/>
      <c r="C5977" s="236"/>
      <c r="D5977" s="236"/>
    </row>
    <row r="5978" spans="2:4" ht="12.75" customHeight="1" x14ac:dyDescent="0.2">
      <c r="B5978" s="236"/>
      <c r="C5978" s="236"/>
      <c r="D5978" s="236"/>
    </row>
    <row r="5979" spans="2:4" ht="12.75" customHeight="1" x14ac:dyDescent="0.2">
      <c r="B5979" s="236"/>
      <c r="C5979" s="236"/>
      <c r="D5979" s="236"/>
    </row>
    <row r="5980" spans="2:4" ht="12.75" customHeight="1" x14ac:dyDescent="0.2">
      <c r="B5980" s="236"/>
      <c r="C5980" s="236"/>
      <c r="D5980" s="236"/>
    </row>
    <row r="5981" spans="2:4" x14ac:dyDescent="0.2">
      <c r="B5981" s="236"/>
      <c r="C5981" s="236"/>
      <c r="D5981" s="236"/>
    </row>
    <row r="5982" spans="2:4" x14ac:dyDescent="0.2">
      <c r="B5982" s="236"/>
      <c r="C5982" s="236"/>
      <c r="D5982" s="236"/>
    </row>
    <row r="5983" spans="2:4" ht="12.75" customHeight="1" x14ac:dyDescent="0.2">
      <c r="B5983" s="236"/>
      <c r="C5983" s="236"/>
      <c r="D5983" s="236"/>
    </row>
    <row r="5984" spans="2:4" x14ac:dyDescent="0.2">
      <c r="B5984" s="236"/>
      <c r="C5984" s="236"/>
      <c r="D5984" s="236"/>
    </row>
    <row r="5985" spans="2:4" ht="12.75" customHeight="1" x14ac:dyDescent="0.2">
      <c r="B5985" s="236"/>
      <c r="C5985" s="236"/>
      <c r="D5985" s="236"/>
    </row>
    <row r="5986" spans="2:4" ht="12.75" customHeight="1" x14ac:dyDescent="0.2">
      <c r="B5986" s="236"/>
      <c r="C5986" s="236"/>
      <c r="D5986" s="236"/>
    </row>
    <row r="5987" spans="2:4" ht="12.75" customHeight="1" x14ac:dyDescent="0.2">
      <c r="B5987" s="236"/>
      <c r="C5987" s="236"/>
      <c r="D5987" s="236"/>
    </row>
    <row r="5988" spans="2:4" ht="12.75" customHeight="1" x14ac:dyDescent="0.2">
      <c r="B5988" s="236"/>
      <c r="C5988" s="236"/>
      <c r="D5988" s="236"/>
    </row>
    <row r="5989" spans="2:4" ht="12.75" customHeight="1" x14ac:dyDescent="0.2">
      <c r="B5989" s="236"/>
      <c r="C5989" s="236"/>
      <c r="D5989" s="236"/>
    </row>
    <row r="5990" spans="2:4" ht="12.75" customHeight="1" x14ac:dyDescent="0.2">
      <c r="B5990" s="236"/>
      <c r="C5990" s="236"/>
      <c r="D5990" s="236"/>
    </row>
    <row r="5991" spans="2:4" ht="12.75" customHeight="1" x14ac:dyDescent="0.2">
      <c r="B5991" s="236"/>
      <c r="C5991" s="236"/>
      <c r="D5991" s="236"/>
    </row>
    <row r="5992" spans="2:4" x14ac:dyDescent="0.2">
      <c r="B5992" s="236"/>
      <c r="C5992" s="236"/>
      <c r="D5992" s="236"/>
    </row>
    <row r="5993" spans="2:4" x14ac:dyDescent="0.2">
      <c r="B5993" s="236"/>
      <c r="C5993" s="236"/>
      <c r="D5993" s="236"/>
    </row>
    <row r="5994" spans="2:4" x14ac:dyDescent="0.2">
      <c r="B5994" s="236"/>
      <c r="C5994" s="236"/>
      <c r="D5994" s="236"/>
    </row>
    <row r="5995" spans="2:4" x14ac:dyDescent="0.2">
      <c r="B5995" s="236"/>
      <c r="C5995" s="236"/>
      <c r="D5995" s="236"/>
    </row>
    <row r="5996" spans="2:4" ht="12.75" customHeight="1" x14ac:dyDescent="0.2">
      <c r="B5996" s="236"/>
      <c r="C5996" s="236"/>
      <c r="D5996" s="236"/>
    </row>
    <row r="5997" spans="2:4" ht="12.75" customHeight="1" x14ac:dyDescent="0.2">
      <c r="B5997" s="236"/>
      <c r="C5997" s="236"/>
      <c r="D5997" s="236"/>
    </row>
    <row r="5998" spans="2:4" x14ac:dyDescent="0.2">
      <c r="B5998" s="236"/>
      <c r="C5998" s="236"/>
      <c r="D5998" s="236"/>
    </row>
    <row r="5999" spans="2:4" x14ac:dyDescent="0.2">
      <c r="B5999" s="236"/>
      <c r="C5999" s="236"/>
      <c r="D5999" s="236"/>
    </row>
    <row r="6000" spans="2:4" ht="12.75" customHeight="1" x14ac:dyDescent="0.2">
      <c r="B6000" s="236"/>
      <c r="C6000" s="236"/>
      <c r="D6000" s="236"/>
    </row>
    <row r="6001" spans="2:4" ht="12.75" customHeight="1" x14ac:dyDescent="0.2">
      <c r="B6001" s="236"/>
      <c r="C6001" s="236"/>
      <c r="D6001" s="236"/>
    </row>
    <row r="6002" spans="2:4" ht="12.75" customHeight="1" x14ac:dyDescent="0.2">
      <c r="B6002" s="236"/>
      <c r="C6002" s="236"/>
      <c r="D6002" s="236"/>
    </row>
    <row r="6003" spans="2:4" x14ac:dyDescent="0.2">
      <c r="B6003" s="236"/>
      <c r="C6003" s="236"/>
      <c r="D6003" s="236"/>
    </row>
    <row r="6004" spans="2:4" x14ac:dyDescent="0.2">
      <c r="B6004" s="236"/>
      <c r="C6004" s="236"/>
      <c r="D6004" s="236"/>
    </row>
    <row r="6005" spans="2:4" ht="12.75" customHeight="1" x14ac:dyDescent="0.2">
      <c r="B6005" s="236"/>
      <c r="C6005" s="236"/>
      <c r="D6005" s="236"/>
    </row>
    <row r="6006" spans="2:4" x14ac:dyDescent="0.2">
      <c r="B6006" s="236"/>
      <c r="C6006" s="236"/>
      <c r="D6006" s="236"/>
    </row>
    <row r="6007" spans="2:4" ht="12.75" customHeight="1" x14ac:dyDescent="0.2">
      <c r="B6007" s="236"/>
      <c r="C6007" s="236"/>
      <c r="D6007" s="236"/>
    </row>
    <row r="6008" spans="2:4" ht="12.75" customHeight="1" x14ac:dyDescent="0.2">
      <c r="B6008" s="236"/>
      <c r="C6008" s="236"/>
      <c r="D6008" s="236"/>
    </row>
    <row r="6009" spans="2:4" x14ac:dyDescent="0.2">
      <c r="B6009" s="236"/>
      <c r="C6009" s="236"/>
      <c r="D6009" s="236"/>
    </row>
    <row r="6010" spans="2:4" ht="12.75" customHeight="1" x14ac:dyDescent="0.2">
      <c r="B6010" s="236"/>
      <c r="C6010" s="236"/>
      <c r="D6010" s="236"/>
    </row>
    <row r="6011" spans="2:4" ht="12.75" customHeight="1" x14ac:dyDescent="0.2">
      <c r="B6011" s="236"/>
      <c r="C6011" s="236"/>
      <c r="D6011" s="236"/>
    </row>
    <row r="6012" spans="2:4" ht="12.75" customHeight="1" x14ac:dyDescent="0.2">
      <c r="B6012" s="236"/>
      <c r="C6012" s="236"/>
      <c r="D6012" s="236"/>
    </row>
    <row r="6013" spans="2:4" x14ac:dyDescent="0.2">
      <c r="B6013" s="236"/>
      <c r="C6013" s="236"/>
      <c r="D6013" s="236"/>
    </row>
    <row r="6014" spans="2:4" ht="12.75" customHeight="1" x14ac:dyDescent="0.2">
      <c r="B6014" s="236"/>
      <c r="C6014" s="236"/>
      <c r="D6014" s="236"/>
    </row>
    <row r="6015" spans="2:4" ht="12.75" customHeight="1" x14ac:dyDescent="0.2">
      <c r="B6015" s="236"/>
      <c r="C6015" s="236"/>
      <c r="D6015" s="236"/>
    </row>
    <row r="6016" spans="2:4" ht="12.75" customHeight="1" x14ac:dyDescent="0.2">
      <c r="B6016" s="236"/>
      <c r="C6016" s="236"/>
      <c r="D6016" s="236"/>
    </row>
    <row r="6017" spans="2:4" x14ac:dyDescent="0.2">
      <c r="B6017" s="236"/>
      <c r="C6017" s="236"/>
      <c r="D6017" s="236"/>
    </row>
    <row r="6018" spans="2:4" ht="12.75" customHeight="1" x14ac:dyDescent="0.2">
      <c r="B6018" s="236"/>
      <c r="C6018" s="236"/>
      <c r="D6018" s="236"/>
    </row>
    <row r="6019" spans="2:4" x14ac:dyDescent="0.2">
      <c r="B6019" s="236"/>
      <c r="C6019" s="236"/>
      <c r="D6019" s="236"/>
    </row>
    <row r="6020" spans="2:4" ht="12.75" customHeight="1" x14ac:dyDescent="0.2">
      <c r="B6020" s="236"/>
      <c r="C6020" s="236"/>
      <c r="D6020" s="236"/>
    </row>
    <row r="6021" spans="2:4" ht="12.75" customHeight="1" x14ac:dyDescent="0.2">
      <c r="B6021" s="236"/>
      <c r="C6021" s="236"/>
      <c r="D6021" s="236"/>
    </row>
    <row r="6022" spans="2:4" x14ac:dyDescent="0.2">
      <c r="B6022" s="236"/>
      <c r="C6022" s="236"/>
      <c r="D6022" s="236"/>
    </row>
    <row r="6023" spans="2:4" ht="12.75" customHeight="1" x14ac:dyDescent="0.2">
      <c r="B6023" s="236"/>
      <c r="C6023" s="236"/>
      <c r="D6023" s="236"/>
    </row>
    <row r="6024" spans="2:4" x14ac:dyDescent="0.2">
      <c r="B6024" s="236"/>
      <c r="C6024" s="236"/>
      <c r="D6024" s="236"/>
    </row>
    <row r="6025" spans="2:4" ht="12.75" customHeight="1" x14ac:dyDescent="0.2">
      <c r="B6025" s="236"/>
      <c r="C6025" s="236"/>
      <c r="D6025" s="236"/>
    </row>
    <row r="6026" spans="2:4" ht="12.75" customHeight="1" x14ac:dyDescent="0.2">
      <c r="B6026" s="236"/>
      <c r="C6026" s="236"/>
      <c r="D6026" s="236"/>
    </row>
    <row r="6027" spans="2:4" x14ac:dyDescent="0.2">
      <c r="B6027" s="236"/>
      <c r="C6027" s="236"/>
      <c r="D6027" s="236"/>
    </row>
    <row r="6028" spans="2:4" ht="12.75" customHeight="1" x14ac:dyDescent="0.2">
      <c r="B6028" s="236"/>
      <c r="C6028" s="236"/>
      <c r="D6028" s="236"/>
    </row>
    <row r="6029" spans="2:4" ht="12.75" customHeight="1" x14ac:dyDescent="0.2">
      <c r="B6029" s="236"/>
      <c r="C6029" s="236"/>
      <c r="D6029" s="236"/>
    </row>
    <row r="6030" spans="2:4" x14ac:dyDescent="0.2">
      <c r="B6030" s="236"/>
      <c r="C6030" s="236"/>
      <c r="D6030" s="236"/>
    </row>
    <row r="6031" spans="2:4" ht="12.75" customHeight="1" x14ac:dyDescent="0.2">
      <c r="B6031" s="236"/>
      <c r="C6031" s="236"/>
      <c r="D6031" s="236"/>
    </row>
    <row r="6032" spans="2:4" ht="12.75" customHeight="1" x14ac:dyDescent="0.2">
      <c r="B6032" s="236"/>
      <c r="C6032" s="236"/>
      <c r="D6032" s="236"/>
    </row>
    <row r="6033" spans="2:4" ht="12.75" customHeight="1" x14ac:dyDescent="0.2">
      <c r="B6033" s="236"/>
      <c r="C6033" s="236"/>
      <c r="D6033" s="236"/>
    </row>
    <row r="6034" spans="2:4" ht="12.75" customHeight="1" x14ac:dyDescent="0.2">
      <c r="B6034" s="236"/>
      <c r="C6034" s="236"/>
      <c r="D6034" s="236"/>
    </row>
    <row r="6035" spans="2:4" ht="12.75" customHeight="1" x14ac:dyDescent="0.2">
      <c r="B6035" s="236"/>
      <c r="C6035" s="236"/>
      <c r="D6035" s="236"/>
    </row>
    <row r="6036" spans="2:4" ht="12.75" customHeight="1" x14ac:dyDescent="0.2">
      <c r="B6036" s="236"/>
      <c r="C6036" s="236"/>
      <c r="D6036" s="236"/>
    </row>
    <row r="6037" spans="2:4" x14ac:dyDescent="0.2">
      <c r="B6037" s="236"/>
      <c r="C6037" s="236"/>
      <c r="D6037" s="236"/>
    </row>
    <row r="6038" spans="2:4" ht="12.75" customHeight="1" x14ac:dyDescent="0.2">
      <c r="B6038" s="236"/>
      <c r="C6038" s="236"/>
      <c r="D6038" s="236"/>
    </row>
    <row r="6039" spans="2:4" ht="12.75" customHeight="1" x14ac:dyDescent="0.2">
      <c r="B6039" s="236"/>
      <c r="C6039" s="236"/>
      <c r="D6039" s="236"/>
    </row>
    <row r="6040" spans="2:4" ht="12.75" customHeight="1" x14ac:dyDescent="0.2">
      <c r="B6040" s="236"/>
      <c r="C6040" s="236"/>
      <c r="D6040" s="236"/>
    </row>
    <row r="6041" spans="2:4" ht="12.75" customHeight="1" x14ac:dyDescent="0.2">
      <c r="B6041" s="236"/>
      <c r="C6041" s="236"/>
      <c r="D6041" s="236"/>
    </row>
    <row r="6042" spans="2:4" x14ac:dyDescent="0.2">
      <c r="B6042" s="236"/>
      <c r="C6042" s="236"/>
      <c r="D6042" s="236"/>
    </row>
    <row r="6043" spans="2:4" ht="12.75" customHeight="1" x14ac:dyDescent="0.2">
      <c r="B6043" s="236"/>
      <c r="C6043" s="236"/>
      <c r="D6043" s="236"/>
    </row>
    <row r="6044" spans="2:4" x14ac:dyDescent="0.2">
      <c r="B6044" s="236"/>
      <c r="C6044" s="236"/>
      <c r="D6044" s="236"/>
    </row>
    <row r="6045" spans="2:4" ht="12.75" customHeight="1" x14ac:dyDescent="0.2">
      <c r="B6045" s="236"/>
      <c r="C6045" s="236"/>
      <c r="D6045" s="236"/>
    </row>
    <row r="6046" spans="2:4" x14ac:dyDescent="0.2">
      <c r="B6046" s="236"/>
      <c r="C6046" s="236"/>
      <c r="D6046" s="236"/>
    </row>
    <row r="6047" spans="2:4" ht="12.75" customHeight="1" x14ac:dyDescent="0.2">
      <c r="B6047" s="236"/>
      <c r="C6047" s="236"/>
      <c r="D6047" s="236"/>
    </row>
    <row r="6048" spans="2:4" x14ac:dyDescent="0.2">
      <c r="B6048" s="236"/>
      <c r="C6048" s="236"/>
      <c r="D6048" s="236"/>
    </row>
    <row r="6049" spans="2:4" ht="12.75" customHeight="1" x14ac:dyDescent="0.2">
      <c r="B6049" s="236"/>
      <c r="C6049" s="236"/>
      <c r="D6049" s="236"/>
    </row>
    <row r="6050" spans="2:4" ht="12.75" customHeight="1" x14ac:dyDescent="0.2">
      <c r="B6050" s="236"/>
      <c r="C6050" s="236"/>
      <c r="D6050" s="236"/>
    </row>
    <row r="6051" spans="2:4" ht="12.75" customHeight="1" x14ac:dyDescent="0.2">
      <c r="B6051" s="236"/>
      <c r="C6051" s="236"/>
      <c r="D6051" s="236"/>
    </row>
    <row r="6052" spans="2:4" x14ac:dyDescent="0.2">
      <c r="B6052" s="236"/>
      <c r="C6052" s="236"/>
      <c r="D6052" s="236"/>
    </row>
    <row r="6053" spans="2:4" ht="12.75" customHeight="1" x14ac:dyDescent="0.2">
      <c r="B6053" s="236"/>
      <c r="C6053" s="236"/>
      <c r="D6053" s="236"/>
    </row>
    <row r="6054" spans="2:4" x14ac:dyDescent="0.2">
      <c r="B6054" s="236"/>
      <c r="C6054" s="236"/>
      <c r="D6054" s="236"/>
    </row>
    <row r="6055" spans="2:4" ht="12.75" customHeight="1" x14ac:dyDescent="0.2">
      <c r="B6055" s="236"/>
      <c r="C6055" s="236"/>
      <c r="D6055" s="236"/>
    </row>
    <row r="6056" spans="2:4" x14ac:dyDescent="0.2">
      <c r="B6056" s="236"/>
      <c r="C6056" s="236"/>
      <c r="D6056" s="236"/>
    </row>
    <row r="6057" spans="2:4" ht="12.75" customHeight="1" x14ac:dyDescent="0.2">
      <c r="B6057" s="236"/>
      <c r="C6057" s="236"/>
      <c r="D6057" s="236"/>
    </row>
    <row r="6058" spans="2:4" x14ac:dyDescent="0.2">
      <c r="B6058" s="236"/>
      <c r="C6058" s="236"/>
      <c r="D6058" s="236"/>
    </row>
    <row r="6059" spans="2:4" ht="12.75" customHeight="1" x14ac:dyDescent="0.2">
      <c r="B6059" s="236"/>
      <c r="C6059" s="236"/>
      <c r="D6059" s="236"/>
    </row>
    <row r="6060" spans="2:4" ht="12.75" customHeight="1" x14ac:dyDescent="0.2">
      <c r="B6060" s="236"/>
      <c r="C6060" s="236"/>
      <c r="D6060" s="236"/>
    </row>
    <row r="6061" spans="2:4" ht="12.75" customHeight="1" x14ac:dyDescent="0.2">
      <c r="B6061" s="236"/>
      <c r="C6061" s="236"/>
      <c r="D6061" s="236"/>
    </row>
    <row r="6062" spans="2:4" ht="12.75" customHeight="1" x14ac:dyDescent="0.2">
      <c r="B6062" s="236"/>
      <c r="C6062" s="236"/>
      <c r="D6062" s="236"/>
    </row>
    <row r="6063" spans="2:4" x14ac:dyDescent="0.2">
      <c r="B6063" s="236"/>
      <c r="C6063" s="236"/>
      <c r="D6063" s="236"/>
    </row>
    <row r="6064" spans="2:4" ht="12.75" customHeight="1" x14ac:dyDescent="0.2">
      <c r="B6064" s="236"/>
      <c r="C6064" s="236"/>
      <c r="D6064" s="236"/>
    </row>
    <row r="6065" spans="2:4" x14ac:dyDescent="0.2">
      <c r="B6065" s="236"/>
      <c r="C6065" s="236"/>
      <c r="D6065" s="236"/>
    </row>
    <row r="6066" spans="2:4" ht="12.75" customHeight="1" x14ac:dyDescent="0.2">
      <c r="B6066" s="236"/>
      <c r="C6066" s="236"/>
      <c r="D6066" s="236"/>
    </row>
    <row r="6067" spans="2:4" x14ac:dyDescent="0.2">
      <c r="B6067" s="236"/>
      <c r="C6067" s="236"/>
      <c r="D6067" s="236"/>
    </row>
    <row r="6068" spans="2:4" ht="12.75" customHeight="1" x14ac:dyDescent="0.2">
      <c r="B6068" s="236"/>
      <c r="C6068" s="236"/>
      <c r="D6068" s="236"/>
    </row>
    <row r="6069" spans="2:4" x14ac:dyDescent="0.2">
      <c r="B6069" s="236"/>
      <c r="C6069" s="236"/>
      <c r="D6069" s="236"/>
    </row>
    <row r="6070" spans="2:4" ht="12.75" customHeight="1" x14ac:dyDescent="0.2">
      <c r="B6070" s="236"/>
      <c r="C6070" s="236"/>
      <c r="D6070" s="236"/>
    </row>
    <row r="6071" spans="2:4" x14ac:dyDescent="0.2">
      <c r="B6071" s="236"/>
      <c r="C6071" s="236"/>
      <c r="D6071" s="236"/>
    </row>
    <row r="6072" spans="2:4" ht="12.75" customHeight="1" x14ac:dyDescent="0.2">
      <c r="B6072" s="236"/>
      <c r="C6072" s="236"/>
      <c r="D6072" s="236"/>
    </row>
    <row r="6073" spans="2:4" ht="12.75" customHeight="1" x14ac:dyDescent="0.2">
      <c r="B6073" s="236"/>
      <c r="C6073" s="236"/>
      <c r="D6073" s="236"/>
    </row>
    <row r="6074" spans="2:4" ht="12.75" customHeight="1" x14ac:dyDescent="0.2">
      <c r="B6074" s="236"/>
      <c r="C6074" s="236"/>
      <c r="D6074" s="236"/>
    </row>
    <row r="6075" spans="2:4" ht="12.75" customHeight="1" x14ac:dyDescent="0.2">
      <c r="B6075" s="236"/>
      <c r="C6075" s="236"/>
      <c r="D6075" s="236"/>
    </row>
    <row r="6076" spans="2:4" ht="12.75" customHeight="1" x14ac:dyDescent="0.2">
      <c r="B6076" s="236"/>
      <c r="C6076" s="236"/>
      <c r="D6076" s="236"/>
    </row>
    <row r="6077" spans="2:4" x14ac:dyDescent="0.2">
      <c r="B6077" s="236"/>
      <c r="C6077" s="236"/>
      <c r="D6077" s="236"/>
    </row>
    <row r="6078" spans="2:4" ht="12.75" customHeight="1" x14ac:dyDescent="0.2">
      <c r="B6078" s="236"/>
      <c r="C6078" s="236"/>
      <c r="D6078" s="236"/>
    </row>
    <row r="6079" spans="2:4" ht="12.75" customHeight="1" x14ac:dyDescent="0.2">
      <c r="B6079" s="236"/>
      <c r="C6079" s="236"/>
      <c r="D6079" s="236"/>
    </row>
    <row r="6080" spans="2:4" ht="12.75" customHeight="1" x14ac:dyDescent="0.2">
      <c r="B6080" s="236"/>
      <c r="C6080" s="236"/>
      <c r="D6080" s="236"/>
    </row>
    <row r="6081" spans="2:4" ht="12.75" customHeight="1" x14ac:dyDescent="0.2">
      <c r="B6081" s="236"/>
      <c r="C6081" s="236"/>
      <c r="D6081" s="236"/>
    </row>
    <row r="6082" spans="2:4" ht="12.75" customHeight="1" x14ac:dyDescent="0.2">
      <c r="B6082" s="236"/>
      <c r="C6082" s="236"/>
      <c r="D6082" s="236"/>
    </row>
    <row r="6083" spans="2:4" x14ac:dyDescent="0.2">
      <c r="B6083" s="236"/>
      <c r="C6083" s="236"/>
      <c r="D6083" s="236"/>
    </row>
    <row r="6084" spans="2:4" ht="12.75" customHeight="1" x14ac:dyDescent="0.2">
      <c r="B6084" s="236"/>
      <c r="C6084" s="236"/>
      <c r="D6084" s="236"/>
    </row>
    <row r="6085" spans="2:4" x14ac:dyDescent="0.2">
      <c r="B6085" s="236"/>
      <c r="C6085" s="236"/>
      <c r="D6085" s="236"/>
    </row>
    <row r="6086" spans="2:4" x14ac:dyDescent="0.2">
      <c r="B6086" s="236"/>
      <c r="C6086" s="236"/>
      <c r="D6086" s="236"/>
    </row>
    <row r="6087" spans="2:4" ht="12.75" customHeight="1" x14ac:dyDescent="0.2">
      <c r="B6087" s="236"/>
      <c r="C6087" s="236"/>
      <c r="D6087" s="236"/>
    </row>
    <row r="6088" spans="2:4" x14ac:dyDescent="0.2">
      <c r="B6088" s="236"/>
      <c r="C6088" s="236"/>
      <c r="D6088" s="236"/>
    </row>
    <row r="6089" spans="2:4" x14ac:dyDescent="0.2">
      <c r="B6089" s="236"/>
      <c r="C6089" s="236"/>
      <c r="D6089" s="236"/>
    </row>
    <row r="6090" spans="2:4" ht="12.75" customHeight="1" x14ac:dyDescent="0.2">
      <c r="B6090" s="236"/>
      <c r="C6090" s="236"/>
      <c r="D6090" s="236"/>
    </row>
    <row r="6091" spans="2:4" ht="12.75" customHeight="1" x14ac:dyDescent="0.2">
      <c r="B6091" s="236"/>
      <c r="C6091" s="236"/>
      <c r="D6091" s="236"/>
    </row>
    <row r="6092" spans="2:4" x14ac:dyDescent="0.2">
      <c r="B6092" s="236"/>
      <c r="C6092" s="236"/>
      <c r="D6092" s="236"/>
    </row>
    <row r="6093" spans="2:4" ht="12.75" customHeight="1" x14ac:dyDescent="0.2">
      <c r="B6093" s="236"/>
      <c r="C6093" s="236"/>
      <c r="D6093" s="236"/>
    </row>
    <row r="6094" spans="2:4" x14ac:dyDescent="0.2">
      <c r="B6094" s="236"/>
      <c r="C6094" s="236"/>
      <c r="D6094" s="236"/>
    </row>
    <row r="6095" spans="2:4" ht="12.75" customHeight="1" x14ac:dyDescent="0.2">
      <c r="B6095" s="236"/>
      <c r="C6095" s="236"/>
      <c r="D6095" s="236"/>
    </row>
    <row r="6096" spans="2:4" ht="12.75" customHeight="1" x14ac:dyDescent="0.2">
      <c r="B6096" s="236"/>
      <c r="C6096" s="236"/>
      <c r="D6096" s="236"/>
    </row>
    <row r="6097" spans="2:4" x14ac:dyDescent="0.2">
      <c r="B6097" s="236"/>
      <c r="C6097" s="236"/>
      <c r="D6097" s="236"/>
    </row>
    <row r="6098" spans="2:4" ht="12.75" customHeight="1" x14ac:dyDescent="0.2">
      <c r="B6098" s="236"/>
      <c r="C6098" s="236"/>
      <c r="D6098" s="236"/>
    </row>
    <row r="6099" spans="2:4" x14ac:dyDescent="0.2">
      <c r="B6099" s="236"/>
      <c r="C6099" s="236"/>
      <c r="D6099" s="236"/>
    </row>
    <row r="6100" spans="2:4" ht="12.75" customHeight="1" x14ac:dyDescent="0.2">
      <c r="B6100" s="236"/>
      <c r="C6100" s="236"/>
      <c r="D6100" s="236"/>
    </row>
    <row r="6101" spans="2:4" ht="12.75" customHeight="1" x14ac:dyDescent="0.2">
      <c r="B6101" s="236"/>
      <c r="C6101" s="236"/>
      <c r="D6101" s="236"/>
    </row>
    <row r="6102" spans="2:4" ht="12.75" customHeight="1" x14ac:dyDescent="0.2">
      <c r="B6102" s="236"/>
      <c r="C6102" s="236"/>
      <c r="D6102" s="236"/>
    </row>
    <row r="6103" spans="2:4" x14ac:dyDescent="0.2">
      <c r="B6103" s="236"/>
      <c r="C6103" s="236"/>
      <c r="D6103" s="236"/>
    </row>
    <row r="6104" spans="2:4" ht="12.75" customHeight="1" x14ac:dyDescent="0.2">
      <c r="B6104" s="236"/>
      <c r="C6104" s="236"/>
      <c r="D6104" s="236"/>
    </row>
    <row r="6105" spans="2:4" x14ac:dyDescent="0.2">
      <c r="B6105" s="236"/>
      <c r="C6105" s="236"/>
      <c r="D6105" s="236"/>
    </row>
    <row r="6106" spans="2:4" ht="12.75" customHeight="1" x14ac:dyDescent="0.2">
      <c r="B6106" s="236"/>
      <c r="C6106" s="236"/>
      <c r="D6106" s="236"/>
    </row>
    <row r="6107" spans="2:4" ht="12.75" customHeight="1" x14ac:dyDescent="0.2">
      <c r="B6107" s="236"/>
      <c r="C6107" s="236"/>
      <c r="D6107" s="236"/>
    </row>
    <row r="6108" spans="2:4" x14ac:dyDescent="0.2">
      <c r="B6108" s="236"/>
      <c r="C6108" s="236"/>
      <c r="D6108" s="236"/>
    </row>
    <row r="6109" spans="2:4" ht="12.75" customHeight="1" x14ac:dyDescent="0.2">
      <c r="B6109" s="236"/>
      <c r="C6109" s="236"/>
      <c r="D6109" s="236"/>
    </row>
    <row r="6110" spans="2:4" ht="12.75" customHeight="1" x14ac:dyDescent="0.2">
      <c r="B6110" s="236"/>
      <c r="C6110" s="236"/>
      <c r="D6110" s="236"/>
    </row>
    <row r="6111" spans="2:4" ht="12.75" customHeight="1" x14ac:dyDescent="0.2">
      <c r="B6111" s="236"/>
      <c r="C6111" s="236"/>
      <c r="D6111" s="236"/>
    </row>
    <row r="6112" spans="2:4" x14ac:dyDescent="0.2">
      <c r="B6112" s="236"/>
      <c r="C6112" s="236"/>
      <c r="D6112" s="236"/>
    </row>
    <row r="6113" spans="2:4" x14ac:dyDescent="0.2">
      <c r="B6113" s="236"/>
      <c r="C6113" s="236"/>
      <c r="D6113" s="236"/>
    </row>
    <row r="6114" spans="2:4" ht="12.75" customHeight="1" x14ac:dyDescent="0.2">
      <c r="B6114" s="236"/>
      <c r="C6114" s="236"/>
      <c r="D6114" s="236"/>
    </row>
    <row r="6115" spans="2:4" ht="12.75" customHeight="1" x14ac:dyDescent="0.2">
      <c r="B6115" s="236"/>
      <c r="C6115" s="236"/>
      <c r="D6115" s="236"/>
    </row>
    <row r="6116" spans="2:4" x14ac:dyDescent="0.2">
      <c r="B6116" s="236"/>
      <c r="C6116" s="236"/>
      <c r="D6116" s="236"/>
    </row>
    <row r="6117" spans="2:4" ht="12.75" customHeight="1" x14ac:dyDescent="0.2">
      <c r="B6117" s="236"/>
      <c r="C6117" s="236"/>
      <c r="D6117" s="236"/>
    </row>
    <row r="6118" spans="2:4" ht="12.75" customHeight="1" x14ac:dyDescent="0.2">
      <c r="B6118" s="236"/>
      <c r="C6118" s="236"/>
      <c r="D6118" s="236"/>
    </row>
    <row r="6119" spans="2:4" x14ac:dyDescent="0.2">
      <c r="B6119" s="236"/>
      <c r="C6119" s="236"/>
      <c r="D6119" s="236"/>
    </row>
    <row r="6120" spans="2:4" x14ac:dyDescent="0.2">
      <c r="B6120" s="236"/>
      <c r="C6120" s="236"/>
      <c r="D6120" s="236"/>
    </row>
    <row r="6121" spans="2:4" ht="12.75" customHeight="1" x14ac:dyDescent="0.2">
      <c r="B6121" s="236"/>
      <c r="C6121" s="236"/>
      <c r="D6121" s="236"/>
    </row>
    <row r="6122" spans="2:4" ht="12.75" customHeight="1" x14ac:dyDescent="0.2">
      <c r="B6122" s="236"/>
      <c r="C6122" s="236"/>
      <c r="D6122" s="236"/>
    </row>
    <row r="6123" spans="2:4" ht="12.75" customHeight="1" x14ac:dyDescent="0.2">
      <c r="B6123" s="236"/>
      <c r="C6123" s="236"/>
      <c r="D6123" s="236"/>
    </row>
    <row r="6124" spans="2:4" ht="12.75" customHeight="1" x14ac:dyDescent="0.2">
      <c r="B6124" s="236"/>
      <c r="C6124" s="236"/>
      <c r="D6124" s="236"/>
    </row>
    <row r="6125" spans="2:4" ht="12.75" customHeight="1" x14ac:dyDescent="0.2">
      <c r="B6125" s="236"/>
      <c r="C6125" s="236"/>
      <c r="D6125" s="236"/>
    </row>
    <row r="6126" spans="2:4" ht="12.75" customHeight="1" x14ac:dyDescent="0.2">
      <c r="B6126" s="236"/>
      <c r="C6126" s="236"/>
      <c r="D6126" s="236"/>
    </row>
    <row r="6127" spans="2:4" ht="12.75" customHeight="1" x14ac:dyDescent="0.2">
      <c r="B6127" s="236"/>
      <c r="C6127" s="236"/>
      <c r="D6127" s="236"/>
    </row>
    <row r="6128" spans="2:4" x14ac:dyDescent="0.2">
      <c r="B6128" s="236"/>
      <c r="C6128" s="236"/>
      <c r="D6128" s="236"/>
    </row>
    <row r="6129" spans="2:4" ht="12.75" customHeight="1" x14ac:dyDescent="0.2">
      <c r="B6129" s="236"/>
      <c r="C6129" s="236"/>
      <c r="D6129" s="236"/>
    </row>
    <row r="6130" spans="2:4" ht="12.75" customHeight="1" x14ac:dyDescent="0.2">
      <c r="B6130" s="236"/>
      <c r="C6130" s="236"/>
      <c r="D6130" s="236"/>
    </row>
    <row r="6131" spans="2:4" ht="12.75" customHeight="1" x14ac:dyDescent="0.2">
      <c r="B6131" s="236"/>
      <c r="C6131" s="236"/>
      <c r="D6131" s="236"/>
    </row>
    <row r="6132" spans="2:4" x14ac:dyDescent="0.2">
      <c r="B6132" s="236"/>
      <c r="C6132" s="236"/>
      <c r="D6132" s="236"/>
    </row>
    <row r="6133" spans="2:4" ht="12.75" customHeight="1" x14ac:dyDescent="0.2">
      <c r="B6133" s="236"/>
      <c r="C6133" s="236"/>
      <c r="D6133" s="236"/>
    </row>
    <row r="6134" spans="2:4" ht="12.75" customHeight="1" x14ac:dyDescent="0.2">
      <c r="B6134" s="236"/>
      <c r="C6134" s="236"/>
      <c r="D6134" s="236"/>
    </row>
    <row r="6135" spans="2:4" ht="12.75" customHeight="1" x14ac:dyDescent="0.2">
      <c r="B6135" s="236"/>
      <c r="C6135" s="236"/>
      <c r="D6135" s="236"/>
    </row>
    <row r="6136" spans="2:4" x14ac:dyDescent="0.2">
      <c r="B6136" s="236"/>
      <c r="C6136" s="236"/>
      <c r="D6136" s="236"/>
    </row>
    <row r="6137" spans="2:4" ht="12.75" customHeight="1" x14ac:dyDescent="0.2">
      <c r="B6137" s="236"/>
      <c r="C6137" s="236"/>
      <c r="D6137" s="236"/>
    </row>
    <row r="6138" spans="2:4" x14ac:dyDescent="0.2">
      <c r="B6138" s="236"/>
      <c r="C6138" s="236"/>
      <c r="D6138" s="236"/>
    </row>
    <row r="6139" spans="2:4" ht="12.75" customHeight="1" x14ac:dyDescent="0.2">
      <c r="B6139" s="236"/>
      <c r="C6139" s="236"/>
      <c r="D6139" s="236"/>
    </row>
    <row r="6140" spans="2:4" x14ac:dyDescent="0.2">
      <c r="B6140" s="236"/>
      <c r="C6140" s="236"/>
      <c r="D6140" s="236"/>
    </row>
    <row r="6141" spans="2:4" ht="12.75" customHeight="1" x14ac:dyDescent="0.2">
      <c r="B6141" s="236"/>
      <c r="C6141" s="236"/>
      <c r="D6141" s="236"/>
    </row>
    <row r="6142" spans="2:4" ht="12.75" customHeight="1" x14ac:dyDescent="0.2">
      <c r="B6142" s="236"/>
      <c r="C6142" s="236"/>
      <c r="D6142" s="236"/>
    </row>
    <row r="6143" spans="2:4" x14ac:dyDescent="0.2">
      <c r="B6143" s="236"/>
      <c r="C6143" s="236"/>
      <c r="D6143" s="236"/>
    </row>
    <row r="6144" spans="2:4" ht="12.75" customHeight="1" x14ac:dyDescent="0.2">
      <c r="B6144" s="236"/>
      <c r="C6144" s="236"/>
      <c r="D6144" s="236"/>
    </row>
    <row r="6145" spans="2:4" ht="12.75" customHeight="1" x14ac:dyDescent="0.2">
      <c r="B6145" s="236"/>
      <c r="C6145" s="236"/>
      <c r="D6145" s="236"/>
    </row>
    <row r="6146" spans="2:4" ht="12.75" customHeight="1" x14ac:dyDescent="0.2">
      <c r="B6146" s="236"/>
      <c r="C6146" s="236"/>
      <c r="D6146" s="236"/>
    </row>
    <row r="6147" spans="2:4" ht="12.75" customHeight="1" x14ac:dyDescent="0.2">
      <c r="B6147" s="236"/>
      <c r="C6147" s="236"/>
      <c r="D6147" s="236"/>
    </row>
    <row r="6148" spans="2:4" x14ac:dyDescent="0.2">
      <c r="B6148" s="236"/>
      <c r="C6148" s="236"/>
      <c r="D6148" s="236"/>
    </row>
    <row r="6149" spans="2:4" ht="12.75" customHeight="1" x14ac:dyDescent="0.2">
      <c r="B6149" s="236"/>
      <c r="C6149" s="236"/>
      <c r="D6149" s="236"/>
    </row>
    <row r="6150" spans="2:4" ht="12.75" customHeight="1" x14ac:dyDescent="0.2">
      <c r="B6150" s="236"/>
      <c r="C6150" s="236"/>
      <c r="D6150" s="236"/>
    </row>
    <row r="6151" spans="2:4" ht="12.75" customHeight="1" x14ac:dyDescent="0.2">
      <c r="B6151" s="236"/>
      <c r="C6151" s="236"/>
      <c r="D6151" s="236"/>
    </row>
    <row r="6152" spans="2:4" x14ac:dyDescent="0.2">
      <c r="B6152" s="236"/>
      <c r="C6152" s="236"/>
      <c r="D6152" s="236"/>
    </row>
    <row r="6153" spans="2:4" x14ac:dyDescent="0.2">
      <c r="B6153" s="236"/>
      <c r="C6153" s="236"/>
      <c r="D6153" s="236"/>
    </row>
    <row r="6154" spans="2:4" ht="12.75" customHeight="1" x14ac:dyDescent="0.2">
      <c r="B6154" s="236"/>
      <c r="C6154" s="236"/>
      <c r="D6154" s="236"/>
    </row>
    <row r="6155" spans="2:4" ht="12.75" customHeight="1" x14ac:dyDescent="0.2">
      <c r="B6155" s="236"/>
      <c r="C6155" s="236"/>
      <c r="D6155" s="236"/>
    </row>
    <row r="6156" spans="2:4" ht="12.75" customHeight="1" x14ac:dyDescent="0.2">
      <c r="B6156" s="236"/>
      <c r="C6156" s="236"/>
      <c r="D6156" s="236"/>
    </row>
    <row r="6157" spans="2:4" ht="12.75" customHeight="1" x14ac:dyDescent="0.2">
      <c r="B6157" s="236"/>
      <c r="C6157" s="236"/>
      <c r="D6157" s="236"/>
    </row>
    <row r="6158" spans="2:4" ht="12.75" customHeight="1" x14ac:dyDescent="0.2">
      <c r="B6158" s="236"/>
      <c r="C6158" s="236"/>
      <c r="D6158" s="236"/>
    </row>
    <row r="6159" spans="2:4" ht="12.75" customHeight="1" x14ac:dyDescent="0.2">
      <c r="B6159" s="236"/>
      <c r="C6159" s="236"/>
      <c r="D6159" s="236"/>
    </row>
    <row r="6160" spans="2:4" ht="12.75" customHeight="1" x14ac:dyDescent="0.2">
      <c r="B6160" s="236"/>
      <c r="C6160" s="236"/>
      <c r="D6160" s="236"/>
    </row>
    <row r="6161" spans="2:4" ht="12.75" customHeight="1" x14ac:dyDescent="0.2">
      <c r="B6161" s="236"/>
      <c r="C6161" s="236"/>
      <c r="D6161" s="236"/>
    </row>
    <row r="6162" spans="2:4" x14ac:dyDescent="0.2">
      <c r="B6162" s="236"/>
      <c r="C6162" s="236"/>
      <c r="D6162" s="236"/>
    </row>
    <row r="6163" spans="2:4" x14ac:dyDescent="0.2">
      <c r="B6163" s="236"/>
      <c r="C6163" s="236"/>
      <c r="D6163" s="236"/>
    </row>
    <row r="6164" spans="2:4" ht="12.75" customHeight="1" x14ac:dyDescent="0.2">
      <c r="B6164" s="236"/>
      <c r="C6164" s="236"/>
      <c r="D6164" s="236"/>
    </row>
    <row r="6165" spans="2:4" x14ac:dyDescent="0.2">
      <c r="B6165" s="236"/>
      <c r="C6165" s="236"/>
      <c r="D6165" s="236"/>
    </row>
    <row r="6166" spans="2:4" x14ac:dyDescent="0.2">
      <c r="B6166" s="236"/>
      <c r="C6166" s="236"/>
      <c r="D6166" s="236"/>
    </row>
    <row r="6167" spans="2:4" ht="12.75" customHeight="1" x14ac:dyDescent="0.2">
      <c r="B6167" s="236"/>
      <c r="C6167" s="236"/>
      <c r="D6167" s="236"/>
    </row>
    <row r="6168" spans="2:4" x14ac:dyDescent="0.2">
      <c r="B6168" s="236"/>
      <c r="C6168" s="236"/>
      <c r="D6168" s="236"/>
    </row>
    <row r="6169" spans="2:4" ht="12.75" customHeight="1" x14ac:dyDescent="0.2">
      <c r="B6169" s="236"/>
      <c r="C6169" s="236"/>
      <c r="D6169" s="236"/>
    </row>
    <row r="6170" spans="2:4" x14ac:dyDescent="0.2">
      <c r="B6170" s="236"/>
      <c r="C6170" s="236"/>
      <c r="D6170" s="236"/>
    </row>
    <row r="6171" spans="2:4" ht="12.75" customHeight="1" x14ac:dyDescent="0.2">
      <c r="B6171" s="236"/>
      <c r="C6171" s="236"/>
      <c r="D6171" s="236"/>
    </row>
    <row r="6172" spans="2:4" ht="12.75" customHeight="1" x14ac:dyDescent="0.2">
      <c r="B6172" s="236"/>
      <c r="C6172" s="236"/>
      <c r="D6172" s="236"/>
    </row>
    <row r="6173" spans="2:4" ht="12.75" customHeight="1" x14ac:dyDescent="0.2">
      <c r="B6173" s="236"/>
      <c r="C6173" s="236"/>
      <c r="D6173" s="236"/>
    </row>
    <row r="6174" spans="2:4" ht="12.75" customHeight="1" x14ac:dyDescent="0.2">
      <c r="B6174" s="236"/>
      <c r="C6174" s="236"/>
      <c r="D6174" s="236"/>
    </row>
    <row r="6175" spans="2:4" x14ac:dyDescent="0.2">
      <c r="B6175" s="236"/>
      <c r="C6175" s="236"/>
      <c r="D6175" s="236"/>
    </row>
    <row r="6176" spans="2:4" ht="12.75" customHeight="1" x14ac:dyDescent="0.2">
      <c r="B6176" s="236"/>
      <c r="C6176" s="236"/>
      <c r="D6176" s="236"/>
    </row>
    <row r="6177" spans="2:4" ht="12.75" customHeight="1" x14ac:dyDescent="0.2">
      <c r="B6177" s="236"/>
      <c r="C6177" s="236"/>
      <c r="D6177" s="236"/>
    </row>
    <row r="6178" spans="2:4" ht="12.75" customHeight="1" x14ac:dyDescent="0.2">
      <c r="B6178" s="236"/>
      <c r="C6178" s="236"/>
      <c r="D6178" s="236"/>
    </row>
    <row r="6179" spans="2:4" x14ac:dyDescent="0.2">
      <c r="B6179" s="236"/>
      <c r="C6179" s="236"/>
      <c r="D6179" s="236"/>
    </row>
    <row r="6180" spans="2:4" ht="12.75" customHeight="1" x14ac:dyDescent="0.2">
      <c r="B6180" s="236"/>
      <c r="C6180" s="236"/>
      <c r="D6180" s="236"/>
    </row>
    <row r="6181" spans="2:4" ht="12.75" customHeight="1" x14ac:dyDescent="0.2">
      <c r="B6181" s="236"/>
      <c r="C6181" s="236"/>
      <c r="D6181" s="236"/>
    </row>
    <row r="6182" spans="2:4" x14ac:dyDescent="0.2">
      <c r="B6182" s="236"/>
      <c r="C6182" s="236"/>
      <c r="D6182" s="236"/>
    </row>
    <row r="6183" spans="2:4" ht="12.75" customHeight="1" x14ac:dyDescent="0.2">
      <c r="B6183" s="236"/>
      <c r="C6183" s="236"/>
      <c r="D6183" s="236"/>
    </row>
    <row r="6184" spans="2:4" x14ac:dyDescent="0.2">
      <c r="B6184" s="236"/>
      <c r="C6184" s="236"/>
      <c r="D6184" s="236"/>
    </row>
    <row r="6185" spans="2:4" x14ac:dyDescent="0.2">
      <c r="B6185" s="236"/>
      <c r="C6185" s="236"/>
      <c r="D6185" s="236"/>
    </row>
    <row r="6186" spans="2:4" x14ac:dyDescent="0.2">
      <c r="B6186" s="236"/>
      <c r="C6186" s="236"/>
      <c r="D6186" s="236"/>
    </row>
    <row r="6187" spans="2:4" ht="12.75" customHeight="1" x14ac:dyDescent="0.2">
      <c r="B6187" s="236"/>
      <c r="C6187" s="236"/>
      <c r="D6187" s="236"/>
    </row>
    <row r="6188" spans="2:4" x14ac:dyDescent="0.2">
      <c r="B6188" s="236"/>
      <c r="C6188" s="236"/>
      <c r="D6188" s="236"/>
    </row>
    <row r="6189" spans="2:4" ht="12.75" customHeight="1" x14ac:dyDescent="0.2">
      <c r="B6189" s="236"/>
      <c r="C6189" s="236"/>
      <c r="D6189" s="236"/>
    </row>
    <row r="6190" spans="2:4" x14ac:dyDescent="0.2">
      <c r="B6190" s="236"/>
      <c r="C6190" s="236"/>
      <c r="D6190" s="236"/>
    </row>
    <row r="6191" spans="2:4" x14ac:dyDescent="0.2">
      <c r="B6191" s="236"/>
      <c r="C6191" s="236"/>
      <c r="D6191" s="236"/>
    </row>
    <row r="6192" spans="2:4" ht="12.75" customHeight="1" x14ac:dyDescent="0.2">
      <c r="B6192" s="236"/>
      <c r="C6192" s="236"/>
      <c r="D6192" s="236"/>
    </row>
    <row r="6193" spans="2:4" ht="12.75" customHeight="1" x14ac:dyDescent="0.2">
      <c r="B6193" s="236"/>
      <c r="C6193" s="236"/>
      <c r="D6193" s="236"/>
    </row>
    <row r="6194" spans="2:4" ht="12.75" customHeight="1" x14ac:dyDescent="0.2">
      <c r="B6194" s="236"/>
      <c r="C6194" s="236"/>
      <c r="D6194" s="236"/>
    </row>
    <row r="6195" spans="2:4" ht="12.75" customHeight="1" x14ac:dyDescent="0.2">
      <c r="B6195" s="236"/>
      <c r="C6195" s="236"/>
      <c r="D6195" s="236"/>
    </row>
    <row r="6196" spans="2:4" ht="12.75" customHeight="1" x14ac:dyDescent="0.2">
      <c r="B6196" s="236"/>
      <c r="C6196" s="236"/>
      <c r="D6196" s="236"/>
    </row>
    <row r="6197" spans="2:4" x14ac:dyDescent="0.2">
      <c r="B6197" s="236"/>
      <c r="C6197" s="236"/>
      <c r="D6197" s="236"/>
    </row>
    <row r="6198" spans="2:4" x14ac:dyDescent="0.2">
      <c r="B6198" s="236"/>
      <c r="C6198" s="236"/>
      <c r="D6198" s="236"/>
    </row>
    <row r="6199" spans="2:4" ht="12.75" customHeight="1" x14ac:dyDescent="0.2">
      <c r="B6199" s="236"/>
      <c r="C6199" s="236"/>
      <c r="D6199" s="236"/>
    </row>
    <row r="6200" spans="2:4" x14ac:dyDescent="0.2">
      <c r="B6200" s="236"/>
      <c r="C6200" s="236"/>
      <c r="D6200" s="236"/>
    </row>
    <row r="6201" spans="2:4" ht="12.75" customHeight="1" x14ac:dyDescent="0.2">
      <c r="B6201" s="236"/>
      <c r="C6201" s="236"/>
      <c r="D6201" s="236"/>
    </row>
    <row r="6202" spans="2:4" x14ac:dyDescent="0.2">
      <c r="B6202" s="236"/>
      <c r="C6202" s="236"/>
      <c r="D6202" s="236"/>
    </row>
    <row r="6203" spans="2:4" ht="12.75" customHeight="1" x14ac:dyDescent="0.2">
      <c r="B6203" s="236"/>
      <c r="C6203" s="236"/>
      <c r="D6203" s="236"/>
    </row>
    <row r="6204" spans="2:4" ht="12.75" customHeight="1" x14ac:dyDescent="0.2">
      <c r="B6204" s="236"/>
      <c r="C6204" s="236"/>
      <c r="D6204" s="236"/>
    </row>
    <row r="6205" spans="2:4" ht="12.75" customHeight="1" x14ac:dyDescent="0.2">
      <c r="B6205" s="236"/>
      <c r="C6205" s="236"/>
      <c r="D6205" s="236"/>
    </row>
    <row r="6206" spans="2:4" ht="12.75" customHeight="1" x14ac:dyDescent="0.2">
      <c r="B6206" s="236"/>
      <c r="C6206" s="236"/>
      <c r="D6206" s="236"/>
    </row>
    <row r="6207" spans="2:4" ht="12.75" customHeight="1" x14ac:dyDescent="0.2">
      <c r="B6207" s="236"/>
      <c r="C6207" s="236"/>
      <c r="D6207" s="236"/>
    </row>
    <row r="6208" spans="2:4" x14ac:dyDescent="0.2">
      <c r="B6208" s="236"/>
      <c r="C6208" s="236"/>
      <c r="D6208" s="236"/>
    </row>
    <row r="6209" spans="2:4" ht="12.75" customHeight="1" x14ac:dyDescent="0.2">
      <c r="B6209" s="236"/>
      <c r="C6209" s="236"/>
      <c r="D6209" s="236"/>
    </row>
    <row r="6210" spans="2:4" ht="12.75" customHeight="1" x14ac:dyDescent="0.2">
      <c r="B6210" s="236"/>
      <c r="C6210" s="236"/>
      <c r="D6210" s="236"/>
    </row>
    <row r="6211" spans="2:4" ht="12.75" customHeight="1" x14ac:dyDescent="0.2">
      <c r="B6211" s="236"/>
      <c r="C6211" s="236"/>
      <c r="D6211" s="236"/>
    </row>
    <row r="6212" spans="2:4" x14ac:dyDescent="0.2">
      <c r="B6212" s="236"/>
      <c r="C6212" s="236"/>
      <c r="D6212" s="236"/>
    </row>
    <row r="6213" spans="2:4" ht="12.75" customHeight="1" x14ac:dyDescent="0.2">
      <c r="B6213" s="236"/>
      <c r="C6213" s="236"/>
      <c r="D6213" s="236"/>
    </row>
    <row r="6214" spans="2:4" x14ac:dyDescent="0.2">
      <c r="B6214" s="236"/>
      <c r="C6214" s="236"/>
      <c r="D6214" s="236"/>
    </row>
    <row r="6215" spans="2:4" ht="12.75" customHeight="1" x14ac:dyDescent="0.2">
      <c r="B6215" s="236"/>
      <c r="C6215" s="236"/>
      <c r="D6215" s="236"/>
    </row>
    <row r="6216" spans="2:4" ht="12.75" customHeight="1" x14ac:dyDescent="0.2">
      <c r="B6216" s="236"/>
      <c r="C6216" s="236"/>
      <c r="D6216" s="236"/>
    </row>
    <row r="6217" spans="2:4" ht="12.75" customHeight="1" x14ac:dyDescent="0.2">
      <c r="B6217" s="236"/>
      <c r="C6217" s="236"/>
      <c r="D6217" s="236"/>
    </row>
    <row r="6218" spans="2:4" x14ac:dyDescent="0.2">
      <c r="B6218" s="236"/>
      <c r="C6218" s="236"/>
      <c r="D6218" s="236"/>
    </row>
    <row r="6219" spans="2:4" ht="12.75" customHeight="1" x14ac:dyDescent="0.2">
      <c r="B6219" s="236"/>
      <c r="C6219" s="236"/>
      <c r="D6219" s="236"/>
    </row>
    <row r="6220" spans="2:4" x14ac:dyDescent="0.2">
      <c r="B6220" s="236"/>
      <c r="C6220" s="236"/>
      <c r="D6220" s="236"/>
    </row>
    <row r="6221" spans="2:4" ht="12.75" customHeight="1" x14ac:dyDescent="0.2">
      <c r="B6221" s="236"/>
      <c r="C6221" s="236"/>
      <c r="D6221" s="236"/>
    </row>
    <row r="6222" spans="2:4" ht="12.75" customHeight="1" x14ac:dyDescent="0.2">
      <c r="B6222" s="236"/>
      <c r="C6222" s="236"/>
      <c r="D6222" s="236"/>
    </row>
    <row r="6223" spans="2:4" ht="12.75" customHeight="1" x14ac:dyDescent="0.2">
      <c r="B6223" s="236"/>
      <c r="C6223" s="236"/>
      <c r="D6223" s="236"/>
    </row>
    <row r="6224" spans="2:4" ht="12.75" customHeight="1" x14ac:dyDescent="0.2">
      <c r="B6224" s="236"/>
      <c r="C6224" s="236"/>
      <c r="D6224" s="236"/>
    </row>
    <row r="6225" spans="2:4" ht="12.75" customHeight="1" x14ac:dyDescent="0.2">
      <c r="B6225" s="236"/>
      <c r="C6225" s="236"/>
      <c r="D6225" s="236"/>
    </row>
    <row r="6226" spans="2:4" ht="12.75" customHeight="1" x14ac:dyDescent="0.2">
      <c r="B6226" s="236"/>
      <c r="C6226" s="236"/>
      <c r="D6226" s="236"/>
    </row>
    <row r="6227" spans="2:4" ht="12.75" customHeight="1" x14ac:dyDescent="0.2">
      <c r="B6227" s="236"/>
      <c r="C6227" s="236"/>
      <c r="D6227" s="236"/>
    </row>
    <row r="6228" spans="2:4" ht="12.75" customHeight="1" x14ac:dyDescent="0.2">
      <c r="B6228" s="236"/>
      <c r="C6228" s="236"/>
      <c r="D6228" s="236"/>
    </row>
    <row r="6229" spans="2:4" ht="12.75" customHeight="1" x14ac:dyDescent="0.2">
      <c r="B6229" s="236"/>
      <c r="C6229" s="236"/>
      <c r="D6229" s="236"/>
    </row>
    <row r="6230" spans="2:4" ht="12.75" customHeight="1" x14ac:dyDescent="0.2">
      <c r="B6230" s="236"/>
      <c r="C6230" s="236"/>
      <c r="D6230" s="236"/>
    </row>
    <row r="6231" spans="2:4" x14ac:dyDescent="0.2">
      <c r="B6231" s="236"/>
      <c r="C6231" s="236"/>
      <c r="D6231" s="236"/>
    </row>
    <row r="6232" spans="2:4" ht="12.75" customHeight="1" x14ac:dyDescent="0.2">
      <c r="B6232" s="236"/>
      <c r="C6232" s="236"/>
      <c r="D6232" s="236"/>
    </row>
    <row r="6233" spans="2:4" x14ac:dyDescent="0.2">
      <c r="B6233" s="236"/>
      <c r="C6233" s="236"/>
      <c r="D6233" s="236"/>
    </row>
    <row r="6234" spans="2:4" ht="12.75" customHeight="1" x14ac:dyDescent="0.2">
      <c r="B6234" s="236"/>
      <c r="C6234" s="236"/>
      <c r="D6234" s="236"/>
    </row>
    <row r="6235" spans="2:4" x14ac:dyDescent="0.2">
      <c r="B6235" s="236"/>
      <c r="C6235" s="236"/>
      <c r="D6235" s="236"/>
    </row>
    <row r="6236" spans="2:4" ht="12.75" customHeight="1" x14ac:dyDescent="0.2">
      <c r="B6236" s="236"/>
      <c r="C6236" s="236"/>
      <c r="D6236" s="236"/>
    </row>
    <row r="6237" spans="2:4" ht="12.75" customHeight="1" x14ac:dyDescent="0.2">
      <c r="B6237" s="236"/>
      <c r="C6237" s="236"/>
      <c r="D6237" s="236"/>
    </row>
    <row r="6238" spans="2:4" x14ac:dyDescent="0.2">
      <c r="B6238" s="236"/>
      <c r="C6238" s="236"/>
      <c r="D6238" s="236"/>
    </row>
    <row r="6239" spans="2:4" ht="12.75" customHeight="1" x14ac:dyDescent="0.2">
      <c r="B6239" s="236"/>
      <c r="C6239" s="236"/>
      <c r="D6239" s="236"/>
    </row>
    <row r="6240" spans="2:4" ht="12.75" customHeight="1" x14ac:dyDescent="0.2">
      <c r="B6240" s="236"/>
      <c r="C6240" s="236"/>
      <c r="D6240" s="236"/>
    </row>
    <row r="6241" spans="2:4" ht="12.75" customHeight="1" x14ac:dyDescent="0.2">
      <c r="B6241" s="236"/>
      <c r="C6241" s="236"/>
      <c r="D6241" s="236"/>
    </row>
    <row r="6242" spans="2:4" x14ac:dyDescent="0.2">
      <c r="B6242" s="236"/>
      <c r="C6242" s="236"/>
      <c r="D6242" s="236"/>
    </row>
    <row r="6243" spans="2:4" ht="12.75" customHeight="1" x14ac:dyDescent="0.2">
      <c r="B6243" s="236"/>
      <c r="C6243" s="236"/>
      <c r="D6243" s="236"/>
    </row>
    <row r="6244" spans="2:4" x14ac:dyDescent="0.2">
      <c r="B6244" s="236"/>
      <c r="C6244" s="236"/>
      <c r="D6244" s="236"/>
    </row>
    <row r="6245" spans="2:4" ht="12.75" customHeight="1" x14ac:dyDescent="0.2">
      <c r="B6245" s="236"/>
      <c r="C6245" s="236"/>
      <c r="D6245" s="236"/>
    </row>
    <row r="6246" spans="2:4" ht="12.75" customHeight="1" x14ac:dyDescent="0.2">
      <c r="B6246" s="236"/>
      <c r="C6246" s="236"/>
      <c r="D6246" s="236"/>
    </row>
    <row r="6247" spans="2:4" x14ac:dyDescent="0.2">
      <c r="B6247" s="236"/>
      <c r="C6247" s="236"/>
      <c r="D6247" s="236"/>
    </row>
    <row r="6248" spans="2:4" x14ac:dyDescent="0.2">
      <c r="B6248" s="236"/>
      <c r="C6248" s="236"/>
      <c r="D6248" s="236"/>
    </row>
    <row r="6249" spans="2:4" ht="12.75" customHeight="1" x14ac:dyDescent="0.2">
      <c r="B6249" s="236"/>
      <c r="C6249" s="236"/>
      <c r="D6249" s="236"/>
    </row>
    <row r="6250" spans="2:4" ht="12.75" customHeight="1" x14ac:dyDescent="0.2">
      <c r="B6250" s="236"/>
      <c r="C6250" s="236"/>
      <c r="D6250" s="236"/>
    </row>
    <row r="6251" spans="2:4" ht="12.75" customHeight="1" x14ac:dyDescent="0.2">
      <c r="B6251" s="236"/>
      <c r="C6251" s="236"/>
      <c r="D6251" s="236"/>
    </row>
    <row r="6252" spans="2:4" ht="12.75" customHeight="1" x14ac:dyDescent="0.2">
      <c r="B6252" s="236"/>
      <c r="C6252" s="236"/>
      <c r="D6252" s="236"/>
    </row>
    <row r="6253" spans="2:4" x14ac:dyDescent="0.2">
      <c r="B6253" s="236"/>
      <c r="C6253" s="236"/>
      <c r="D6253" s="236"/>
    </row>
    <row r="6254" spans="2:4" ht="12.75" customHeight="1" x14ac:dyDescent="0.2">
      <c r="B6254" s="236"/>
      <c r="C6254" s="236"/>
      <c r="D6254" s="236"/>
    </row>
    <row r="6255" spans="2:4" x14ac:dyDescent="0.2">
      <c r="B6255" s="236"/>
      <c r="C6255" s="236"/>
      <c r="D6255" s="236"/>
    </row>
    <row r="6256" spans="2:4" x14ac:dyDescent="0.2">
      <c r="B6256" s="236"/>
      <c r="C6256" s="236"/>
      <c r="D6256" s="236"/>
    </row>
    <row r="6257" spans="2:4" ht="12.75" customHeight="1" x14ac:dyDescent="0.2">
      <c r="B6257" s="236"/>
      <c r="C6257" s="236"/>
      <c r="D6257" s="236"/>
    </row>
    <row r="6258" spans="2:4" x14ac:dyDescent="0.2">
      <c r="B6258" s="236"/>
      <c r="C6258" s="236"/>
      <c r="D6258" s="236"/>
    </row>
    <row r="6259" spans="2:4" x14ac:dyDescent="0.2">
      <c r="B6259" s="236"/>
      <c r="C6259" s="236"/>
      <c r="D6259" s="236"/>
    </row>
    <row r="6260" spans="2:4" x14ac:dyDescent="0.2">
      <c r="B6260" s="236"/>
      <c r="C6260" s="236"/>
      <c r="D6260" s="236"/>
    </row>
    <row r="6261" spans="2:4" ht="12.75" customHeight="1" x14ac:dyDescent="0.2">
      <c r="B6261" s="236"/>
      <c r="C6261" s="236"/>
      <c r="D6261" s="236"/>
    </row>
    <row r="6262" spans="2:4" ht="12.75" customHeight="1" x14ac:dyDescent="0.2">
      <c r="B6262" s="236"/>
      <c r="C6262" s="236"/>
      <c r="D6262" s="236"/>
    </row>
    <row r="6263" spans="2:4" ht="12.75" customHeight="1" x14ac:dyDescent="0.2">
      <c r="B6263" s="236"/>
      <c r="C6263" s="236"/>
      <c r="D6263" s="236"/>
    </row>
    <row r="6264" spans="2:4" x14ac:dyDescent="0.2">
      <c r="B6264" s="236"/>
      <c r="C6264" s="236"/>
      <c r="D6264" s="236"/>
    </row>
    <row r="6265" spans="2:4" ht="12.75" customHeight="1" x14ac:dyDescent="0.2">
      <c r="B6265" s="236"/>
      <c r="C6265" s="236"/>
      <c r="D6265" s="236"/>
    </row>
    <row r="6266" spans="2:4" x14ac:dyDescent="0.2">
      <c r="B6266" s="236"/>
      <c r="C6266" s="236"/>
      <c r="D6266" s="236"/>
    </row>
    <row r="6267" spans="2:4" ht="12.75" customHeight="1" x14ac:dyDescent="0.2">
      <c r="B6267" s="236"/>
      <c r="C6267" s="236"/>
      <c r="D6267" s="236"/>
    </row>
    <row r="6268" spans="2:4" x14ac:dyDescent="0.2">
      <c r="B6268" s="236"/>
      <c r="C6268" s="236"/>
      <c r="D6268" s="236"/>
    </row>
    <row r="6269" spans="2:4" x14ac:dyDescent="0.2">
      <c r="B6269" s="236"/>
      <c r="C6269" s="236"/>
      <c r="D6269" s="236"/>
    </row>
    <row r="6270" spans="2:4" ht="12.75" customHeight="1" x14ac:dyDescent="0.2">
      <c r="B6270" s="236"/>
      <c r="C6270" s="236"/>
      <c r="D6270" s="236"/>
    </row>
    <row r="6271" spans="2:4" x14ac:dyDescent="0.2">
      <c r="B6271" s="236"/>
      <c r="C6271" s="236"/>
      <c r="D6271" s="236"/>
    </row>
    <row r="6272" spans="2:4" ht="12.75" customHeight="1" x14ac:dyDescent="0.2">
      <c r="B6272" s="236"/>
      <c r="C6272" s="236"/>
      <c r="D6272" s="236"/>
    </row>
    <row r="6273" spans="2:4" ht="12.75" customHeight="1" x14ac:dyDescent="0.2">
      <c r="B6273" s="236"/>
      <c r="C6273" s="236"/>
      <c r="D6273" s="236"/>
    </row>
    <row r="6274" spans="2:4" ht="12.75" customHeight="1" x14ac:dyDescent="0.2">
      <c r="B6274" s="236"/>
      <c r="C6274" s="236"/>
      <c r="D6274" s="236"/>
    </row>
    <row r="6275" spans="2:4" x14ac:dyDescent="0.2">
      <c r="B6275" s="236"/>
      <c r="C6275" s="236"/>
      <c r="D6275" s="236"/>
    </row>
    <row r="6276" spans="2:4" ht="12.75" customHeight="1" x14ac:dyDescent="0.2">
      <c r="B6276" s="236"/>
      <c r="C6276" s="236"/>
      <c r="D6276" s="236"/>
    </row>
    <row r="6277" spans="2:4" x14ac:dyDescent="0.2">
      <c r="B6277" s="236"/>
      <c r="C6277" s="236"/>
      <c r="D6277" s="236"/>
    </row>
    <row r="6278" spans="2:4" ht="12.75" customHeight="1" x14ac:dyDescent="0.2">
      <c r="B6278" s="236"/>
      <c r="C6278" s="236"/>
      <c r="D6278" s="236"/>
    </row>
    <row r="6279" spans="2:4" x14ac:dyDescent="0.2">
      <c r="B6279" s="236"/>
      <c r="C6279" s="236"/>
      <c r="D6279" s="236"/>
    </row>
    <row r="6280" spans="2:4" ht="12.75" customHeight="1" x14ac:dyDescent="0.2">
      <c r="B6280" s="236"/>
      <c r="C6280" s="236"/>
      <c r="D6280" s="236"/>
    </row>
    <row r="6281" spans="2:4" ht="12.75" customHeight="1" x14ac:dyDescent="0.2">
      <c r="B6281" s="236"/>
      <c r="C6281" s="236"/>
      <c r="D6281" s="236"/>
    </row>
    <row r="6282" spans="2:4" ht="12.75" customHeight="1" x14ac:dyDescent="0.2">
      <c r="B6282" s="236"/>
      <c r="C6282" s="236"/>
      <c r="D6282" s="236"/>
    </row>
    <row r="6283" spans="2:4" x14ac:dyDescent="0.2">
      <c r="B6283" s="236"/>
      <c r="C6283" s="236"/>
      <c r="D6283" s="236"/>
    </row>
    <row r="6284" spans="2:4" ht="12.75" customHeight="1" x14ac:dyDescent="0.2">
      <c r="B6284" s="236"/>
      <c r="C6284" s="236"/>
      <c r="D6284" s="236"/>
    </row>
    <row r="6285" spans="2:4" x14ac:dyDescent="0.2">
      <c r="B6285" s="236"/>
      <c r="C6285" s="236"/>
      <c r="D6285" s="236"/>
    </row>
    <row r="6286" spans="2:4" ht="12.75" customHeight="1" x14ac:dyDescent="0.2">
      <c r="B6286" s="236"/>
      <c r="C6286" s="236"/>
      <c r="D6286" s="236"/>
    </row>
    <row r="6287" spans="2:4" ht="12.75" customHeight="1" x14ac:dyDescent="0.2">
      <c r="B6287" s="236"/>
      <c r="C6287" s="236"/>
      <c r="D6287" s="236"/>
    </row>
    <row r="6288" spans="2:4" x14ac:dyDescent="0.2">
      <c r="B6288" s="236"/>
      <c r="C6288" s="236"/>
      <c r="D6288" s="236"/>
    </row>
    <row r="6289" spans="2:4" ht="12.75" customHeight="1" x14ac:dyDescent="0.2">
      <c r="B6289" s="236"/>
      <c r="C6289" s="236"/>
      <c r="D6289" s="236"/>
    </row>
    <row r="6290" spans="2:4" ht="12.75" customHeight="1" x14ac:dyDescent="0.2">
      <c r="B6290" s="236"/>
      <c r="C6290" s="236"/>
      <c r="D6290" s="236"/>
    </row>
    <row r="6291" spans="2:4" x14ac:dyDescent="0.2">
      <c r="B6291" s="236"/>
      <c r="C6291" s="236"/>
      <c r="D6291" s="236"/>
    </row>
    <row r="6292" spans="2:4" ht="12.75" customHeight="1" x14ac:dyDescent="0.2">
      <c r="B6292" s="236"/>
      <c r="C6292" s="236"/>
      <c r="D6292" s="236"/>
    </row>
    <row r="6293" spans="2:4" ht="12.75" customHeight="1" x14ac:dyDescent="0.2">
      <c r="B6293" s="236"/>
      <c r="C6293" s="236"/>
      <c r="D6293" s="236"/>
    </row>
    <row r="6294" spans="2:4" ht="12.75" customHeight="1" x14ac:dyDescent="0.2">
      <c r="B6294" s="236"/>
      <c r="C6294" s="236"/>
      <c r="D6294" s="236"/>
    </row>
    <row r="6295" spans="2:4" ht="12.75" customHeight="1" x14ac:dyDescent="0.2">
      <c r="B6295" s="236"/>
      <c r="C6295" s="236"/>
      <c r="D6295" s="236"/>
    </row>
    <row r="6296" spans="2:4" x14ac:dyDescent="0.2">
      <c r="B6296" s="236"/>
      <c r="C6296" s="236"/>
      <c r="D6296" s="236"/>
    </row>
    <row r="6297" spans="2:4" ht="12.75" customHeight="1" x14ac:dyDescent="0.2">
      <c r="B6297" s="236"/>
      <c r="C6297" s="236"/>
      <c r="D6297" s="236"/>
    </row>
    <row r="6298" spans="2:4" ht="12.75" customHeight="1" x14ac:dyDescent="0.2">
      <c r="B6298" s="236"/>
      <c r="C6298" s="236"/>
      <c r="D6298" s="236"/>
    </row>
    <row r="6299" spans="2:4" ht="12.75" customHeight="1" x14ac:dyDescent="0.2">
      <c r="B6299" s="236"/>
      <c r="C6299" s="236"/>
      <c r="D6299" s="236"/>
    </row>
    <row r="6300" spans="2:4" ht="12.75" customHeight="1" x14ac:dyDescent="0.2">
      <c r="B6300" s="236"/>
      <c r="C6300" s="236"/>
      <c r="D6300" s="236"/>
    </row>
    <row r="6301" spans="2:4" x14ac:dyDescent="0.2">
      <c r="B6301" s="236"/>
      <c r="C6301" s="236"/>
      <c r="D6301" s="236"/>
    </row>
    <row r="6302" spans="2:4" ht="12.75" customHeight="1" x14ac:dyDescent="0.2">
      <c r="B6302" s="236"/>
      <c r="C6302" s="236"/>
      <c r="D6302" s="236"/>
    </row>
    <row r="6303" spans="2:4" ht="12.75" customHeight="1" x14ac:dyDescent="0.2">
      <c r="B6303" s="236"/>
      <c r="C6303" s="236"/>
      <c r="D6303" s="236"/>
    </row>
    <row r="6304" spans="2:4" x14ac:dyDescent="0.2">
      <c r="B6304" s="236"/>
      <c r="C6304" s="236"/>
      <c r="D6304" s="236"/>
    </row>
    <row r="6305" spans="2:4" ht="12.75" customHeight="1" x14ac:dyDescent="0.2">
      <c r="B6305" s="236"/>
      <c r="C6305" s="236"/>
      <c r="D6305" s="236"/>
    </row>
    <row r="6306" spans="2:4" ht="12.75" customHeight="1" x14ac:dyDescent="0.2">
      <c r="B6306" s="236"/>
      <c r="C6306" s="236"/>
      <c r="D6306" s="236"/>
    </row>
    <row r="6307" spans="2:4" x14ac:dyDescent="0.2">
      <c r="B6307" s="236"/>
      <c r="C6307" s="236"/>
      <c r="D6307" s="236"/>
    </row>
    <row r="6308" spans="2:4" ht="12.75" customHeight="1" x14ac:dyDescent="0.2">
      <c r="B6308" s="236"/>
      <c r="C6308" s="236"/>
      <c r="D6308" s="236"/>
    </row>
    <row r="6309" spans="2:4" x14ac:dyDescent="0.2">
      <c r="B6309" s="236"/>
      <c r="C6309" s="236"/>
      <c r="D6309" s="236"/>
    </row>
    <row r="6310" spans="2:4" ht="12.75" customHeight="1" x14ac:dyDescent="0.2">
      <c r="B6310" s="236"/>
      <c r="C6310" s="236"/>
      <c r="D6310" s="236"/>
    </row>
    <row r="6311" spans="2:4" x14ac:dyDescent="0.2">
      <c r="B6311" s="236"/>
      <c r="C6311" s="236"/>
      <c r="D6311" s="236"/>
    </row>
    <row r="6312" spans="2:4" ht="12.75" customHeight="1" x14ac:dyDescent="0.2">
      <c r="B6312" s="236"/>
      <c r="C6312" s="236"/>
      <c r="D6312" s="236"/>
    </row>
    <row r="6313" spans="2:4" x14ac:dyDescent="0.2">
      <c r="B6313" s="236"/>
      <c r="C6313" s="236"/>
      <c r="D6313" s="236"/>
    </row>
    <row r="6314" spans="2:4" ht="12.75" customHeight="1" x14ac:dyDescent="0.2">
      <c r="B6314" s="236"/>
      <c r="C6314" s="236"/>
      <c r="D6314" s="236"/>
    </row>
    <row r="6315" spans="2:4" ht="12.75" customHeight="1" x14ac:dyDescent="0.2">
      <c r="B6315" s="236"/>
      <c r="C6315" s="236"/>
      <c r="D6315" s="236"/>
    </row>
    <row r="6316" spans="2:4" ht="12.75" customHeight="1" x14ac:dyDescent="0.2">
      <c r="B6316" s="236"/>
      <c r="C6316" s="236"/>
      <c r="D6316" s="236"/>
    </row>
    <row r="6317" spans="2:4" x14ac:dyDescent="0.2">
      <c r="B6317" s="236"/>
      <c r="C6317" s="236"/>
      <c r="D6317" s="236"/>
    </row>
    <row r="6318" spans="2:4" ht="12.75" customHeight="1" x14ac:dyDescent="0.2">
      <c r="B6318" s="236"/>
      <c r="C6318" s="236"/>
      <c r="D6318" s="236"/>
    </row>
    <row r="6319" spans="2:4" x14ac:dyDescent="0.2">
      <c r="B6319" s="236"/>
      <c r="C6319" s="236"/>
      <c r="D6319" s="236"/>
    </row>
    <row r="6320" spans="2:4" ht="12.75" customHeight="1" x14ac:dyDescent="0.2">
      <c r="B6320" s="236"/>
      <c r="C6320" s="236"/>
      <c r="D6320" s="236"/>
    </row>
    <row r="6321" spans="2:4" x14ac:dyDescent="0.2">
      <c r="B6321" s="236"/>
      <c r="C6321" s="236"/>
      <c r="D6321" s="236"/>
    </row>
    <row r="6322" spans="2:4" ht="12.75" customHeight="1" x14ac:dyDescent="0.2">
      <c r="B6322" s="236"/>
      <c r="C6322" s="236"/>
      <c r="D6322" s="236"/>
    </row>
    <row r="6323" spans="2:4" ht="12.75" customHeight="1" x14ac:dyDescent="0.2">
      <c r="B6323" s="236"/>
      <c r="C6323" s="236"/>
      <c r="D6323" s="236"/>
    </row>
    <row r="6324" spans="2:4" ht="12.75" customHeight="1" x14ac:dyDescent="0.2">
      <c r="B6324" s="236"/>
      <c r="C6324" s="236"/>
      <c r="D6324" s="236"/>
    </row>
    <row r="6325" spans="2:4" ht="12.75" customHeight="1" x14ac:dyDescent="0.2">
      <c r="B6325" s="236"/>
      <c r="C6325" s="236"/>
      <c r="D6325" s="236"/>
    </row>
    <row r="6326" spans="2:4" x14ac:dyDescent="0.2">
      <c r="B6326" s="236"/>
      <c r="C6326" s="236"/>
      <c r="D6326" s="236"/>
    </row>
    <row r="6327" spans="2:4" ht="12.75" customHeight="1" x14ac:dyDescent="0.2">
      <c r="B6327" s="236"/>
      <c r="C6327" s="236"/>
      <c r="D6327" s="236"/>
    </row>
    <row r="6328" spans="2:4" x14ac:dyDescent="0.2">
      <c r="B6328" s="236"/>
      <c r="C6328" s="236"/>
      <c r="D6328" s="236"/>
    </row>
    <row r="6329" spans="2:4" ht="12.75" customHeight="1" x14ac:dyDescent="0.2">
      <c r="B6329" s="236"/>
      <c r="C6329" s="236"/>
      <c r="D6329" s="236"/>
    </row>
    <row r="6330" spans="2:4" x14ac:dyDescent="0.2">
      <c r="B6330" s="236"/>
      <c r="C6330" s="236"/>
      <c r="D6330" s="236"/>
    </row>
    <row r="6331" spans="2:4" ht="12.75" customHeight="1" x14ac:dyDescent="0.2">
      <c r="B6331" s="236"/>
      <c r="C6331" s="236"/>
      <c r="D6331" s="236"/>
    </row>
    <row r="6332" spans="2:4" ht="12.75" customHeight="1" x14ac:dyDescent="0.2">
      <c r="B6332" s="236"/>
      <c r="C6332" s="236"/>
      <c r="D6332" s="236"/>
    </row>
    <row r="6333" spans="2:4" ht="12.75" customHeight="1" x14ac:dyDescent="0.2">
      <c r="B6333" s="236"/>
      <c r="C6333" s="236"/>
      <c r="D6333" s="236"/>
    </row>
    <row r="6334" spans="2:4" ht="12.75" customHeight="1" x14ac:dyDescent="0.2">
      <c r="B6334" s="236"/>
      <c r="C6334" s="236"/>
      <c r="D6334" s="236"/>
    </row>
    <row r="6335" spans="2:4" ht="12.75" customHeight="1" x14ac:dyDescent="0.2">
      <c r="B6335" s="236"/>
      <c r="C6335" s="236"/>
      <c r="D6335" s="236"/>
    </row>
    <row r="6336" spans="2:4" ht="12.75" customHeight="1" x14ac:dyDescent="0.2">
      <c r="B6336" s="236"/>
      <c r="C6336" s="236"/>
      <c r="D6336" s="236"/>
    </row>
    <row r="6337" spans="2:4" x14ac:dyDescent="0.2">
      <c r="B6337" s="236"/>
      <c r="C6337" s="236"/>
      <c r="D6337" s="236"/>
    </row>
    <row r="6338" spans="2:4" x14ac:dyDescent="0.2">
      <c r="B6338" s="236"/>
      <c r="C6338" s="236"/>
      <c r="D6338" s="236"/>
    </row>
    <row r="6339" spans="2:4" x14ac:dyDescent="0.2">
      <c r="B6339" s="236"/>
      <c r="C6339" s="236"/>
      <c r="D6339" s="236"/>
    </row>
    <row r="6340" spans="2:4" x14ac:dyDescent="0.2">
      <c r="B6340" s="236"/>
      <c r="C6340" s="236"/>
      <c r="D6340" s="236"/>
    </row>
    <row r="6341" spans="2:4" ht="12.75" customHeight="1" x14ac:dyDescent="0.2">
      <c r="B6341" s="236"/>
      <c r="C6341" s="236"/>
      <c r="D6341" s="236"/>
    </row>
    <row r="6342" spans="2:4" ht="12.75" customHeight="1" x14ac:dyDescent="0.2">
      <c r="B6342" s="236"/>
      <c r="C6342" s="236"/>
      <c r="D6342" s="236"/>
    </row>
    <row r="6343" spans="2:4" x14ac:dyDescent="0.2">
      <c r="B6343" s="236"/>
      <c r="C6343" s="236"/>
      <c r="D6343" s="236"/>
    </row>
    <row r="6344" spans="2:4" x14ac:dyDescent="0.2">
      <c r="B6344" s="236"/>
      <c r="C6344" s="236"/>
      <c r="D6344" s="236"/>
    </row>
    <row r="6345" spans="2:4" ht="12.75" customHeight="1" x14ac:dyDescent="0.2">
      <c r="B6345" s="236"/>
      <c r="C6345" s="236"/>
      <c r="D6345" s="236"/>
    </row>
    <row r="6346" spans="2:4" x14ac:dyDescent="0.2">
      <c r="B6346" s="236"/>
      <c r="C6346" s="236"/>
      <c r="D6346" s="236"/>
    </row>
    <row r="6347" spans="2:4" ht="12.75" customHeight="1" x14ac:dyDescent="0.2">
      <c r="B6347" s="236"/>
      <c r="C6347" s="236"/>
      <c r="D6347" s="236"/>
    </row>
    <row r="6348" spans="2:4" ht="12.75" customHeight="1" x14ac:dyDescent="0.2">
      <c r="B6348" s="236"/>
      <c r="C6348" s="236"/>
      <c r="D6348" s="236"/>
    </row>
    <row r="6349" spans="2:4" x14ac:dyDescent="0.2">
      <c r="B6349" s="236"/>
      <c r="C6349" s="236"/>
      <c r="D6349" s="236"/>
    </row>
    <row r="6350" spans="2:4" x14ac:dyDescent="0.2">
      <c r="B6350" s="236"/>
      <c r="C6350" s="236"/>
      <c r="D6350" s="236"/>
    </row>
    <row r="6351" spans="2:4" x14ac:dyDescent="0.2">
      <c r="B6351" s="236"/>
      <c r="C6351" s="236"/>
      <c r="D6351" s="236"/>
    </row>
    <row r="6352" spans="2:4" x14ac:dyDescent="0.2">
      <c r="B6352" s="236"/>
      <c r="C6352" s="236"/>
      <c r="D6352" s="236"/>
    </row>
    <row r="6353" spans="2:4" x14ac:dyDescent="0.2">
      <c r="B6353" s="236"/>
      <c r="C6353" s="236"/>
      <c r="D6353" s="236"/>
    </row>
    <row r="6354" spans="2:4" ht="12.75" customHeight="1" x14ac:dyDescent="0.2">
      <c r="B6354" s="236"/>
      <c r="C6354" s="236"/>
      <c r="D6354" s="236"/>
    </row>
    <row r="6355" spans="2:4" x14ac:dyDescent="0.2">
      <c r="B6355" s="236"/>
      <c r="C6355" s="236"/>
      <c r="D6355" s="236"/>
    </row>
    <row r="6356" spans="2:4" ht="12.75" customHeight="1" x14ac:dyDescent="0.2">
      <c r="B6356" s="236"/>
      <c r="C6356" s="236"/>
      <c r="D6356" s="236"/>
    </row>
    <row r="6357" spans="2:4" x14ac:dyDescent="0.2">
      <c r="B6357" s="236"/>
      <c r="C6357" s="236"/>
      <c r="D6357" s="236"/>
    </row>
    <row r="6358" spans="2:4" ht="12.75" customHeight="1" x14ac:dyDescent="0.2">
      <c r="B6358" s="236"/>
      <c r="C6358" s="236"/>
      <c r="D6358" s="236"/>
    </row>
    <row r="6359" spans="2:4" x14ac:dyDescent="0.2">
      <c r="B6359" s="236"/>
      <c r="C6359" s="236"/>
      <c r="D6359" s="236"/>
    </row>
    <row r="6360" spans="2:4" x14ac:dyDescent="0.2">
      <c r="B6360" s="236"/>
      <c r="C6360" s="236"/>
      <c r="D6360" s="236"/>
    </row>
    <row r="6361" spans="2:4" x14ac:dyDescent="0.2">
      <c r="B6361" s="236"/>
      <c r="C6361" s="236"/>
      <c r="D6361" s="236"/>
    </row>
    <row r="6362" spans="2:4" ht="12.75" customHeight="1" x14ac:dyDescent="0.2">
      <c r="B6362" s="236"/>
      <c r="C6362" s="236"/>
      <c r="D6362" s="236"/>
    </row>
    <row r="6363" spans="2:4" ht="12.75" customHeight="1" x14ac:dyDescent="0.2">
      <c r="B6363" s="236"/>
      <c r="C6363" s="236"/>
      <c r="D6363" s="236"/>
    </row>
    <row r="6364" spans="2:4" ht="12.75" customHeight="1" x14ac:dyDescent="0.2">
      <c r="B6364" s="236"/>
      <c r="C6364" s="236"/>
      <c r="D6364" s="236"/>
    </row>
    <row r="6365" spans="2:4" ht="12.75" customHeight="1" x14ac:dyDescent="0.2">
      <c r="B6365" s="236"/>
      <c r="C6365" s="236"/>
      <c r="D6365" s="236"/>
    </row>
    <row r="6366" spans="2:4" ht="12.75" customHeight="1" x14ac:dyDescent="0.2">
      <c r="B6366" s="236"/>
      <c r="C6366" s="236"/>
      <c r="D6366" s="236"/>
    </row>
    <row r="6367" spans="2:4" x14ac:dyDescent="0.2">
      <c r="B6367" s="236"/>
      <c r="C6367" s="236"/>
      <c r="D6367" s="236"/>
    </row>
    <row r="6368" spans="2:4" ht="12.75" customHeight="1" x14ac:dyDescent="0.2">
      <c r="B6368" s="236"/>
      <c r="C6368" s="236"/>
      <c r="D6368" s="236"/>
    </row>
    <row r="6369" spans="2:4" ht="12.75" customHeight="1" x14ac:dyDescent="0.2">
      <c r="B6369" s="236"/>
      <c r="C6369" s="236"/>
      <c r="D6369" s="236"/>
    </row>
    <row r="6370" spans="2:4" x14ac:dyDescent="0.2">
      <c r="B6370" s="236"/>
      <c r="C6370" s="236"/>
      <c r="D6370" s="236"/>
    </row>
    <row r="6371" spans="2:4" ht="12.75" customHeight="1" x14ac:dyDescent="0.2">
      <c r="B6371" s="236"/>
      <c r="C6371" s="236"/>
      <c r="D6371" s="236"/>
    </row>
    <row r="6372" spans="2:4" ht="12.75" customHeight="1" x14ac:dyDescent="0.2">
      <c r="B6372" s="236"/>
      <c r="C6372" s="236"/>
      <c r="D6372" s="236"/>
    </row>
    <row r="6373" spans="2:4" ht="12.75" customHeight="1" x14ac:dyDescent="0.2">
      <c r="B6373" s="236"/>
      <c r="C6373" s="236"/>
      <c r="D6373" s="236"/>
    </row>
    <row r="6374" spans="2:4" x14ac:dyDescent="0.2">
      <c r="B6374" s="236"/>
      <c r="C6374" s="236"/>
      <c r="D6374" s="236"/>
    </row>
    <row r="6375" spans="2:4" ht="12.75" customHeight="1" x14ac:dyDescent="0.2">
      <c r="B6375" s="236"/>
      <c r="C6375" s="236"/>
      <c r="D6375" s="236"/>
    </row>
    <row r="6376" spans="2:4" ht="12.75" customHeight="1" x14ac:dyDescent="0.2">
      <c r="B6376" s="236"/>
      <c r="C6376" s="236"/>
      <c r="D6376" s="236"/>
    </row>
    <row r="6377" spans="2:4" x14ac:dyDescent="0.2">
      <c r="B6377" s="236"/>
      <c r="C6377" s="236"/>
      <c r="D6377" s="236"/>
    </row>
    <row r="6378" spans="2:4" ht="12.75" customHeight="1" x14ac:dyDescent="0.2">
      <c r="B6378" s="236"/>
      <c r="C6378" s="236"/>
      <c r="D6378" s="236"/>
    </row>
    <row r="6379" spans="2:4" x14ac:dyDescent="0.2">
      <c r="B6379" s="236"/>
      <c r="C6379" s="236"/>
      <c r="D6379" s="236"/>
    </row>
    <row r="6380" spans="2:4" ht="12.75" customHeight="1" x14ac:dyDescent="0.2">
      <c r="B6380" s="236"/>
      <c r="C6380" s="236"/>
      <c r="D6380" s="236"/>
    </row>
    <row r="6381" spans="2:4" ht="12.75" customHeight="1" x14ac:dyDescent="0.2">
      <c r="B6381" s="236"/>
      <c r="C6381" s="236"/>
      <c r="D6381" s="236"/>
    </row>
    <row r="6382" spans="2:4" ht="12.75" customHeight="1" x14ac:dyDescent="0.2">
      <c r="B6382" s="236"/>
      <c r="C6382" s="236"/>
      <c r="D6382" s="236"/>
    </row>
    <row r="6383" spans="2:4" ht="12.75" customHeight="1" x14ac:dyDescent="0.2">
      <c r="B6383" s="236"/>
      <c r="C6383" s="236"/>
      <c r="D6383" s="236"/>
    </row>
    <row r="6384" spans="2:4" ht="12.75" customHeight="1" x14ac:dyDescent="0.2">
      <c r="B6384" s="236"/>
      <c r="C6384" s="236"/>
      <c r="D6384" s="236"/>
    </row>
    <row r="6385" spans="2:4" ht="12.75" customHeight="1" x14ac:dyDescent="0.2">
      <c r="B6385" s="236"/>
      <c r="C6385" s="236"/>
      <c r="D6385" s="236"/>
    </row>
    <row r="6386" spans="2:4" ht="12.75" customHeight="1" x14ac:dyDescent="0.2">
      <c r="B6386" s="236"/>
      <c r="C6386" s="236"/>
      <c r="D6386" s="236"/>
    </row>
    <row r="6387" spans="2:4" x14ac:dyDescent="0.2">
      <c r="B6387" s="236"/>
      <c r="C6387" s="236"/>
      <c r="D6387" s="236"/>
    </row>
    <row r="6388" spans="2:4" ht="12.75" customHeight="1" x14ac:dyDescent="0.2">
      <c r="B6388" s="236"/>
      <c r="C6388" s="236"/>
      <c r="D6388" s="236"/>
    </row>
    <row r="6389" spans="2:4" x14ac:dyDescent="0.2">
      <c r="B6389" s="236"/>
      <c r="C6389" s="236"/>
      <c r="D6389" s="236"/>
    </row>
    <row r="6390" spans="2:4" x14ac:dyDescent="0.2">
      <c r="B6390" s="236"/>
      <c r="C6390" s="236"/>
      <c r="D6390" s="236"/>
    </row>
    <row r="6391" spans="2:4" ht="12.75" customHeight="1" x14ac:dyDescent="0.2">
      <c r="B6391" s="236"/>
      <c r="C6391" s="236"/>
      <c r="D6391" s="236"/>
    </row>
    <row r="6392" spans="2:4" ht="12.75" customHeight="1" x14ac:dyDescent="0.2">
      <c r="B6392" s="236"/>
      <c r="C6392" s="236"/>
      <c r="D6392" s="236"/>
    </row>
    <row r="6393" spans="2:4" ht="12.75" customHeight="1" x14ac:dyDescent="0.2">
      <c r="B6393" s="236"/>
      <c r="C6393" s="236"/>
      <c r="D6393" s="236"/>
    </row>
    <row r="6394" spans="2:4" x14ac:dyDescent="0.2">
      <c r="B6394" s="236"/>
      <c r="C6394" s="236"/>
      <c r="D6394" s="236"/>
    </row>
    <row r="6395" spans="2:4" x14ac:dyDescent="0.2">
      <c r="B6395" s="236"/>
      <c r="C6395" s="236"/>
      <c r="D6395" s="236"/>
    </row>
    <row r="6396" spans="2:4" ht="12.75" customHeight="1" x14ac:dyDescent="0.2">
      <c r="B6396" s="236"/>
      <c r="C6396" s="236"/>
      <c r="D6396" s="236"/>
    </row>
    <row r="6397" spans="2:4" ht="12.75" customHeight="1" x14ac:dyDescent="0.2">
      <c r="B6397" s="236"/>
      <c r="C6397" s="236"/>
      <c r="D6397" s="236"/>
    </row>
    <row r="6398" spans="2:4" x14ac:dyDescent="0.2">
      <c r="B6398" s="236"/>
      <c r="C6398" s="236"/>
      <c r="D6398" s="236"/>
    </row>
    <row r="6399" spans="2:4" ht="12.75" customHeight="1" x14ac:dyDescent="0.2">
      <c r="B6399" s="236"/>
      <c r="C6399" s="236"/>
      <c r="D6399" s="236"/>
    </row>
    <row r="6400" spans="2:4" ht="12.75" customHeight="1" x14ac:dyDescent="0.2">
      <c r="B6400" s="236"/>
      <c r="C6400" s="236"/>
      <c r="D6400" s="236"/>
    </row>
    <row r="6401" spans="2:4" x14ac:dyDescent="0.2">
      <c r="B6401" s="236"/>
      <c r="C6401" s="236"/>
      <c r="D6401" s="236"/>
    </row>
    <row r="6402" spans="2:4" ht="12.75" customHeight="1" x14ac:dyDescent="0.2">
      <c r="B6402" s="236"/>
      <c r="C6402" s="236"/>
      <c r="D6402" s="236"/>
    </row>
    <row r="6403" spans="2:4" ht="12.75" customHeight="1" x14ac:dyDescent="0.2">
      <c r="B6403" s="236"/>
      <c r="C6403" s="236"/>
      <c r="D6403" s="236"/>
    </row>
    <row r="6404" spans="2:4" ht="12.75" customHeight="1" x14ac:dyDescent="0.2">
      <c r="B6404" s="236"/>
      <c r="C6404" s="236"/>
      <c r="D6404" s="236"/>
    </row>
    <row r="6405" spans="2:4" ht="12.75" customHeight="1" x14ac:dyDescent="0.2">
      <c r="B6405" s="236"/>
      <c r="C6405" s="236"/>
      <c r="D6405" s="236"/>
    </row>
    <row r="6406" spans="2:4" x14ac:dyDescent="0.2">
      <c r="B6406" s="236"/>
      <c r="C6406" s="236"/>
      <c r="D6406" s="236"/>
    </row>
    <row r="6407" spans="2:4" ht="12.75" customHeight="1" x14ac:dyDescent="0.2">
      <c r="B6407" s="236"/>
      <c r="C6407" s="236"/>
      <c r="D6407" s="236"/>
    </row>
    <row r="6408" spans="2:4" ht="12.75" customHeight="1" x14ac:dyDescent="0.2">
      <c r="B6408" s="236"/>
      <c r="C6408" s="236"/>
      <c r="D6408" s="236"/>
    </row>
    <row r="6409" spans="2:4" ht="12.75" customHeight="1" x14ac:dyDescent="0.2">
      <c r="B6409" s="236"/>
      <c r="C6409" s="236"/>
      <c r="D6409" s="236"/>
    </row>
    <row r="6410" spans="2:4" ht="12.75" customHeight="1" x14ac:dyDescent="0.2">
      <c r="B6410" s="236"/>
      <c r="C6410" s="236"/>
      <c r="D6410" s="236"/>
    </row>
    <row r="6411" spans="2:4" ht="12.75" customHeight="1" x14ac:dyDescent="0.2">
      <c r="B6411" s="236"/>
      <c r="C6411" s="236"/>
      <c r="D6411" s="236"/>
    </row>
    <row r="6412" spans="2:4" ht="12.75" customHeight="1" x14ac:dyDescent="0.2">
      <c r="B6412" s="236"/>
      <c r="C6412" s="236"/>
      <c r="D6412" s="236"/>
    </row>
    <row r="6413" spans="2:4" x14ac:dyDescent="0.2">
      <c r="B6413" s="236"/>
      <c r="C6413" s="236"/>
      <c r="D6413" s="236"/>
    </row>
    <row r="6414" spans="2:4" ht="12.75" customHeight="1" x14ac:dyDescent="0.2">
      <c r="B6414" s="236"/>
      <c r="C6414" s="236"/>
      <c r="D6414" s="236"/>
    </row>
    <row r="6415" spans="2:4" ht="12.75" customHeight="1" x14ac:dyDescent="0.2">
      <c r="B6415" s="236"/>
      <c r="C6415" s="236"/>
      <c r="D6415" s="236"/>
    </row>
    <row r="6416" spans="2:4" ht="12.75" customHeight="1" x14ac:dyDescent="0.2">
      <c r="B6416" s="236"/>
      <c r="C6416" s="236"/>
      <c r="D6416" s="236"/>
    </row>
    <row r="6417" spans="2:4" ht="12.75" customHeight="1" x14ac:dyDescent="0.2">
      <c r="B6417" s="236"/>
      <c r="C6417" s="236"/>
      <c r="D6417" s="236"/>
    </row>
    <row r="6418" spans="2:4" ht="12.75" customHeight="1" x14ac:dyDescent="0.2">
      <c r="B6418" s="236"/>
      <c r="C6418" s="236"/>
      <c r="D6418" s="236"/>
    </row>
    <row r="6419" spans="2:4" x14ac:dyDescent="0.2">
      <c r="B6419" s="236"/>
      <c r="C6419" s="236"/>
      <c r="D6419" s="236"/>
    </row>
    <row r="6420" spans="2:4" x14ac:dyDescent="0.2">
      <c r="B6420" s="236"/>
      <c r="C6420" s="236"/>
      <c r="D6420" s="236"/>
    </row>
    <row r="6421" spans="2:4" ht="12.75" customHeight="1" x14ac:dyDescent="0.2">
      <c r="B6421" s="236"/>
      <c r="C6421" s="236"/>
      <c r="D6421" s="236"/>
    </row>
    <row r="6422" spans="2:4" x14ac:dyDescent="0.2">
      <c r="B6422" s="236"/>
      <c r="C6422" s="236"/>
      <c r="D6422" s="236"/>
    </row>
    <row r="6423" spans="2:4" ht="12.75" customHeight="1" x14ac:dyDescent="0.2">
      <c r="B6423" s="236"/>
      <c r="C6423" s="236"/>
      <c r="D6423" s="236"/>
    </row>
    <row r="6424" spans="2:4" ht="12.75" customHeight="1" x14ac:dyDescent="0.2">
      <c r="B6424" s="236"/>
      <c r="C6424" s="236"/>
      <c r="D6424" s="236"/>
    </row>
    <row r="6425" spans="2:4" x14ac:dyDescent="0.2">
      <c r="B6425" s="236"/>
      <c r="C6425" s="236"/>
      <c r="D6425" s="236"/>
    </row>
    <row r="6426" spans="2:4" ht="12.75" customHeight="1" x14ac:dyDescent="0.2">
      <c r="B6426" s="236"/>
      <c r="C6426" s="236"/>
      <c r="D6426" s="236"/>
    </row>
    <row r="6427" spans="2:4" x14ac:dyDescent="0.2">
      <c r="B6427" s="236"/>
      <c r="C6427" s="236"/>
      <c r="D6427" s="236"/>
    </row>
    <row r="6428" spans="2:4" ht="12.75" customHeight="1" x14ac:dyDescent="0.2">
      <c r="B6428" s="236"/>
      <c r="C6428" s="236"/>
      <c r="D6428" s="236"/>
    </row>
    <row r="6429" spans="2:4" ht="12.75" customHeight="1" x14ac:dyDescent="0.2">
      <c r="B6429" s="236"/>
      <c r="C6429" s="236"/>
      <c r="D6429" s="236"/>
    </row>
    <row r="6430" spans="2:4" ht="12.75" customHeight="1" x14ac:dyDescent="0.2">
      <c r="B6430" s="236"/>
      <c r="C6430" s="236"/>
      <c r="D6430" s="236"/>
    </row>
    <row r="6431" spans="2:4" x14ac:dyDescent="0.2">
      <c r="B6431" s="236"/>
      <c r="C6431" s="236"/>
      <c r="D6431" s="236"/>
    </row>
    <row r="6432" spans="2:4" ht="12.75" customHeight="1" x14ac:dyDescent="0.2">
      <c r="B6432" s="236"/>
      <c r="C6432" s="236"/>
      <c r="D6432" s="236"/>
    </row>
    <row r="6433" spans="2:4" x14ac:dyDescent="0.2">
      <c r="B6433" s="236"/>
      <c r="C6433" s="236"/>
      <c r="D6433" s="236"/>
    </row>
    <row r="6434" spans="2:4" ht="12.75" customHeight="1" x14ac:dyDescent="0.2">
      <c r="B6434" s="236"/>
      <c r="C6434" s="236"/>
      <c r="D6434" s="236"/>
    </row>
    <row r="6435" spans="2:4" x14ac:dyDescent="0.2">
      <c r="B6435" s="236"/>
      <c r="C6435" s="236"/>
      <c r="D6435" s="236"/>
    </row>
    <row r="6436" spans="2:4" ht="12.75" customHeight="1" x14ac:dyDescent="0.2">
      <c r="B6436" s="236"/>
      <c r="C6436" s="236"/>
      <c r="D6436" s="236"/>
    </row>
    <row r="6437" spans="2:4" ht="12.75" customHeight="1" x14ac:dyDescent="0.2">
      <c r="B6437" s="236"/>
      <c r="C6437" s="236"/>
      <c r="D6437" s="236"/>
    </row>
    <row r="6438" spans="2:4" x14ac:dyDescent="0.2">
      <c r="B6438" s="236"/>
      <c r="C6438" s="236"/>
      <c r="D6438" s="236"/>
    </row>
    <row r="6439" spans="2:4" ht="12.75" customHeight="1" x14ac:dyDescent="0.2">
      <c r="B6439" s="236"/>
      <c r="C6439" s="236"/>
      <c r="D6439" s="236"/>
    </row>
    <row r="6440" spans="2:4" ht="12.75" customHeight="1" x14ac:dyDescent="0.2">
      <c r="B6440" s="236"/>
      <c r="C6440" s="236"/>
      <c r="D6440" s="236"/>
    </row>
    <row r="6441" spans="2:4" ht="12.75" customHeight="1" x14ac:dyDescent="0.2">
      <c r="B6441" s="236"/>
      <c r="C6441" s="236"/>
      <c r="D6441" s="236"/>
    </row>
    <row r="6442" spans="2:4" ht="12.75" customHeight="1" x14ac:dyDescent="0.2">
      <c r="B6442" s="236"/>
      <c r="C6442" s="236"/>
      <c r="D6442" s="236"/>
    </row>
    <row r="6443" spans="2:4" x14ac:dyDescent="0.2">
      <c r="B6443" s="236"/>
      <c r="C6443" s="236"/>
      <c r="D6443" s="236"/>
    </row>
    <row r="6444" spans="2:4" ht="12.75" customHeight="1" x14ac:dyDescent="0.2">
      <c r="B6444" s="236"/>
      <c r="C6444" s="236"/>
      <c r="D6444" s="236"/>
    </row>
    <row r="6445" spans="2:4" ht="12.75" customHeight="1" x14ac:dyDescent="0.2">
      <c r="B6445" s="236"/>
      <c r="C6445" s="236"/>
      <c r="D6445" s="236"/>
    </row>
    <row r="6446" spans="2:4" x14ac:dyDescent="0.2">
      <c r="B6446" s="236"/>
      <c r="C6446" s="236"/>
      <c r="D6446" s="236"/>
    </row>
    <row r="6447" spans="2:4" ht="12.75" customHeight="1" x14ac:dyDescent="0.2">
      <c r="B6447" s="236"/>
      <c r="C6447" s="236"/>
      <c r="D6447" s="236"/>
    </row>
    <row r="6448" spans="2:4" ht="12.75" customHeight="1" x14ac:dyDescent="0.2">
      <c r="B6448" s="236"/>
      <c r="C6448" s="236"/>
      <c r="D6448" s="236"/>
    </row>
    <row r="6449" spans="2:4" ht="12.75" customHeight="1" x14ac:dyDescent="0.2">
      <c r="B6449" s="236"/>
      <c r="C6449" s="236"/>
      <c r="D6449" s="236"/>
    </row>
    <row r="6450" spans="2:4" ht="12.75" customHeight="1" x14ac:dyDescent="0.2">
      <c r="B6450" s="236"/>
      <c r="C6450" s="236"/>
      <c r="D6450" s="236"/>
    </row>
    <row r="6451" spans="2:4" ht="12.75" customHeight="1" x14ac:dyDescent="0.2">
      <c r="B6451" s="236"/>
      <c r="C6451" s="236"/>
      <c r="D6451" s="236"/>
    </row>
    <row r="6452" spans="2:4" x14ac:dyDescent="0.2">
      <c r="B6452" s="236"/>
      <c r="C6452" s="236"/>
      <c r="D6452" s="236"/>
    </row>
    <row r="6453" spans="2:4" x14ac:dyDescent="0.2">
      <c r="B6453" s="236"/>
      <c r="C6453" s="236"/>
      <c r="D6453" s="236"/>
    </row>
    <row r="6454" spans="2:4" ht="12.75" customHeight="1" x14ac:dyDescent="0.2">
      <c r="B6454" s="236"/>
      <c r="C6454" s="236"/>
      <c r="D6454" s="236"/>
    </row>
    <row r="6455" spans="2:4" x14ac:dyDescent="0.2">
      <c r="B6455" s="236"/>
      <c r="C6455" s="236"/>
      <c r="D6455" s="236"/>
    </row>
    <row r="6456" spans="2:4" x14ac:dyDescent="0.2">
      <c r="B6456" s="236"/>
      <c r="C6456" s="236"/>
      <c r="D6456" s="236"/>
    </row>
    <row r="6457" spans="2:4" ht="12.75" customHeight="1" x14ac:dyDescent="0.2">
      <c r="B6457" s="236"/>
      <c r="C6457" s="236"/>
      <c r="D6457" s="236"/>
    </row>
    <row r="6458" spans="2:4" ht="12.75" customHeight="1" x14ac:dyDescent="0.2">
      <c r="B6458" s="236"/>
      <c r="C6458" s="236"/>
      <c r="D6458" s="236"/>
    </row>
    <row r="6459" spans="2:4" ht="12.75" customHeight="1" x14ac:dyDescent="0.2">
      <c r="B6459" s="236"/>
      <c r="C6459" s="236"/>
      <c r="D6459" s="236"/>
    </row>
    <row r="6460" spans="2:4" x14ac:dyDescent="0.2">
      <c r="B6460" s="236"/>
      <c r="C6460" s="236"/>
      <c r="D6460" s="236"/>
    </row>
    <row r="6461" spans="2:4" ht="12.75" customHeight="1" x14ac:dyDescent="0.2">
      <c r="B6461" s="236"/>
      <c r="C6461" s="236"/>
      <c r="D6461" s="236"/>
    </row>
    <row r="6462" spans="2:4" ht="12.75" customHeight="1" x14ac:dyDescent="0.2">
      <c r="B6462" s="236"/>
      <c r="C6462" s="236"/>
      <c r="D6462" s="236"/>
    </row>
    <row r="6463" spans="2:4" ht="12.75" customHeight="1" x14ac:dyDescent="0.2">
      <c r="B6463" s="236"/>
      <c r="C6463" s="236"/>
      <c r="D6463" s="236"/>
    </row>
    <row r="6464" spans="2:4" ht="12.75" customHeight="1" x14ac:dyDescent="0.2">
      <c r="B6464" s="236"/>
      <c r="C6464" s="236"/>
      <c r="D6464" s="236"/>
    </row>
    <row r="6465" spans="2:4" ht="12.75" customHeight="1" x14ac:dyDescent="0.2">
      <c r="B6465" s="236"/>
      <c r="C6465" s="236"/>
      <c r="D6465" s="236"/>
    </row>
    <row r="6466" spans="2:4" ht="12.75" customHeight="1" x14ac:dyDescent="0.2">
      <c r="B6466" s="236"/>
      <c r="C6466" s="236"/>
      <c r="D6466" s="236"/>
    </row>
    <row r="6467" spans="2:4" ht="12.75" customHeight="1" x14ac:dyDescent="0.2">
      <c r="B6467" s="236"/>
      <c r="C6467" s="236"/>
      <c r="D6467" s="236"/>
    </row>
    <row r="6468" spans="2:4" ht="12.75" customHeight="1" x14ac:dyDescent="0.2">
      <c r="B6468" s="236"/>
      <c r="C6468" s="236"/>
      <c r="D6468" s="236"/>
    </row>
    <row r="6469" spans="2:4" ht="12.75" customHeight="1" x14ac:dyDescent="0.2">
      <c r="B6469" s="236"/>
      <c r="C6469" s="236"/>
      <c r="D6469" s="236"/>
    </row>
    <row r="6470" spans="2:4" ht="12.75" customHeight="1" x14ac:dyDescent="0.2">
      <c r="B6470" s="236"/>
      <c r="C6470" s="236"/>
      <c r="D6470" s="236"/>
    </row>
    <row r="6471" spans="2:4" x14ac:dyDescent="0.2">
      <c r="B6471" s="236"/>
      <c r="C6471" s="236"/>
      <c r="D6471" s="236"/>
    </row>
    <row r="6472" spans="2:4" ht="12.75" customHeight="1" x14ac:dyDescent="0.2">
      <c r="B6472" s="236"/>
      <c r="C6472" s="236"/>
      <c r="D6472" s="236"/>
    </row>
    <row r="6473" spans="2:4" ht="12.75" customHeight="1" x14ac:dyDescent="0.2">
      <c r="B6473" s="236"/>
      <c r="C6473" s="236"/>
      <c r="D6473" s="236"/>
    </row>
    <row r="6474" spans="2:4" ht="12.75" customHeight="1" x14ac:dyDescent="0.2">
      <c r="B6474" s="236"/>
      <c r="C6474" s="236"/>
      <c r="D6474" s="236"/>
    </row>
    <row r="6475" spans="2:4" ht="12.75" customHeight="1" x14ac:dyDescent="0.2">
      <c r="B6475" s="236"/>
      <c r="C6475" s="236"/>
      <c r="D6475" s="236"/>
    </row>
    <row r="6476" spans="2:4" x14ac:dyDescent="0.2">
      <c r="B6476" s="236"/>
      <c r="C6476" s="236"/>
      <c r="D6476" s="236"/>
    </row>
    <row r="6477" spans="2:4" ht="12.75" customHeight="1" x14ac:dyDescent="0.2">
      <c r="B6477" s="236"/>
      <c r="C6477" s="236"/>
      <c r="D6477" s="236"/>
    </row>
    <row r="6478" spans="2:4" ht="12.75" customHeight="1" x14ac:dyDescent="0.2">
      <c r="B6478" s="236"/>
      <c r="C6478" s="236"/>
      <c r="D6478" s="236"/>
    </row>
    <row r="6479" spans="2:4" ht="12.75" customHeight="1" x14ac:dyDescent="0.2">
      <c r="B6479" s="236"/>
      <c r="C6479" s="236"/>
      <c r="D6479" s="236"/>
    </row>
    <row r="6480" spans="2:4" ht="12.75" customHeight="1" x14ac:dyDescent="0.2">
      <c r="B6480" s="236"/>
      <c r="C6480" s="236"/>
      <c r="D6480" s="236"/>
    </row>
    <row r="6481" spans="2:4" ht="12.75" customHeight="1" x14ac:dyDescent="0.2">
      <c r="B6481" s="236"/>
      <c r="C6481" s="236"/>
      <c r="D6481" s="236"/>
    </row>
    <row r="6482" spans="2:4" ht="12.75" customHeight="1" x14ac:dyDescent="0.2">
      <c r="B6482" s="236"/>
      <c r="C6482" s="236"/>
      <c r="D6482" s="236"/>
    </row>
    <row r="6483" spans="2:4" ht="12.75" customHeight="1" x14ac:dyDescent="0.2">
      <c r="B6483" s="236"/>
      <c r="C6483" s="236"/>
      <c r="D6483" s="236"/>
    </row>
    <row r="6484" spans="2:4" ht="12.75" customHeight="1" x14ac:dyDescent="0.2">
      <c r="B6484" s="236"/>
      <c r="C6484" s="236"/>
      <c r="D6484" s="236"/>
    </row>
    <row r="6485" spans="2:4" ht="12.75" customHeight="1" x14ac:dyDescent="0.2">
      <c r="B6485" s="236"/>
      <c r="C6485" s="236"/>
      <c r="D6485" s="236"/>
    </row>
    <row r="6486" spans="2:4" x14ac:dyDescent="0.2">
      <c r="B6486" s="236"/>
      <c r="C6486" s="236"/>
      <c r="D6486" s="236"/>
    </row>
    <row r="6487" spans="2:4" ht="12.75" customHeight="1" x14ac:dyDescent="0.2">
      <c r="B6487" s="236"/>
      <c r="C6487" s="236"/>
      <c r="D6487" s="236"/>
    </row>
    <row r="6488" spans="2:4" ht="12.75" customHeight="1" x14ac:dyDescent="0.2">
      <c r="B6488" s="236"/>
      <c r="C6488" s="236"/>
      <c r="D6488" s="236"/>
    </row>
    <row r="6489" spans="2:4" ht="12.75" customHeight="1" x14ac:dyDescent="0.2">
      <c r="B6489" s="236"/>
      <c r="C6489" s="236"/>
      <c r="D6489" s="236"/>
    </row>
    <row r="6490" spans="2:4" ht="12.75" customHeight="1" x14ac:dyDescent="0.2">
      <c r="B6490" s="236"/>
      <c r="C6490" s="236"/>
      <c r="D6490" s="236"/>
    </row>
    <row r="6491" spans="2:4" ht="12.75" customHeight="1" x14ac:dyDescent="0.2">
      <c r="B6491" s="236"/>
      <c r="C6491" s="236"/>
      <c r="D6491" s="236"/>
    </row>
    <row r="6492" spans="2:4" ht="12.75" customHeight="1" x14ac:dyDescent="0.2">
      <c r="B6492" s="236"/>
      <c r="C6492" s="236"/>
      <c r="D6492" s="236"/>
    </row>
    <row r="6493" spans="2:4" ht="12.75" customHeight="1" x14ac:dyDescent="0.2">
      <c r="B6493" s="236"/>
      <c r="C6493" s="236"/>
      <c r="D6493" s="236"/>
    </row>
    <row r="6494" spans="2:4" ht="12.75" customHeight="1" x14ac:dyDescent="0.2">
      <c r="B6494" s="236"/>
      <c r="C6494" s="236"/>
      <c r="D6494" s="236"/>
    </row>
    <row r="6495" spans="2:4" x14ac:dyDescent="0.2">
      <c r="B6495" s="236"/>
      <c r="C6495" s="236"/>
      <c r="D6495" s="236"/>
    </row>
    <row r="6496" spans="2:4" ht="12.75" customHeight="1" x14ac:dyDescent="0.2">
      <c r="B6496" s="236"/>
      <c r="C6496" s="236"/>
      <c r="D6496" s="236"/>
    </row>
    <row r="6497" spans="2:4" x14ac:dyDescent="0.2">
      <c r="B6497" s="236"/>
      <c r="C6497" s="236"/>
      <c r="D6497" s="236"/>
    </row>
    <row r="6498" spans="2:4" ht="12.75" customHeight="1" x14ac:dyDescent="0.2">
      <c r="B6498" s="236"/>
      <c r="C6498" s="236"/>
      <c r="D6498" s="236"/>
    </row>
    <row r="6499" spans="2:4" ht="12.75" customHeight="1" x14ac:dyDescent="0.2">
      <c r="B6499" s="236"/>
      <c r="C6499" s="236"/>
      <c r="D6499" s="236"/>
    </row>
    <row r="6500" spans="2:4" ht="12.75" customHeight="1" x14ac:dyDescent="0.2">
      <c r="B6500" s="236"/>
      <c r="C6500" s="236"/>
      <c r="D6500" s="236"/>
    </row>
    <row r="6501" spans="2:4" ht="12.75" customHeight="1" x14ac:dyDescent="0.2">
      <c r="B6501" s="236"/>
      <c r="C6501" s="236"/>
      <c r="D6501" s="236"/>
    </row>
    <row r="6502" spans="2:4" ht="12.75" customHeight="1" x14ac:dyDescent="0.2">
      <c r="B6502" s="236"/>
      <c r="C6502" s="236"/>
      <c r="D6502" s="236"/>
    </row>
    <row r="6503" spans="2:4" ht="12.75" customHeight="1" x14ac:dyDescent="0.2">
      <c r="B6503" s="236"/>
      <c r="C6503" s="236"/>
      <c r="D6503" s="236"/>
    </row>
    <row r="6504" spans="2:4" ht="12.75" customHeight="1" x14ac:dyDescent="0.2">
      <c r="B6504" s="236"/>
      <c r="C6504" s="236"/>
      <c r="D6504" s="236"/>
    </row>
    <row r="6505" spans="2:4" ht="12.75" customHeight="1" x14ac:dyDescent="0.2">
      <c r="B6505" s="236"/>
      <c r="C6505" s="236"/>
      <c r="D6505" s="236"/>
    </row>
    <row r="6506" spans="2:4" ht="12.75" customHeight="1" x14ac:dyDescent="0.2">
      <c r="B6506" s="236"/>
      <c r="C6506" s="236"/>
      <c r="D6506" s="236"/>
    </row>
    <row r="6507" spans="2:4" ht="12.75" customHeight="1" x14ac:dyDescent="0.2">
      <c r="B6507" s="236"/>
      <c r="C6507" s="236"/>
      <c r="D6507" s="236"/>
    </row>
    <row r="6508" spans="2:4" ht="12.75" customHeight="1" x14ac:dyDescent="0.2">
      <c r="B6508" s="236"/>
      <c r="C6508" s="236"/>
      <c r="D6508" s="236"/>
    </row>
    <row r="6509" spans="2:4" ht="12.75" customHeight="1" x14ac:dyDescent="0.2">
      <c r="B6509" s="236"/>
      <c r="C6509" s="236"/>
      <c r="D6509" s="236"/>
    </row>
    <row r="6510" spans="2:4" ht="12.75" customHeight="1" x14ac:dyDescent="0.2">
      <c r="B6510" s="236"/>
      <c r="C6510" s="236"/>
      <c r="D6510" s="236"/>
    </row>
    <row r="6511" spans="2:4" ht="12.75" customHeight="1" x14ac:dyDescent="0.2">
      <c r="B6511" s="236"/>
      <c r="C6511" s="236"/>
      <c r="D6511" s="236"/>
    </row>
    <row r="6512" spans="2:4" ht="12.75" customHeight="1" x14ac:dyDescent="0.2">
      <c r="B6512" s="236"/>
      <c r="C6512" s="236"/>
      <c r="D6512" s="236"/>
    </row>
    <row r="6513" spans="2:4" ht="12.75" customHeight="1" x14ac:dyDescent="0.2">
      <c r="B6513" s="236"/>
      <c r="C6513" s="236"/>
      <c r="D6513" s="236"/>
    </row>
    <row r="6514" spans="2:4" ht="12.75" customHeight="1" x14ac:dyDescent="0.2">
      <c r="B6514" s="236"/>
      <c r="C6514" s="236"/>
      <c r="D6514" s="236"/>
    </row>
    <row r="6515" spans="2:4" x14ac:dyDescent="0.2">
      <c r="B6515" s="236"/>
      <c r="C6515" s="236"/>
      <c r="D6515" s="236"/>
    </row>
    <row r="6516" spans="2:4" ht="12.75" customHeight="1" x14ac:dyDescent="0.2">
      <c r="B6516" s="236"/>
      <c r="C6516" s="236"/>
      <c r="D6516" s="236"/>
    </row>
    <row r="6517" spans="2:4" ht="12.75" customHeight="1" x14ac:dyDescent="0.2">
      <c r="B6517" s="236"/>
      <c r="C6517" s="236"/>
      <c r="D6517" s="236"/>
    </row>
    <row r="6518" spans="2:4" x14ac:dyDescent="0.2">
      <c r="B6518" s="236"/>
      <c r="C6518" s="236"/>
      <c r="D6518" s="236"/>
    </row>
    <row r="6519" spans="2:4" ht="12.75" customHeight="1" x14ac:dyDescent="0.2">
      <c r="B6519" s="236"/>
      <c r="C6519" s="236"/>
      <c r="D6519" s="236"/>
    </row>
    <row r="6520" spans="2:4" ht="12.75" customHeight="1" x14ac:dyDescent="0.2">
      <c r="B6520" s="236"/>
      <c r="C6520" s="236"/>
      <c r="D6520" s="236"/>
    </row>
    <row r="6521" spans="2:4" x14ac:dyDescent="0.2">
      <c r="B6521" s="236"/>
      <c r="C6521" s="236"/>
      <c r="D6521" s="236"/>
    </row>
    <row r="6522" spans="2:4" ht="12.75" customHeight="1" x14ac:dyDescent="0.2">
      <c r="B6522" s="236"/>
      <c r="C6522" s="236"/>
      <c r="D6522" s="236"/>
    </row>
    <row r="6523" spans="2:4" x14ac:dyDescent="0.2">
      <c r="B6523" s="236"/>
      <c r="C6523" s="236"/>
      <c r="D6523" s="236"/>
    </row>
    <row r="6524" spans="2:4" ht="12.75" customHeight="1" x14ac:dyDescent="0.2">
      <c r="B6524" s="236"/>
      <c r="C6524" s="236"/>
      <c r="D6524" s="236"/>
    </row>
    <row r="6525" spans="2:4" x14ac:dyDescent="0.2">
      <c r="B6525" s="236"/>
      <c r="C6525" s="236"/>
      <c r="D6525" s="236"/>
    </row>
    <row r="6526" spans="2:4" ht="12.75" customHeight="1" x14ac:dyDescent="0.2">
      <c r="B6526" s="236"/>
      <c r="C6526" s="236"/>
      <c r="D6526" s="236"/>
    </row>
    <row r="6527" spans="2:4" ht="12.75" customHeight="1" x14ac:dyDescent="0.2">
      <c r="B6527" s="236"/>
      <c r="C6527" s="236"/>
      <c r="D6527" s="236"/>
    </row>
    <row r="6528" spans="2:4" ht="12.75" customHeight="1" x14ac:dyDescent="0.2">
      <c r="B6528" s="236"/>
      <c r="C6528" s="236"/>
      <c r="D6528" s="236"/>
    </row>
    <row r="6529" spans="2:4" ht="12.75" customHeight="1" x14ac:dyDescent="0.2">
      <c r="B6529" s="236"/>
      <c r="C6529" s="236"/>
      <c r="D6529" s="236"/>
    </row>
    <row r="6530" spans="2:4" ht="12.75" customHeight="1" x14ac:dyDescent="0.2">
      <c r="B6530" s="236"/>
      <c r="C6530" s="236"/>
      <c r="D6530" s="236"/>
    </row>
    <row r="6531" spans="2:4" ht="12.75" customHeight="1" x14ac:dyDescent="0.2">
      <c r="B6531" s="236"/>
      <c r="C6531" s="236"/>
      <c r="D6531" s="236"/>
    </row>
    <row r="6532" spans="2:4" ht="12.75" customHeight="1" x14ac:dyDescent="0.2">
      <c r="B6532" s="236"/>
      <c r="C6532" s="236"/>
      <c r="D6532" s="236"/>
    </row>
    <row r="6533" spans="2:4" x14ac:dyDescent="0.2">
      <c r="B6533" s="236"/>
      <c r="C6533" s="236"/>
      <c r="D6533" s="236"/>
    </row>
    <row r="6534" spans="2:4" ht="12.75" customHeight="1" x14ac:dyDescent="0.2">
      <c r="B6534" s="236"/>
      <c r="C6534" s="236"/>
      <c r="D6534" s="236"/>
    </row>
    <row r="6535" spans="2:4" x14ac:dyDescent="0.2">
      <c r="B6535" s="236"/>
      <c r="C6535" s="236"/>
      <c r="D6535" s="236"/>
    </row>
    <row r="6536" spans="2:4" ht="12.75" customHeight="1" x14ac:dyDescent="0.2">
      <c r="B6536" s="236"/>
      <c r="C6536" s="236"/>
      <c r="D6536" s="236"/>
    </row>
    <row r="6537" spans="2:4" ht="12.75" customHeight="1" x14ac:dyDescent="0.2">
      <c r="B6537" s="236"/>
      <c r="C6537" s="236"/>
      <c r="D6537" s="236"/>
    </row>
    <row r="6538" spans="2:4" ht="12.75" customHeight="1" x14ac:dyDescent="0.2">
      <c r="B6538" s="236"/>
      <c r="C6538" s="236"/>
      <c r="D6538" s="236"/>
    </row>
    <row r="6539" spans="2:4" ht="12.75" customHeight="1" x14ac:dyDescent="0.2">
      <c r="B6539" s="236"/>
      <c r="C6539" s="236"/>
      <c r="D6539" s="236"/>
    </row>
    <row r="6540" spans="2:4" ht="12.75" customHeight="1" x14ac:dyDescent="0.2">
      <c r="B6540" s="236"/>
      <c r="C6540" s="236"/>
      <c r="D6540" s="236"/>
    </row>
    <row r="6541" spans="2:4" ht="12.75" customHeight="1" x14ac:dyDescent="0.2">
      <c r="B6541" s="236"/>
      <c r="C6541" s="236"/>
      <c r="D6541" s="236"/>
    </row>
    <row r="6542" spans="2:4" ht="12.75" customHeight="1" x14ac:dyDescent="0.2">
      <c r="B6542" s="236"/>
      <c r="C6542" s="236"/>
      <c r="D6542" s="236"/>
    </row>
    <row r="6543" spans="2:4" x14ac:dyDescent="0.2">
      <c r="B6543" s="236"/>
      <c r="C6543" s="236"/>
      <c r="D6543" s="236"/>
    </row>
    <row r="6544" spans="2:4" ht="12.75" customHeight="1" x14ac:dyDescent="0.2">
      <c r="B6544" s="236"/>
      <c r="C6544" s="236"/>
      <c r="D6544" s="236"/>
    </row>
    <row r="6545" spans="2:4" x14ac:dyDescent="0.2">
      <c r="B6545" s="236"/>
      <c r="C6545" s="236"/>
      <c r="D6545" s="236"/>
    </row>
    <row r="6546" spans="2:4" ht="12.75" customHeight="1" x14ac:dyDescent="0.2">
      <c r="B6546" s="236"/>
      <c r="C6546" s="236"/>
      <c r="D6546" s="236"/>
    </row>
    <row r="6547" spans="2:4" ht="12.75" customHeight="1" x14ac:dyDescent="0.2">
      <c r="B6547" s="236"/>
      <c r="C6547" s="236"/>
      <c r="D6547" s="236"/>
    </row>
    <row r="6548" spans="2:4" ht="12.75" customHeight="1" x14ac:dyDescent="0.2">
      <c r="B6548" s="236"/>
      <c r="C6548" s="236"/>
      <c r="D6548" s="236"/>
    </row>
    <row r="6549" spans="2:4" ht="12.75" customHeight="1" x14ac:dyDescent="0.2">
      <c r="B6549" s="236"/>
      <c r="C6549" s="236"/>
      <c r="D6549" s="236"/>
    </row>
    <row r="6550" spans="2:4" ht="12.75" customHeight="1" x14ac:dyDescent="0.2">
      <c r="B6550" s="236"/>
      <c r="C6550" s="236"/>
      <c r="D6550" s="236"/>
    </row>
    <row r="6551" spans="2:4" ht="12.75" customHeight="1" x14ac:dyDescent="0.2">
      <c r="B6551" s="236"/>
      <c r="C6551" s="236"/>
      <c r="D6551" s="236"/>
    </row>
    <row r="6552" spans="2:4" ht="12.75" customHeight="1" x14ac:dyDescent="0.2">
      <c r="B6552" s="236"/>
      <c r="C6552" s="236"/>
      <c r="D6552" s="236"/>
    </row>
    <row r="6553" spans="2:4" x14ac:dyDescent="0.2">
      <c r="B6553" s="236"/>
      <c r="C6553" s="236"/>
      <c r="D6553" s="236"/>
    </row>
    <row r="6554" spans="2:4" ht="12.75" customHeight="1" x14ac:dyDescent="0.2">
      <c r="B6554" s="236"/>
      <c r="C6554" s="236"/>
      <c r="D6554" s="236"/>
    </row>
    <row r="6555" spans="2:4" x14ac:dyDescent="0.2">
      <c r="B6555" s="236"/>
      <c r="C6555" s="236"/>
      <c r="D6555" s="236"/>
    </row>
    <row r="6556" spans="2:4" ht="12.75" customHeight="1" x14ac:dyDescent="0.2">
      <c r="B6556" s="236"/>
      <c r="C6556" s="236"/>
      <c r="D6556" s="236"/>
    </row>
    <row r="6557" spans="2:4" x14ac:dyDescent="0.2">
      <c r="B6557" s="236"/>
      <c r="C6557" s="236"/>
      <c r="D6557" s="236"/>
    </row>
    <row r="6558" spans="2:4" ht="12.75" customHeight="1" x14ac:dyDescent="0.2">
      <c r="B6558" s="236"/>
      <c r="C6558" s="236"/>
      <c r="D6558" s="236"/>
    </row>
    <row r="6559" spans="2:4" ht="12.75" customHeight="1" x14ac:dyDescent="0.2">
      <c r="B6559" s="236"/>
      <c r="C6559" s="236"/>
      <c r="D6559" s="236"/>
    </row>
    <row r="6560" spans="2:4" ht="12.75" customHeight="1" x14ac:dyDescent="0.2">
      <c r="B6560" s="236"/>
      <c r="C6560" s="236"/>
      <c r="D6560" s="236"/>
    </row>
    <row r="6561" spans="2:4" ht="12.75" customHeight="1" x14ac:dyDescent="0.2">
      <c r="B6561" s="236"/>
      <c r="C6561" s="236"/>
      <c r="D6561" s="236"/>
    </row>
    <row r="6562" spans="2:4" ht="12.75" customHeight="1" x14ac:dyDescent="0.2">
      <c r="B6562" s="236"/>
      <c r="C6562" s="236"/>
      <c r="D6562" s="236"/>
    </row>
    <row r="6563" spans="2:4" ht="12.75" customHeight="1" x14ac:dyDescent="0.2">
      <c r="B6563" s="236"/>
      <c r="C6563" s="236"/>
      <c r="D6563" s="236"/>
    </row>
    <row r="6564" spans="2:4" ht="12.75" customHeight="1" x14ac:dyDescent="0.2">
      <c r="B6564" s="236"/>
      <c r="C6564" s="236"/>
      <c r="D6564" s="236"/>
    </row>
    <row r="6565" spans="2:4" ht="12.75" customHeight="1" x14ac:dyDescent="0.2">
      <c r="B6565" s="236"/>
      <c r="C6565" s="236"/>
      <c r="D6565" s="236"/>
    </row>
    <row r="6566" spans="2:4" ht="12.75" customHeight="1" x14ac:dyDescent="0.2">
      <c r="B6566" s="236"/>
      <c r="C6566" s="236"/>
      <c r="D6566" s="236"/>
    </row>
    <row r="6567" spans="2:4" ht="12.75" customHeight="1" x14ac:dyDescent="0.2">
      <c r="B6567" s="236"/>
      <c r="C6567" s="236"/>
      <c r="D6567" s="236"/>
    </row>
    <row r="6568" spans="2:4" x14ac:dyDescent="0.2">
      <c r="B6568" s="236"/>
      <c r="C6568" s="236"/>
      <c r="D6568" s="236"/>
    </row>
    <row r="6569" spans="2:4" ht="12.75" customHeight="1" x14ac:dyDescent="0.2">
      <c r="B6569" s="236"/>
      <c r="C6569" s="236"/>
      <c r="D6569" s="236"/>
    </row>
    <row r="6570" spans="2:4" x14ac:dyDescent="0.2">
      <c r="B6570" s="236"/>
      <c r="C6570" s="236"/>
      <c r="D6570" s="236"/>
    </row>
    <row r="6571" spans="2:4" ht="12.75" customHeight="1" x14ac:dyDescent="0.2">
      <c r="B6571" s="236"/>
      <c r="C6571" s="236"/>
      <c r="D6571" s="236"/>
    </row>
    <row r="6572" spans="2:4" ht="12.75" customHeight="1" x14ac:dyDescent="0.2">
      <c r="B6572" s="236"/>
      <c r="C6572" s="236"/>
      <c r="D6572" s="236"/>
    </row>
    <row r="6573" spans="2:4" ht="12.75" customHeight="1" x14ac:dyDescent="0.2">
      <c r="B6573" s="236"/>
      <c r="C6573" s="236"/>
      <c r="D6573" s="236"/>
    </row>
    <row r="6574" spans="2:4" x14ac:dyDescent="0.2">
      <c r="B6574" s="236"/>
      <c r="C6574" s="236"/>
      <c r="D6574" s="236"/>
    </row>
    <row r="6575" spans="2:4" ht="12.75" customHeight="1" x14ac:dyDescent="0.2">
      <c r="B6575" s="236"/>
      <c r="C6575" s="236"/>
      <c r="D6575" s="236"/>
    </row>
    <row r="6576" spans="2:4" ht="12.75" customHeight="1" x14ac:dyDescent="0.2">
      <c r="B6576" s="236"/>
      <c r="C6576" s="236"/>
      <c r="D6576" s="236"/>
    </row>
    <row r="6577" spans="2:4" ht="12.75" customHeight="1" x14ac:dyDescent="0.2">
      <c r="B6577" s="236"/>
      <c r="C6577" s="236"/>
      <c r="D6577" s="236"/>
    </row>
    <row r="6578" spans="2:4" x14ac:dyDescent="0.2">
      <c r="B6578" s="236"/>
      <c r="C6578" s="236"/>
      <c r="D6578" s="236"/>
    </row>
    <row r="6579" spans="2:4" ht="12.75" customHeight="1" x14ac:dyDescent="0.2">
      <c r="B6579" s="236"/>
      <c r="C6579" s="236"/>
      <c r="D6579" s="236"/>
    </row>
    <row r="6580" spans="2:4" ht="12.75" customHeight="1" x14ac:dyDescent="0.2">
      <c r="B6580" s="236"/>
      <c r="C6580" s="236"/>
      <c r="D6580" s="236"/>
    </row>
    <row r="6581" spans="2:4" ht="12.75" customHeight="1" x14ac:dyDescent="0.2">
      <c r="B6581" s="236"/>
      <c r="C6581" s="236"/>
      <c r="D6581" s="236"/>
    </row>
    <row r="6582" spans="2:4" x14ac:dyDescent="0.2">
      <c r="B6582" s="236"/>
      <c r="C6582" s="236"/>
      <c r="D6582" s="236"/>
    </row>
    <row r="6583" spans="2:4" ht="12.75" customHeight="1" x14ac:dyDescent="0.2">
      <c r="B6583" s="236"/>
      <c r="C6583" s="236"/>
      <c r="D6583" s="236"/>
    </row>
    <row r="6584" spans="2:4" ht="12.75" customHeight="1" x14ac:dyDescent="0.2">
      <c r="B6584" s="236"/>
      <c r="C6584" s="236"/>
      <c r="D6584" s="236"/>
    </row>
    <row r="6585" spans="2:4" x14ac:dyDescent="0.2">
      <c r="B6585" s="236"/>
      <c r="C6585" s="236"/>
      <c r="D6585" s="236"/>
    </row>
    <row r="6586" spans="2:4" ht="12.75" customHeight="1" x14ac:dyDescent="0.2">
      <c r="B6586" s="236"/>
      <c r="C6586" s="236"/>
      <c r="D6586" s="236"/>
    </row>
    <row r="6587" spans="2:4" ht="12.75" customHeight="1" x14ac:dyDescent="0.2">
      <c r="B6587" s="236"/>
      <c r="C6587" s="236"/>
      <c r="D6587" s="236"/>
    </row>
    <row r="6588" spans="2:4" ht="12.75" customHeight="1" x14ac:dyDescent="0.2">
      <c r="B6588" s="236"/>
      <c r="C6588" s="236"/>
      <c r="D6588" s="236"/>
    </row>
    <row r="6589" spans="2:4" ht="12.75" customHeight="1" x14ac:dyDescent="0.2">
      <c r="B6589" s="236"/>
      <c r="C6589" s="236"/>
      <c r="D6589" s="236"/>
    </row>
    <row r="6590" spans="2:4" ht="12.75" customHeight="1" x14ac:dyDescent="0.2">
      <c r="B6590" s="236"/>
      <c r="C6590" s="236"/>
      <c r="D6590" s="236"/>
    </row>
    <row r="6591" spans="2:4" ht="12.75" customHeight="1" x14ac:dyDescent="0.2">
      <c r="B6591" s="236"/>
      <c r="C6591" s="236"/>
      <c r="D6591" s="236"/>
    </row>
    <row r="6592" spans="2:4" x14ac:dyDescent="0.2">
      <c r="B6592" s="236"/>
      <c r="C6592" s="236"/>
      <c r="D6592" s="236"/>
    </row>
    <row r="6593" spans="2:4" ht="12.75" customHeight="1" x14ac:dyDescent="0.2">
      <c r="B6593" s="236"/>
      <c r="C6593" s="236"/>
      <c r="D6593" s="236"/>
    </row>
    <row r="6594" spans="2:4" x14ac:dyDescent="0.2">
      <c r="B6594" s="236"/>
      <c r="C6594" s="236"/>
      <c r="D6594" s="236"/>
    </row>
    <row r="6595" spans="2:4" ht="12.75" customHeight="1" x14ac:dyDescent="0.2">
      <c r="B6595" s="236"/>
      <c r="C6595" s="236"/>
      <c r="D6595" s="236"/>
    </row>
    <row r="6596" spans="2:4" ht="12.75" customHeight="1" x14ac:dyDescent="0.2">
      <c r="B6596" s="236"/>
      <c r="C6596" s="236"/>
      <c r="D6596" s="236"/>
    </row>
    <row r="6597" spans="2:4" ht="12.75" customHeight="1" x14ac:dyDescent="0.2">
      <c r="B6597" s="236"/>
      <c r="C6597" s="236"/>
      <c r="D6597" s="236"/>
    </row>
    <row r="6598" spans="2:4" ht="12.75" customHeight="1" x14ac:dyDescent="0.2">
      <c r="B6598" s="236"/>
      <c r="C6598" s="236"/>
      <c r="D6598" s="236"/>
    </row>
    <row r="6599" spans="2:4" ht="12.75" customHeight="1" x14ac:dyDescent="0.2">
      <c r="B6599" s="236"/>
      <c r="C6599" s="236"/>
      <c r="D6599" s="236"/>
    </row>
    <row r="6600" spans="2:4" ht="12.75" customHeight="1" x14ac:dyDescent="0.2">
      <c r="B6600" s="236"/>
      <c r="C6600" s="236"/>
      <c r="D6600" s="236"/>
    </row>
    <row r="6601" spans="2:4" ht="12.75" customHeight="1" x14ac:dyDescent="0.2">
      <c r="B6601" s="236"/>
      <c r="C6601" s="236"/>
      <c r="D6601" s="236"/>
    </row>
    <row r="6602" spans="2:4" ht="12.75" customHeight="1" x14ac:dyDescent="0.2">
      <c r="B6602" s="236"/>
      <c r="C6602" s="236"/>
      <c r="D6602" s="236"/>
    </row>
    <row r="6603" spans="2:4" ht="12.75" customHeight="1" x14ac:dyDescent="0.2">
      <c r="B6603" s="236"/>
      <c r="C6603" s="236"/>
      <c r="D6603" s="236"/>
    </row>
    <row r="6604" spans="2:4" ht="12.75" customHeight="1" x14ac:dyDescent="0.2">
      <c r="B6604" s="236"/>
      <c r="C6604" s="236"/>
      <c r="D6604" s="236"/>
    </row>
    <row r="6605" spans="2:4" ht="12.75" customHeight="1" x14ac:dyDescent="0.2">
      <c r="B6605" s="236"/>
      <c r="C6605" s="236"/>
      <c r="D6605" s="236"/>
    </row>
    <row r="6606" spans="2:4" ht="12.75" customHeight="1" x14ac:dyDescent="0.2">
      <c r="B6606" s="236"/>
      <c r="C6606" s="236"/>
      <c r="D6606" s="236"/>
    </row>
    <row r="6607" spans="2:4" ht="12.75" customHeight="1" x14ac:dyDescent="0.2">
      <c r="B6607" s="236"/>
      <c r="C6607" s="236"/>
      <c r="D6607" s="236"/>
    </row>
    <row r="6608" spans="2:4" x14ac:dyDescent="0.2">
      <c r="B6608" s="236"/>
      <c r="C6608" s="236"/>
      <c r="D6608" s="236"/>
    </row>
    <row r="6609" spans="2:4" ht="12.75" customHeight="1" x14ac:dyDescent="0.2">
      <c r="B6609" s="236"/>
      <c r="C6609" s="236"/>
      <c r="D6609" s="236"/>
    </row>
    <row r="6610" spans="2:4" ht="12.75" customHeight="1" x14ac:dyDescent="0.2">
      <c r="B6610" s="236"/>
      <c r="C6610" s="236"/>
      <c r="D6610" s="236"/>
    </row>
    <row r="6611" spans="2:4" ht="12.75" customHeight="1" x14ac:dyDescent="0.2">
      <c r="B6611" s="236"/>
      <c r="C6611" s="236"/>
      <c r="D6611" s="236"/>
    </row>
    <row r="6612" spans="2:4" ht="12.75" customHeight="1" x14ac:dyDescent="0.2">
      <c r="B6612" s="236"/>
      <c r="C6612" s="236"/>
      <c r="D6612" s="236"/>
    </row>
    <row r="6613" spans="2:4" ht="12.75" customHeight="1" x14ac:dyDescent="0.2">
      <c r="B6613" s="236"/>
      <c r="C6613" s="236"/>
      <c r="D6613" s="236"/>
    </row>
    <row r="6614" spans="2:4" ht="12.75" customHeight="1" x14ac:dyDescent="0.2">
      <c r="B6614" s="236"/>
      <c r="C6614" s="236"/>
      <c r="D6614" s="236"/>
    </row>
    <row r="6615" spans="2:4" ht="12.75" customHeight="1" x14ac:dyDescent="0.2">
      <c r="B6615" s="236"/>
      <c r="C6615" s="236"/>
      <c r="D6615" s="236"/>
    </row>
    <row r="6616" spans="2:4" ht="12.75" customHeight="1" x14ac:dyDescent="0.2">
      <c r="B6616" s="236"/>
      <c r="C6616" s="236"/>
      <c r="D6616" s="236"/>
    </row>
    <row r="6617" spans="2:4" ht="12.75" customHeight="1" x14ac:dyDescent="0.2">
      <c r="B6617" s="236"/>
      <c r="C6617" s="236"/>
      <c r="D6617" s="236"/>
    </row>
    <row r="6618" spans="2:4" ht="12.75" customHeight="1" x14ac:dyDescent="0.2">
      <c r="B6618" s="236"/>
      <c r="C6618" s="236"/>
      <c r="D6618" s="236"/>
    </row>
    <row r="6619" spans="2:4" ht="12.75" customHeight="1" x14ac:dyDescent="0.2">
      <c r="B6619" s="236"/>
      <c r="C6619" s="236"/>
      <c r="D6619" s="236"/>
    </row>
    <row r="6620" spans="2:4" x14ac:dyDescent="0.2">
      <c r="B6620" s="236"/>
      <c r="C6620" s="236"/>
      <c r="D6620" s="236"/>
    </row>
    <row r="6621" spans="2:4" ht="12.75" customHeight="1" x14ac:dyDescent="0.2">
      <c r="B6621" s="236"/>
      <c r="C6621" s="236"/>
      <c r="D6621" s="236"/>
    </row>
    <row r="6622" spans="2:4" x14ac:dyDescent="0.2">
      <c r="B6622" s="236"/>
      <c r="C6622" s="236"/>
      <c r="D6622" s="236"/>
    </row>
    <row r="6623" spans="2:4" ht="12.75" customHeight="1" x14ac:dyDescent="0.2">
      <c r="B6623" s="236"/>
      <c r="C6623" s="236"/>
      <c r="D6623" s="236"/>
    </row>
    <row r="6624" spans="2:4" ht="12.75" customHeight="1" x14ac:dyDescent="0.2">
      <c r="B6624" s="236"/>
      <c r="C6624" s="236"/>
      <c r="D6624" s="236"/>
    </row>
    <row r="6625" spans="2:4" ht="12.75" customHeight="1" x14ac:dyDescent="0.2">
      <c r="B6625" s="236"/>
      <c r="C6625" s="236"/>
      <c r="D6625" s="236"/>
    </row>
    <row r="6626" spans="2:4" ht="12.75" customHeight="1" x14ac:dyDescent="0.2">
      <c r="B6626" s="236"/>
      <c r="C6626" s="236"/>
      <c r="D6626" s="236"/>
    </row>
    <row r="6627" spans="2:4" ht="12.75" customHeight="1" x14ac:dyDescent="0.2">
      <c r="B6627" s="236"/>
      <c r="C6627" s="236"/>
      <c r="D6627" s="236"/>
    </row>
    <row r="6628" spans="2:4" ht="12.75" customHeight="1" x14ac:dyDescent="0.2">
      <c r="B6628" s="236"/>
      <c r="C6628" s="236"/>
      <c r="D6628" s="236"/>
    </row>
    <row r="6629" spans="2:4" ht="12.75" customHeight="1" x14ac:dyDescent="0.2">
      <c r="B6629" s="236"/>
      <c r="C6629" s="236"/>
      <c r="D6629" s="236"/>
    </row>
    <row r="6630" spans="2:4" ht="12.75" customHeight="1" x14ac:dyDescent="0.2">
      <c r="B6630" s="236"/>
      <c r="C6630" s="236"/>
      <c r="D6630" s="236"/>
    </row>
    <row r="6631" spans="2:4" ht="12.75" customHeight="1" x14ac:dyDescent="0.2">
      <c r="B6631" s="236"/>
      <c r="C6631" s="236"/>
      <c r="D6631" s="236"/>
    </row>
    <row r="6632" spans="2:4" ht="12.75" customHeight="1" x14ac:dyDescent="0.2">
      <c r="B6632" s="236"/>
      <c r="C6632" s="236"/>
      <c r="D6632" s="236"/>
    </row>
    <row r="6633" spans="2:4" ht="12.75" customHeight="1" x14ac:dyDescent="0.2">
      <c r="B6633" s="236"/>
      <c r="C6633" s="236"/>
      <c r="D6633" s="236"/>
    </row>
    <row r="6634" spans="2:4" ht="12.75" customHeight="1" x14ac:dyDescent="0.2">
      <c r="B6634" s="236"/>
      <c r="C6634" s="236"/>
      <c r="D6634" s="236"/>
    </row>
    <row r="6635" spans="2:4" ht="12.75" customHeight="1" x14ac:dyDescent="0.2">
      <c r="B6635" s="236"/>
      <c r="C6635" s="236"/>
      <c r="D6635" s="236"/>
    </row>
    <row r="6636" spans="2:4" ht="12.75" customHeight="1" x14ac:dyDescent="0.2">
      <c r="B6636" s="236"/>
      <c r="C6636" s="236"/>
      <c r="D6636" s="236"/>
    </row>
    <row r="6637" spans="2:4" ht="12.75" customHeight="1" x14ac:dyDescent="0.2">
      <c r="B6637" s="236"/>
      <c r="C6637" s="236"/>
      <c r="D6637" s="236"/>
    </row>
    <row r="6638" spans="2:4" ht="12.75" customHeight="1" x14ac:dyDescent="0.2">
      <c r="B6638" s="236"/>
      <c r="C6638" s="236"/>
      <c r="D6638" s="236"/>
    </row>
    <row r="6639" spans="2:4" ht="12.75" customHeight="1" x14ac:dyDescent="0.2">
      <c r="B6639" s="236"/>
      <c r="C6639" s="236"/>
      <c r="D6639" s="236"/>
    </row>
    <row r="6640" spans="2:4" ht="12.75" customHeight="1" x14ac:dyDescent="0.2">
      <c r="B6640" s="236"/>
      <c r="C6640" s="236"/>
      <c r="D6640" s="236"/>
    </row>
    <row r="6641" spans="2:4" ht="12.75" customHeight="1" x14ac:dyDescent="0.2">
      <c r="B6641" s="236"/>
      <c r="C6641" s="236"/>
      <c r="D6641" s="236"/>
    </row>
    <row r="6642" spans="2:4" ht="12.75" customHeight="1" x14ac:dyDescent="0.2">
      <c r="B6642" s="236"/>
      <c r="C6642" s="236"/>
      <c r="D6642" s="236"/>
    </row>
    <row r="6643" spans="2:4" x14ac:dyDescent="0.2">
      <c r="B6643" s="236"/>
      <c r="C6643" s="236"/>
      <c r="D6643" s="236"/>
    </row>
    <row r="6644" spans="2:4" ht="12.75" customHeight="1" x14ac:dyDescent="0.2">
      <c r="B6644" s="236"/>
      <c r="C6644" s="236"/>
      <c r="D6644" s="236"/>
    </row>
    <row r="6645" spans="2:4" ht="12.75" customHeight="1" x14ac:dyDescent="0.2">
      <c r="B6645" s="236"/>
      <c r="C6645" s="236"/>
      <c r="D6645" s="236"/>
    </row>
    <row r="6646" spans="2:4" ht="12.75" customHeight="1" x14ac:dyDescent="0.2">
      <c r="B6646" s="236"/>
      <c r="C6646" s="236"/>
      <c r="D6646" s="236"/>
    </row>
    <row r="6647" spans="2:4" x14ac:dyDescent="0.2">
      <c r="B6647" s="236"/>
      <c r="C6647" s="236"/>
      <c r="D6647" s="236"/>
    </row>
    <row r="6648" spans="2:4" ht="12.75" customHeight="1" x14ac:dyDescent="0.2">
      <c r="B6648" s="236"/>
      <c r="C6648" s="236"/>
      <c r="D6648" s="236"/>
    </row>
    <row r="6649" spans="2:4" ht="12.75" customHeight="1" x14ac:dyDescent="0.2">
      <c r="B6649" s="236"/>
      <c r="C6649" s="236"/>
      <c r="D6649" s="236"/>
    </row>
    <row r="6650" spans="2:4" x14ac:dyDescent="0.2">
      <c r="B6650" s="236"/>
      <c r="C6650" s="236"/>
      <c r="D6650" s="236"/>
    </row>
    <row r="6651" spans="2:4" ht="12.75" customHeight="1" x14ac:dyDescent="0.2">
      <c r="B6651" s="236"/>
      <c r="C6651" s="236"/>
      <c r="D6651" s="236"/>
    </row>
    <row r="6652" spans="2:4" ht="12.75" customHeight="1" x14ac:dyDescent="0.2">
      <c r="B6652" s="236"/>
      <c r="C6652" s="236"/>
      <c r="D6652" s="236"/>
    </row>
    <row r="6653" spans="2:4" x14ac:dyDescent="0.2">
      <c r="B6653" s="236"/>
      <c r="C6653" s="236"/>
      <c r="D6653" s="236"/>
    </row>
    <row r="6654" spans="2:4" ht="12.75" customHeight="1" x14ac:dyDescent="0.2">
      <c r="B6654" s="236"/>
      <c r="C6654" s="236"/>
      <c r="D6654" s="236"/>
    </row>
    <row r="6655" spans="2:4" ht="12.75" customHeight="1" x14ac:dyDescent="0.2">
      <c r="B6655" s="236"/>
      <c r="C6655" s="236"/>
      <c r="D6655" s="236"/>
    </row>
    <row r="6656" spans="2:4" ht="12.75" customHeight="1" x14ac:dyDescent="0.2">
      <c r="B6656" s="236"/>
      <c r="C6656" s="236"/>
      <c r="D6656" s="236"/>
    </row>
    <row r="6657" spans="2:4" ht="12.75" customHeight="1" x14ac:dyDescent="0.2">
      <c r="B6657" s="236"/>
      <c r="C6657" s="236"/>
      <c r="D6657" s="236"/>
    </row>
    <row r="6658" spans="2:4" ht="12.75" customHeight="1" x14ac:dyDescent="0.2">
      <c r="B6658" s="236"/>
      <c r="C6658" s="236"/>
      <c r="D6658" s="236"/>
    </row>
    <row r="6659" spans="2:4" x14ac:dyDescent="0.2">
      <c r="B6659" s="236"/>
      <c r="C6659" s="236"/>
      <c r="D6659" s="236"/>
    </row>
    <row r="6660" spans="2:4" ht="12.75" customHeight="1" x14ac:dyDescent="0.2">
      <c r="B6660" s="236"/>
      <c r="C6660" s="236"/>
      <c r="D6660" s="236"/>
    </row>
    <row r="6661" spans="2:4" x14ac:dyDescent="0.2">
      <c r="B6661" s="236"/>
      <c r="C6661" s="236"/>
      <c r="D6661" s="236"/>
    </row>
    <row r="6662" spans="2:4" ht="12.75" customHeight="1" x14ac:dyDescent="0.2">
      <c r="B6662" s="236"/>
      <c r="C6662" s="236"/>
      <c r="D6662" s="236"/>
    </row>
    <row r="6663" spans="2:4" ht="12.75" customHeight="1" x14ac:dyDescent="0.2">
      <c r="B6663" s="236"/>
      <c r="C6663" s="236"/>
      <c r="D6663" s="236"/>
    </row>
    <row r="6664" spans="2:4" ht="12.75" customHeight="1" x14ac:dyDescent="0.2">
      <c r="B6664" s="236"/>
      <c r="C6664" s="236"/>
      <c r="D6664" s="236"/>
    </row>
    <row r="6665" spans="2:4" x14ac:dyDescent="0.2">
      <c r="B6665" s="236"/>
      <c r="C6665" s="236"/>
      <c r="D6665" s="236"/>
    </row>
    <row r="6666" spans="2:4" ht="12.75" customHeight="1" x14ac:dyDescent="0.2">
      <c r="B6666" s="236"/>
      <c r="C6666" s="236"/>
      <c r="D6666" s="236"/>
    </row>
    <row r="6667" spans="2:4" ht="12.75" customHeight="1" x14ac:dyDescent="0.2">
      <c r="B6667" s="236"/>
      <c r="C6667" s="236"/>
      <c r="D6667" s="236"/>
    </row>
    <row r="6668" spans="2:4" ht="12.75" customHeight="1" x14ac:dyDescent="0.2">
      <c r="B6668" s="236"/>
      <c r="C6668" s="236"/>
      <c r="D6668" s="236"/>
    </row>
    <row r="6669" spans="2:4" x14ac:dyDescent="0.2">
      <c r="B6669" s="236"/>
      <c r="C6669" s="236"/>
      <c r="D6669" s="236"/>
    </row>
    <row r="6670" spans="2:4" ht="12.75" customHeight="1" x14ac:dyDescent="0.2">
      <c r="B6670" s="236"/>
      <c r="C6670" s="236"/>
      <c r="D6670" s="236"/>
    </row>
    <row r="6671" spans="2:4" ht="12.75" customHeight="1" x14ac:dyDescent="0.2">
      <c r="B6671" s="236"/>
      <c r="C6671" s="236"/>
      <c r="D6671" s="236"/>
    </row>
    <row r="6672" spans="2:4" ht="12.75" customHeight="1" x14ac:dyDescent="0.2">
      <c r="B6672" s="236"/>
      <c r="C6672" s="236"/>
      <c r="D6672" s="236"/>
    </row>
    <row r="6673" spans="2:4" ht="12.75" customHeight="1" x14ac:dyDescent="0.2">
      <c r="B6673" s="236"/>
      <c r="C6673" s="236"/>
      <c r="D6673" s="236"/>
    </row>
    <row r="6674" spans="2:4" ht="12.75" customHeight="1" x14ac:dyDescent="0.2">
      <c r="B6674" s="236"/>
      <c r="C6674" s="236"/>
      <c r="D6674" s="236"/>
    </row>
    <row r="6675" spans="2:4" x14ac:dyDescent="0.2">
      <c r="B6675" s="236"/>
      <c r="C6675" s="236"/>
      <c r="D6675" s="236"/>
    </row>
    <row r="6676" spans="2:4" ht="12.75" customHeight="1" x14ac:dyDescent="0.2">
      <c r="B6676" s="236"/>
      <c r="C6676" s="236"/>
      <c r="D6676" s="236"/>
    </row>
    <row r="6677" spans="2:4" ht="12.75" customHeight="1" x14ac:dyDescent="0.2">
      <c r="B6677" s="236"/>
      <c r="C6677" s="236"/>
      <c r="D6677" s="236"/>
    </row>
    <row r="6678" spans="2:4" ht="12.75" customHeight="1" x14ac:dyDescent="0.2">
      <c r="B6678" s="236"/>
      <c r="C6678" s="236"/>
      <c r="D6678" s="236"/>
    </row>
    <row r="6679" spans="2:4" ht="12.75" customHeight="1" x14ac:dyDescent="0.2">
      <c r="B6679" s="236"/>
      <c r="C6679" s="236"/>
      <c r="D6679" s="236"/>
    </row>
    <row r="6680" spans="2:4" ht="12.75" customHeight="1" x14ac:dyDescent="0.2">
      <c r="B6680" s="236"/>
      <c r="C6680" s="236"/>
      <c r="D6680" s="236"/>
    </row>
    <row r="6681" spans="2:4" ht="12.75" customHeight="1" x14ac:dyDescent="0.2">
      <c r="B6681" s="236"/>
      <c r="C6681" s="236"/>
      <c r="D6681" s="236"/>
    </row>
    <row r="6682" spans="2:4" x14ac:dyDescent="0.2">
      <c r="B6682" s="236"/>
      <c r="C6682" s="236"/>
      <c r="D6682" s="236"/>
    </row>
    <row r="6683" spans="2:4" ht="12.75" customHeight="1" x14ac:dyDescent="0.2">
      <c r="B6683" s="236"/>
      <c r="C6683" s="236"/>
      <c r="D6683" s="236"/>
    </row>
    <row r="6684" spans="2:4" ht="12.75" customHeight="1" x14ac:dyDescent="0.2">
      <c r="B6684" s="236"/>
      <c r="C6684" s="236"/>
      <c r="D6684" s="236"/>
    </row>
    <row r="6685" spans="2:4" x14ac:dyDescent="0.2">
      <c r="B6685" s="236"/>
      <c r="C6685" s="236"/>
      <c r="D6685" s="236"/>
    </row>
    <row r="6686" spans="2:4" ht="12.75" customHeight="1" x14ac:dyDescent="0.2">
      <c r="B6686" s="236"/>
      <c r="C6686" s="236"/>
      <c r="D6686" s="236"/>
    </row>
    <row r="6687" spans="2:4" ht="12.75" customHeight="1" x14ac:dyDescent="0.2">
      <c r="B6687" s="236"/>
      <c r="C6687" s="236"/>
      <c r="D6687" s="236"/>
    </row>
    <row r="6688" spans="2:4" x14ac:dyDescent="0.2">
      <c r="B6688" s="236"/>
      <c r="C6688" s="236"/>
      <c r="D6688" s="236"/>
    </row>
    <row r="6689" spans="2:4" ht="12.75" customHeight="1" x14ac:dyDescent="0.2">
      <c r="B6689" s="236"/>
      <c r="C6689" s="236"/>
      <c r="D6689" s="236"/>
    </row>
    <row r="6690" spans="2:4" ht="12.75" customHeight="1" x14ac:dyDescent="0.2">
      <c r="B6690" s="236"/>
      <c r="C6690" s="236"/>
      <c r="D6690" s="236"/>
    </row>
    <row r="6691" spans="2:4" x14ac:dyDescent="0.2">
      <c r="B6691" s="236"/>
      <c r="C6691" s="236"/>
      <c r="D6691" s="236"/>
    </row>
    <row r="6692" spans="2:4" ht="12.75" customHeight="1" x14ac:dyDescent="0.2">
      <c r="B6692" s="236"/>
      <c r="C6692" s="236"/>
      <c r="D6692" s="236"/>
    </row>
    <row r="6693" spans="2:4" x14ac:dyDescent="0.2">
      <c r="B6693" s="236"/>
      <c r="C6693" s="236"/>
      <c r="D6693" s="236"/>
    </row>
    <row r="6694" spans="2:4" ht="12.75" customHeight="1" x14ac:dyDescent="0.2">
      <c r="B6694" s="236"/>
      <c r="C6694" s="236"/>
      <c r="D6694" s="236"/>
    </row>
    <row r="6695" spans="2:4" ht="12.75" customHeight="1" x14ac:dyDescent="0.2">
      <c r="B6695" s="236"/>
      <c r="C6695" s="236"/>
      <c r="D6695" s="236"/>
    </row>
    <row r="6696" spans="2:4" ht="12.75" customHeight="1" x14ac:dyDescent="0.2">
      <c r="B6696" s="236"/>
      <c r="C6696" s="236"/>
      <c r="D6696" s="236"/>
    </row>
    <row r="6697" spans="2:4" x14ac:dyDescent="0.2">
      <c r="B6697" s="236"/>
      <c r="C6697" s="236"/>
      <c r="D6697" s="236"/>
    </row>
    <row r="6698" spans="2:4" ht="12.75" customHeight="1" x14ac:dyDescent="0.2">
      <c r="B6698" s="236"/>
      <c r="C6698" s="236"/>
      <c r="D6698" s="236"/>
    </row>
    <row r="6699" spans="2:4" ht="12.75" customHeight="1" x14ac:dyDescent="0.2">
      <c r="B6699" s="236"/>
      <c r="C6699" s="236"/>
      <c r="D6699" s="236"/>
    </row>
    <row r="6700" spans="2:4" ht="12.75" customHeight="1" x14ac:dyDescent="0.2">
      <c r="B6700" s="236"/>
      <c r="C6700" s="236"/>
      <c r="D6700" s="236"/>
    </row>
    <row r="6701" spans="2:4" ht="12.75" customHeight="1" x14ac:dyDescent="0.2">
      <c r="B6701" s="236"/>
      <c r="C6701" s="236"/>
      <c r="D6701" s="236"/>
    </row>
    <row r="6702" spans="2:4" ht="12.75" customHeight="1" x14ac:dyDescent="0.2">
      <c r="B6702" s="236"/>
      <c r="C6702" s="236"/>
      <c r="D6702" s="236"/>
    </row>
    <row r="6703" spans="2:4" ht="12.75" customHeight="1" x14ac:dyDescent="0.2">
      <c r="B6703" s="236"/>
      <c r="C6703" s="236"/>
      <c r="D6703" s="236"/>
    </row>
    <row r="6704" spans="2:4" ht="12.75" customHeight="1" x14ac:dyDescent="0.2">
      <c r="B6704" s="236"/>
      <c r="C6704" s="236"/>
      <c r="D6704" s="236"/>
    </row>
    <row r="6705" spans="2:4" x14ac:dyDescent="0.2">
      <c r="B6705" s="236"/>
      <c r="C6705" s="236"/>
      <c r="D6705" s="236"/>
    </row>
    <row r="6706" spans="2:4" ht="12.75" customHeight="1" x14ac:dyDescent="0.2">
      <c r="B6706" s="236"/>
      <c r="C6706" s="236"/>
      <c r="D6706" s="236"/>
    </row>
    <row r="6707" spans="2:4" x14ac:dyDescent="0.2">
      <c r="B6707" s="236"/>
      <c r="C6707" s="236"/>
      <c r="D6707" s="236"/>
    </row>
    <row r="6708" spans="2:4" ht="12.75" customHeight="1" x14ac:dyDescent="0.2">
      <c r="B6708" s="236"/>
      <c r="C6708" s="236"/>
      <c r="D6708" s="236"/>
    </row>
    <row r="6709" spans="2:4" x14ac:dyDescent="0.2">
      <c r="B6709" s="236"/>
      <c r="C6709" s="236"/>
      <c r="D6709" s="236"/>
    </row>
    <row r="6710" spans="2:4" ht="12.75" customHeight="1" x14ac:dyDescent="0.2">
      <c r="B6710" s="236"/>
      <c r="C6710" s="236"/>
      <c r="D6710" s="236"/>
    </row>
    <row r="6711" spans="2:4" ht="12.75" customHeight="1" x14ac:dyDescent="0.2">
      <c r="B6711" s="236"/>
      <c r="C6711" s="236"/>
      <c r="D6711" s="236"/>
    </row>
    <row r="6712" spans="2:4" x14ac:dyDescent="0.2">
      <c r="B6712" s="236"/>
      <c r="C6712" s="236"/>
      <c r="D6712" s="236"/>
    </row>
    <row r="6713" spans="2:4" ht="12.75" customHeight="1" x14ac:dyDescent="0.2">
      <c r="B6713" s="236"/>
      <c r="C6713" s="236"/>
      <c r="D6713" s="236"/>
    </row>
    <row r="6714" spans="2:4" x14ac:dyDescent="0.2">
      <c r="B6714" s="236"/>
      <c r="C6714" s="236"/>
      <c r="D6714" s="236"/>
    </row>
    <row r="6715" spans="2:4" ht="12.75" customHeight="1" x14ac:dyDescent="0.2">
      <c r="B6715" s="236"/>
      <c r="C6715" s="236"/>
      <c r="D6715" s="236"/>
    </row>
    <row r="6716" spans="2:4" ht="12.75" customHeight="1" x14ac:dyDescent="0.2">
      <c r="B6716" s="236"/>
      <c r="C6716" s="236"/>
      <c r="D6716" s="236"/>
    </row>
    <row r="6717" spans="2:4" x14ac:dyDescent="0.2">
      <c r="B6717" s="236"/>
      <c r="C6717" s="236"/>
      <c r="D6717" s="236"/>
    </row>
    <row r="6718" spans="2:4" ht="12.75" customHeight="1" x14ac:dyDescent="0.2">
      <c r="B6718" s="236"/>
      <c r="C6718" s="236"/>
      <c r="D6718" s="236"/>
    </row>
    <row r="6719" spans="2:4" x14ac:dyDescent="0.2">
      <c r="B6719" s="236"/>
      <c r="C6719" s="236"/>
      <c r="D6719" s="236"/>
    </row>
    <row r="6720" spans="2:4" ht="12.75" customHeight="1" x14ac:dyDescent="0.2">
      <c r="B6720" s="236"/>
      <c r="C6720" s="236"/>
      <c r="D6720" s="236"/>
    </row>
    <row r="6721" spans="2:4" ht="12.75" customHeight="1" x14ac:dyDescent="0.2">
      <c r="B6721" s="236"/>
      <c r="C6721" s="236"/>
      <c r="D6721" s="236"/>
    </row>
    <row r="6722" spans="2:4" ht="12.75" customHeight="1" x14ac:dyDescent="0.2">
      <c r="B6722" s="236"/>
      <c r="C6722" s="236"/>
      <c r="D6722" s="236"/>
    </row>
    <row r="6723" spans="2:4" ht="12.75" customHeight="1" x14ac:dyDescent="0.2">
      <c r="B6723" s="236"/>
      <c r="C6723" s="236"/>
      <c r="D6723" s="236"/>
    </row>
    <row r="6724" spans="2:4" ht="12.75" customHeight="1" x14ac:dyDescent="0.2">
      <c r="B6724" s="236"/>
      <c r="C6724" s="236"/>
      <c r="D6724" s="236"/>
    </row>
    <row r="6725" spans="2:4" ht="12.75" customHeight="1" x14ac:dyDescent="0.2">
      <c r="B6725" s="236"/>
      <c r="C6725" s="236"/>
      <c r="D6725" s="236"/>
    </row>
    <row r="6726" spans="2:4" ht="12.75" customHeight="1" x14ac:dyDescent="0.2">
      <c r="B6726" s="236"/>
      <c r="C6726" s="236"/>
      <c r="D6726" s="236"/>
    </row>
    <row r="6727" spans="2:4" x14ac:dyDescent="0.2">
      <c r="B6727" s="236"/>
      <c r="C6727" s="236"/>
      <c r="D6727" s="236"/>
    </row>
    <row r="6728" spans="2:4" ht="12.75" customHeight="1" x14ac:dyDescent="0.2">
      <c r="B6728" s="236"/>
      <c r="C6728" s="236"/>
      <c r="D6728" s="236"/>
    </row>
    <row r="6729" spans="2:4" ht="12.75" customHeight="1" x14ac:dyDescent="0.2">
      <c r="B6729" s="236"/>
      <c r="C6729" s="236"/>
      <c r="D6729" s="236"/>
    </row>
    <row r="6730" spans="2:4" x14ac:dyDescent="0.2">
      <c r="B6730" s="236"/>
      <c r="C6730" s="236"/>
      <c r="D6730" s="236"/>
    </row>
    <row r="6731" spans="2:4" ht="12.75" customHeight="1" x14ac:dyDescent="0.2">
      <c r="B6731" s="236"/>
      <c r="C6731" s="236"/>
      <c r="D6731" s="236"/>
    </row>
    <row r="6732" spans="2:4" x14ac:dyDescent="0.2">
      <c r="B6732" s="236"/>
      <c r="C6732" s="236"/>
      <c r="D6732" s="236"/>
    </row>
    <row r="6733" spans="2:4" ht="12.75" customHeight="1" x14ac:dyDescent="0.2">
      <c r="B6733" s="236"/>
      <c r="C6733" s="236"/>
      <c r="D6733" s="236"/>
    </row>
    <row r="6734" spans="2:4" x14ac:dyDescent="0.2">
      <c r="B6734" s="236"/>
      <c r="C6734" s="236"/>
      <c r="D6734" s="236"/>
    </row>
    <row r="6735" spans="2:4" ht="12.75" customHeight="1" x14ac:dyDescent="0.2">
      <c r="B6735" s="236"/>
      <c r="C6735" s="236"/>
      <c r="D6735" s="236"/>
    </row>
    <row r="6736" spans="2:4" x14ac:dyDescent="0.2">
      <c r="B6736" s="236"/>
      <c r="C6736" s="236"/>
      <c r="D6736" s="236"/>
    </row>
    <row r="6737" spans="2:4" ht="12.75" customHeight="1" x14ac:dyDescent="0.2">
      <c r="B6737" s="236"/>
      <c r="C6737" s="236"/>
      <c r="D6737" s="236"/>
    </row>
    <row r="6738" spans="2:4" ht="12.75" customHeight="1" x14ac:dyDescent="0.2">
      <c r="B6738" s="236"/>
      <c r="C6738" s="236"/>
      <c r="D6738" s="236"/>
    </row>
    <row r="6739" spans="2:4" ht="12.75" customHeight="1" x14ac:dyDescent="0.2">
      <c r="B6739" s="236"/>
      <c r="C6739" s="236"/>
      <c r="D6739" s="236"/>
    </row>
    <row r="6740" spans="2:4" ht="12.75" customHeight="1" x14ac:dyDescent="0.2">
      <c r="B6740" s="236"/>
      <c r="C6740" s="236"/>
      <c r="D6740" s="236"/>
    </row>
    <row r="6741" spans="2:4" x14ac:dyDescent="0.2">
      <c r="B6741" s="236"/>
      <c r="C6741" s="236"/>
      <c r="D6741" s="236"/>
    </row>
    <row r="6742" spans="2:4" ht="12.75" customHeight="1" x14ac:dyDescent="0.2">
      <c r="B6742" s="236"/>
      <c r="C6742" s="236"/>
      <c r="D6742" s="236"/>
    </row>
    <row r="6743" spans="2:4" ht="12.75" customHeight="1" x14ac:dyDescent="0.2">
      <c r="B6743" s="236"/>
      <c r="C6743" s="236"/>
      <c r="D6743" s="236"/>
    </row>
    <row r="6744" spans="2:4" ht="12.75" customHeight="1" x14ac:dyDescent="0.2">
      <c r="B6744" s="236"/>
      <c r="C6744" s="236"/>
      <c r="D6744" s="236"/>
    </row>
    <row r="6745" spans="2:4" x14ac:dyDescent="0.2">
      <c r="B6745" s="236"/>
      <c r="C6745" s="236"/>
      <c r="D6745" s="236"/>
    </row>
    <row r="6746" spans="2:4" ht="12.75" customHeight="1" x14ac:dyDescent="0.2">
      <c r="B6746" s="236"/>
      <c r="C6746" s="236"/>
      <c r="D6746" s="236"/>
    </row>
    <row r="6747" spans="2:4" ht="12.75" customHeight="1" x14ac:dyDescent="0.2">
      <c r="B6747" s="236"/>
      <c r="C6747" s="236"/>
      <c r="D6747" s="236"/>
    </row>
    <row r="6748" spans="2:4" ht="12.75" customHeight="1" x14ac:dyDescent="0.2">
      <c r="B6748" s="236"/>
      <c r="C6748" s="236"/>
      <c r="D6748" s="236"/>
    </row>
    <row r="6749" spans="2:4" ht="12.75" customHeight="1" x14ac:dyDescent="0.2">
      <c r="B6749" s="236"/>
      <c r="C6749" s="236"/>
      <c r="D6749" s="236"/>
    </row>
    <row r="6750" spans="2:4" x14ac:dyDescent="0.2">
      <c r="B6750" s="236"/>
      <c r="C6750" s="236"/>
      <c r="D6750" s="236"/>
    </row>
    <row r="6751" spans="2:4" ht="12.75" customHeight="1" x14ac:dyDescent="0.2">
      <c r="B6751" s="236"/>
      <c r="C6751" s="236"/>
      <c r="D6751" s="236"/>
    </row>
    <row r="6752" spans="2:4" x14ac:dyDescent="0.2">
      <c r="B6752" s="236"/>
      <c r="C6752" s="236"/>
      <c r="D6752" s="236"/>
    </row>
    <row r="6753" spans="2:4" ht="12.75" customHeight="1" x14ac:dyDescent="0.2">
      <c r="B6753" s="236"/>
      <c r="C6753" s="236"/>
      <c r="D6753" s="236"/>
    </row>
    <row r="6754" spans="2:4" x14ac:dyDescent="0.2">
      <c r="B6754" s="236"/>
      <c r="C6754" s="236"/>
      <c r="D6754" s="236"/>
    </row>
    <row r="6755" spans="2:4" ht="12.75" customHeight="1" x14ac:dyDescent="0.2">
      <c r="B6755" s="236"/>
      <c r="C6755" s="236"/>
      <c r="D6755" s="236"/>
    </row>
    <row r="6756" spans="2:4" ht="12.75" customHeight="1" x14ac:dyDescent="0.2">
      <c r="B6756" s="236"/>
      <c r="C6756" s="236"/>
      <c r="D6756" s="236"/>
    </row>
    <row r="6757" spans="2:4" ht="12.75" customHeight="1" x14ac:dyDescent="0.2">
      <c r="B6757" s="236"/>
      <c r="C6757" s="236"/>
      <c r="D6757" s="236"/>
    </row>
    <row r="6758" spans="2:4" x14ac:dyDescent="0.2">
      <c r="B6758" s="236"/>
      <c r="C6758" s="236"/>
      <c r="D6758" s="236"/>
    </row>
    <row r="6759" spans="2:4" ht="12.75" customHeight="1" x14ac:dyDescent="0.2">
      <c r="B6759" s="236"/>
      <c r="C6759" s="236"/>
      <c r="D6759" s="236"/>
    </row>
    <row r="6760" spans="2:4" ht="12.75" customHeight="1" x14ac:dyDescent="0.2">
      <c r="B6760" s="236"/>
      <c r="C6760" s="236"/>
      <c r="D6760" s="236"/>
    </row>
    <row r="6761" spans="2:4" x14ac:dyDescent="0.2">
      <c r="B6761" s="236"/>
      <c r="C6761" s="236"/>
      <c r="D6761" s="236"/>
    </row>
    <row r="6762" spans="2:4" ht="12.75" customHeight="1" x14ac:dyDescent="0.2">
      <c r="B6762" s="236"/>
      <c r="C6762" s="236"/>
      <c r="D6762" s="236"/>
    </row>
    <row r="6763" spans="2:4" ht="12.75" customHeight="1" x14ac:dyDescent="0.2">
      <c r="B6763" s="236"/>
      <c r="C6763" s="236"/>
      <c r="D6763" s="236"/>
    </row>
    <row r="6764" spans="2:4" x14ac:dyDescent="0.2">
      <c r="B6764" s="236"/>
      <c r="C6764" s="236"/>
      <c r="D6764" s="236"/>
    </row>
    <row r="6765" spans="2:4" ht="12.75" customHeight="1" x14ac:dyDescent="0.2">
      <c r="B6765" s="236"/>
      <c r="C6765" s="236"/>
      <c r="D6765" s="236"/>
    </row>
    <row r="6766" spans="2:4" x14ac:dyDescent="0.2">
      <c r="B6766" s="236"/>
      <c r="C6766" s="236"/>
      <c r="D6766" s="236"/>
    </row>
    <row r="6767" spans="2:4" ht="12.75" customHeight="1" x14ac:dyDescent="0.2">
      <c r="B6767" s="236"/>
      <c r="C6767" s="236"/>
      <c r="D6767" s="236"/>
    </row>
    <row r="6768" spans="2:4" ht="12.75" customHeight="1" x14ac:dyDescent="0.2">
      <c r="B6768" s="236"/>
      <c r="C6768" s="236"/>
      <c r="D6768" s="236"/>
    </row>
    <row r="6769" spans="2:4" x14ac:dyDescent="0.2">
      <c r="B6769" s="236"/>
      <c r="C6769" s="236"/>
      <c r="D6769" s="236"/>
    </row>
    <row r="6770" spans="2:4" ht="12.75" customHeight="1" x14ac:dyDescent="0.2">
      <c r="B6770" s="236"/>
      <c r="C6770" s="236"/>
      <c r="D6770" s="236"/>
    </row>
    <row r="6771" spans="2:4" ht="12.75" customHeight="1" x14ac:dyDescent="0.2">
      <c r="B6771" s="236"/>
      <c r="C6771" s="236"/>
      <c r="D6771" s="236"/>
    </row>
    <row r="6772" spans="2:4" ht="12.75" customHeight="1" x14ac:dyDescent="0.2">
      <c r="B6772" s="236"/>
      <c r="C6772" s="236"/>
      <c r="D6772" s="236"/>
    </row>
    <row r="6773" spans="2:4" x14ac:dyDescent="0.2">
      <c r="B6773" s="236"/>
      <c r="C6773" s="236"/>
      <c r="D6773" s="236"/>
    </row>
    <row r="6774" spans="2:4" ht="12.75" customHeight="1" x14ac:dyDescent="0.2">
      <c r="B6774" s="236"/>
      <c r="C6774" s="236"/>
      <c r="D6774" s="236"/>
    </row>
    <row r="6775" spans="2:4" x14ac:dyDescent="0.2">
      <c r="B6775" s="236"/>
      <c r="C6775" s="236"/>
      <c r="D6775" s="236"/>
    </row>
    <row r="6776" spans="2:4" ht="12.75" customHeight="1" x14ac:dyDescent="0.2">
      <c r="B6776" s="236"/>
      <c r="C6776" s="236"/>
      <c r="D6776" s="236"/>
    </row>
    <row r="6777" spans="2:4" ht="12.75" customHeight="1" x14ac:dyDescent="0.2">
      <c r="B6777" s="236"/>
      <c r="C6777" s="236"/>
      <c r="D6777" s="236"/>
    </row>
    <row r="6778" spans="2:4" ht="12.75" customHeight="1" x14ac:dyDescent="0.2">
      <c r="B6778" s="236"/>
      <c r="C6778" s="236"/>
      <c r="D6778" s="236"/>
    </row>
    <row r="6779" spans="2:4" ht="12.75" customHeight="1" x14ac:dyDescent="0.2">
      <c r="B6779" s="236"/>
      <c r="C6779" s="236"/>
      <c r="D6779" s="236"/>
    </row>
    <row r="6780" spans="2:4" ht="12.75" customHeight="1" x14ac:dyDescent="0.2">
      <c r="B6780" s="236"/>
      <c r="C6780" s="236"/>
      <c r="D6780" s="236"/>
    </row>
    <row r="6781" spans="2:4" x14ac:dyDescent="0.2">
      <c r="B6781" s="236"/>
      <c r="C6781" s="236"/>
      <c r="D6781" s="236"/>
    </row>
    <row r="6782" spans="2:4" ht="12.75" customHeight="1" x14ac:dyDescent="0.2">
      <c r="B6782" s="236"/>
      <c r="C6782" s="236"/>
      <c r="D6782" s="236"/>
    </row>
    <row r="6783" spans="2:4" ht="12.75" customHeight="1" x14ac:dyDescent="0.2">
      <c r="B6783" s="236"/>
      <c r="C6783" s="236"/>
      <c r="D6783" s="236"/>
    </row>
    <row r="6784" spans="2:4" x14ac:dyDescent="0.2">
      <c r="B6784" s="236"/>
      <c r="C6784" s="236"/>
      <c r="D6784" s="236"/>
    </row>
    <row r="6785" spans="2:4" ht="12.75" customHeight="1" x14ac:dyDescent="0.2">
      <c r="B6785" s="236"/>
      <c r="C6785" s="236"/>
      <c r="D6785" s="236"/>
    </row>
    <row r="6786" spans="2:4" ht="12.75" customHeight="1" x14ac:dyDescent="0.2">
      <c r="B6786" s="236"/>
      <c r="C6786" s="236"/>
      <c r="D6786" s="236"/>
    </row>
    <row r="6787" spans="2:4" ht="12.75" customHeight="1" x14ac:dyDescent="0.2">
      <c r="B6787" s="236"/>
      <c r="C6787" s="236"/>
      <c r="D6787" s="236"/>
    </row>
    <row r="6788" spans="2:4" ht="12.75" customHeight="1" x14ac:dyDescent="0.2">
      <c r="B6788" s="236"/>
      <c r="C6788" s="236"/>
      <c r="D6788" s="236"/>
    </row>
    <row r="6789" spans="2:4" x14ac:dyDescent="0.2">
      <c r="B6789" s="236"/>
      <c r="C6789" s="236"/>
      <c r="D6789" s="236"/>
    </row>
    <row r="6790" spans="2:4" ht="12.75" customHeight="1" x14ac:dyDescent="0.2">
      <c r="B6790" s="236"/>
      <c r="C6790" s="236"/>
      <c r="D6790" s="236"/>
    </row>
    <row r="6791" spans="2:4" x14ac:dyDescent="0.2">
      <c r="B6791" s="236"/>
      <c r="C6791" s="236"/>
      <c r="D6791" s="236"/>
    </row>
    <row r="6792" spans="2:4" ht="12.75" customHeight="1" x14ac:dyDescent="0.2">
      <c r="B6792" s="236"/>
      <c r="C6792" s="236"/>
      <c r="D6792" s="236"/>
    </row>
    <row r="6793" spans="2:4" ht="12.75" customHeight="1" x14ac:dyDescent="0.2">
      <c r="B6793" s="236"/>
      <c r="C6793" s="236"/>
      <c r="D6793" s="236"/>
    </row>
    <row r="6794" spans="2:4" ht="12.75" customHeight="1" x14ac:dyDescent="0.2">
      <c r="B6794" s="236"/>
      <c r="C6794" s="236"/>
      <c r="D6794" s="236"/>
    </row>
    <row r="6795" spans="2:4" ht="12.75" customHeight="1" x14ac:dyDescent="0.2">
      <c r="B6795" s="236"/>
      <c r="C6795" s="236"/>
      <c r="D6795" s="236"/>
    </row>
    <row r="6796" spans="2:4" ht="12.75" customHeight="1" x14ac:dyDescent="0.2">
      <c r="B6796" s="236"/>
      <c r="C6796" s="236"/>
      <c r="D6796" s="236"/>
    </row>
    <row r="6797" spans="2:4" ht="12.75" customHeight="1" x14ac:dyDescent="0.2">
      <c r="B6797" s="236"/>
      <c r="C6797" s="236"/>
      <c r="D6797" s="236"/>
    </row>
    <row r="6798" spans="2:4" ht="12.75" customHeight="1" x14ac:dyDescent="0.2">
      <c r="B6798" s="236"/>
      <c r="C6798" s="236"/>
      <c r="D6798" s="236"/>
    </row>
    <row r="6799" spans="2:4" ht="12.75" customHeight="1" x14ac:dyDescent="0.2">
      <c r="B6799" s="236"/>
      <c r="C6799" s="236"/>
      <c r="D6799" s="236"/>
    </row>
    <row r="6800" spans="2:4" x14ac:dyDescent="0.2">
      <c r="B6800" s="236"/>
      <c r="C6800" s="236"/>
      <c r="D6800" s="236"/>
    </row>
    <row r="6801" spans="2:4" ht="12.75" customHeight="1" x14ac:dyDescent="0.2">
      <c r="B6801" s="236"/>
      <c r="C6801" s="236"/>
      <c r="D6801" s="236"/>
    </row>
    <row r="6802" spans="2:4" x14ac:dyDescent="0.2">
      <c r="B6802" s="236"/>
      <c r="C6802" s="236"/>
      <c r="D6802" s="236"/>
    </row>
    <row r="6803" spans="2:4" ht="12.75" customHeight="1" x14ac:dyDescent="0.2">
      <c r="B6803" s="236"/>
      <c r="C6803" s="236"/>
      <c r="D6803" s="236"/>
    </row>
    <row r="6804" spans="2:4" ht="12.75" customHeight="1" x14ac:dyDescent="0.2">
      <c r="B6804" s="236"/>
      <c r="C6804" s="236"/>
      <c r="D6804" s="236"/>
    </row>
    <row r="6805" spans="2:4" ht="12.75" customHeight="1" x14ac:dyDescent="0.2">
      <c r="B6805" s="236"/>
      <c r="C6805" s="236"/>
      <c r="D6805" s="236"/>
    </row>
    <row r="6806" spans="2:4" ht="12.75" customHeight="1" x14ac:dyDescent="0.2">
      <c r="B6806" s="236"/>
      <c r="C6806" s="236"/>
      <c r="D6806" s="236"/>
    </row>
    <row r="6807" spans="2:4" x14ac:dyDescent="0.2">
      <c r="B6807" s="236"/>
      <c r="C6807" s="236"/>
      <c r="D6807" s="236"/>
    </row>
    <row r="6808" spans="2:4" ht="12.75" customHeight="1" x14ac:dyDescent="0.2">
      <c r="B6808" s="236"/>
      <c r="C6808" s="236"/>
      <c r="D6808" s="236"/>
    </row>
    <row r="6809" spans="2:4" x14ac:dyDescent="0.2">
      <c r="B6809" s="236"/>
      <c r="C6809" s="236"/>
      <c r="D6809" s="236"/>
    </row>
    <row r="6810" spans="2:4" ht="12.75" customHeight="1" x14ac:dyDescent="0.2">
      <c r="B6810" s="236"/>
      <c r="C6810" s="236"/>
      <c r="D6810" s="236"/>
    </row>
    <row r="6811" spans="2:4" ht="12.75" customHeight="1" x14ac:dyDescent="0.2">
      <c r="B6811" s="236"/>
      <c r="C6811" s="236"/>
      <c r="D6811" s="236"/>
    </row>
    <row r="6812" spans="2:4" ht="12.75" customHeight="1" x14ac:dyDescent="0.2">
      <c r="B6812" s="236"/>
      <c r="C6812" s="236"/>
      <c r="D6812" s="236"/>
    </row>
    <row r="6813" spans="2:4" ht="12.75" customHeight="1" x14ac:dyDescent="0.2">
      <c r="B6813" s="236"/>
      <c r="C6813" s="236"/>
      <c r="D6813" s="236"/>
    </row>
    <row r="6814" spans="2:4" ht="12.75" customHeight="1" x14ac:dyDescent="0.2">
      <c r="B6814" s="236"/>
      <c r="C6814" s="236"/>
      <c r="D6814" s="236"/>
    </row>
    <row r="6815" spans="2:4" ht="12.75" customHeight="1" x14ac:dyDescent="0.2">
      <c r="B6815" s="236"/>
      <c r="C6815" s="236"/>
      <c r="D6815" s="236"/>
    </row>
    <row r="6816" spans="2:4" x14ac:dyDescent="0.2">
      <c r="B6816" s="236"/>
      <c r="C6816" s="236"/>
      <c r="D6816" s="236"/>
    </row>
    <row r="6817" spans="2:4" ht="12.75" customHeight="1" x14ac:dyDescent="0.2">
      <c r="B6817" s="236"/>
      <c r="C6817" s="236"/>
      <c r="D6817" s="236"/>
    </row>
    <row r="6818" spans="2:4" ht="12.75" customHeight="1" x14ac:dyDescent="0.2">
      <c r="B6818" s="236"/>
      <c r="C6818" s="236"/>
      <c r="D6818" s="236"/>
    </row>
    <row r="6819" spans="2:4" ht="12.75" customHeight="1" x14ac:dyDescent="0.2">
      <c r="B6819" s="236"/>
      <c r="C6819" s="236"/>
      <c r="D6819" s="236"/>
    </row>
    <row r="6820" spans="2:4" ht="12.75" customHeight="1" x14ac:dyDescent="0.2">
      <c r="B6820" s="236"/>
      <c r="C6820" s="236"/>
      <c r="D6820" s="236"/>
    </row>
    <row r="6821" spans="2:4" ht="12.75" customHeight="1" x14ac:dyDescent="0.2">
      <c r="B6821" s="236"/>
      <c r="C6821" s="236"/>
      <c r="D6821" s="236"/>
    </row>
    <row r="6822" spans="2:4" ht="12.75" customHeight="1" x14ac:dyDescent="0.2">
      <c r="B6822" s="236"/>
      <c r="C6822" s="236"/>
      <c r="D6822" s="236"/>
    </row>
    <row r="6823" spans="2:4" x14ac:dyDescent="0.2">
      <c r="B6823" s="236"/>
      <c r="C6823" s="236"/>
      <c r="D6823" s="236"/>
    </row>
    <row r="6824" spans="2:4" ht="12.75" customHeight="1" x14ac:dyDescent="0.2">
      <c r="B6824" s="236"/>
      <c r="C6824" s="236"/>
      <c r="D6824" s="236"/>
    </row>
    <row r="6825" spans="2:4" x14ac:dyDescent="0.2">
      <c r="B6825" s="236"/>
      <c r="C6825" s="236"/>
      <c r="D6825" s="236"/>
    </row>
    <row r="6826" spans="2:4" ht="12.75" customHeight="1" x14ac:dyDescent="0.2">
      <c r="B6826" s="236"/>
      <c r="C6826" s="236"/>
      <c r="D6826" s="236"/>
    </row>
    <row r="6827" spans="2:4" ht="12.75" customHeight="1" x14ac:dyDescent="0.2">
      <c r="B6827" s="236"/>
      <c r="C6827" s="236"/>
      <c r="D6827" s="236"/>
    </row>
    <row r="6828" spans="2:4" ht="12.75" customHeight="1" x14ac:dyDescent="0.2">
      <c r="B6828" s="236"/>
      <c r="C6828" s="236"/>
      <c r="D6828" s="236"/>
    </row>
    <row r="6829" spans="2:4" ht="12.75" customHeight="1" x14ac:dyDescent="0.2">
      <c r="B6829" s="236"/>
      <c r="C6829" s="236"/>
      <c r="D6829" s="236"/>
    </row>
    <row r="6830" spans="2:4" x14ac:dyDescent="0.2">
      <c r="B6830" s="236"/>
      <c r="C6830" s="236"/>
      <c r="D6830" s="236"/>
    </row>
    <row r="6831" spans="2:4" ht="12.75" customHeight="1" x14ac:dyDescent="0.2">
      <c r="B6831" s="236"/>
      <c r="C6831" s="236"/>
      <c r="D6831" s="236"/>
    </row>
    <row r="6832" spans="2:4" ht="12.75" customHeight="1" x14ac:dyDescent="0.2">
      <c r="B6832" s="236"/>
      <c r="C6832" s="236"/>
      <c r="D6832" s="236"/>
    </row>
    <row r="6833" spans="2:4" ht="12.75" customHeight="1" x14ac:dyDescent="0.2">
      <c r="B6833" s="236"/>
      <c r="C6833" s="236"/>
      <c r="D6833" s="236"/>
    </row>
    <row r="6834" spans="2:4" ht="12.75" customHeight="1" x14ac:dyDescent="0.2">
      <c r="B6834" s="236"/>
      <c r="C6834" s="236"/>
      <c r="D6834" s="236"/>
    </row>
    <row r="6835" spans="2:4" ht="12.75" customHeight="1" x14ac:dyDescent="0.2">
      <c r="B6835" s="236"/>
      <c r="C6835" s="236"/>
      <c r="D6835" s="236"/>
    </row>
    <row r="6836" spans="2:4" ht="12.75" customHeight="1" x14ac:dyDescent="0.2">
      <c r="B6836" s="236"/>
      <c r="C6836" s="236"/>
      <c r="D6836" s="236"/>
    </row>
    <row r="6837" spans="2:4" ht="12.75" customHeight="1" x14ac:dyDescent="0.2">
      <c r="B6837" s="236"/>
      <c r="C6837" s="236"/>
      <c r="D6837" s="236"/>
    </row>
    <row r="6838" spans="2:4" ht="12.75" customHeight="1" x14ac:dyDescent="0.2">
      <c r="B6838" s="236"/>
      <c r="C6838" s="236"/>
      <c r="D6838" s="236"/>
    </row>
    <row r="6839" spans="2:4" ht="12.75" customHeight="1" x14ac:dyDescent="0.2">
      <c r="B6839" s="236"/>
      <c r="C6839" s="236"/>
      <c r="D6839" s="236"/>
    </row>
    <row r="6840" spans="2:4" ht="12.75" customHeight="1" x14ac:dyDescent="0.2">
      <c r="B6840" s="236"/>
      <c r="C6840" s="236"/>
      <c r="D6840" s="236"/>
    </row>
    <row r="6841" spans="2:4" x14ac:dyDescent="0.2">
      <c r="B6841" s="236"/>
      <c r="C6841" s="236"/>
      <c r="D6841" s="236"/>
    </row>
    <row r="6842" spans="2:4" ht="12.75" customHeight="1" x14ac:dyDescent="0.2">
      <c r="B6842" s="236"/>
      <c r="C6842" s="236"/>
      <c r="D6842" s="236"/>
    </row>
    <row r="6843" spans="2:4" ht="12.75" customHeight="1" x14ac:dyDescent="0.2">
      <c r="B6843" s="236"/>
      <c r="C6843" s="236"/>
      <c r="D6843" s="236"/>
    </row>
    <row r="6844" spans="2:4" x14ac:dyDescent="0.2">
      <c r="B6844" s="236"/>
      <c r="C6844" s="236"/>
      <c r="D6844" s="236"/>
    </row>
    <row r="6845" spans="2:4" ht="12.75" customHeight="1" x14ac:dyDescent="0.2">
      <c r="B6845" s="236"/>
      <c r="C6845" s="236"/>
      <c r="D6845" s="236"/>
    </row>
    <row r="6846" spans="2:4" x14ac:dyDescent="0.2">
      <c r="B6846" s="236"/>
      <c r="C6846" s="236"/>
      <c r="D6846" s="236"/>
    </row>
    <row r="6847" spans="2:4" ht="12.75" customHeight="1" x14ac:dyDescent="0.2">
      <c r="B6847" s="236"/>
      <c r="C6847" s="236"/>
      <c r="D6847" s="236"/>
    </row>
    <row r="6848" spans="2:4" x14ac:dyDescent="0.2">
      <c r="B6848" s="236"/>
      <c r="C6848" s="236"/>
      <c r="D6848" s="236"/>
    </row>
    <row r="6849" spans="2:4" ht="12.75" customHeight="1" x14ac:dyDescent="0.2">
      <c r="B6849" s="236"/>
      <c r="C6849" s="236"/>
      <c r="D6849" s="236"/>
    </row>
    <row r="6850" spans="2:4" ht="12.75" customHeight="1" x14ac:dyDescent="0.2">
      <c r="B6850" s="236"/>
      <c r="C6850" s="236"/>
      <c r="D6850" s="236"/>
    </row>
    <row r="6851" spans="2:4" ht="12.75" customHeight="1" x14ac:dyDescent="0.2">
      <c r="B6851" s="236"/>
      <c r="C6851" s="236"/>
      <c r="D6851" s="236"/>
    </row>
    <row r="6852" spans="2:4" x14ac:dyDescent="0.2">
      <c r="B6852" s="236"/>
      <c r="C6852" s="236"/>
      <c r="D6852" s="236"/>
    </row>
    <row r="6853" spans="2:4" ht="12.75" customHeight="1" x14ac:dyDescent="0.2">
      <c r="B6853" s="236"/>
      <c r="C6853" s="236"/>
      <c r="D6853" s="236"/>
    </row>
    <row r="6854" spans="2:4" x14ac:dyDescent="0.2">
      <c r="B6854" s="236"/>
      <c r="C6854" s="236"/>
      <c r="D6854" s="236"/>
    </row>
    <row r="6855" spans="2:4" ht="12.75" customHeight="1" x14ac:dyDescent="0.2">
      <c r="B6855" s="236"/>
      <c r="C6855" s="236"/>
      <c r="D6855" s="236"/>
    </row>
    <row r="6856" spans="2:4" ht="12.75" customHeight="1" x14ac:dyDescent="0.2">
      <c r="B6856" s="236"/>
      <c r="C6856" s="236"/>
      <c r="D6856" s="236"/>
    </row>
    <row r="6857" spans="2:4" ht="12.75" customHeight="1" x14ac:dyDescent="0.2">
      <c r="B6857" s="236"/>
      <c r="C6857" s="236"/>
      <c r="D6857" s="236"/>
    </row>
    <row r="6858" spans="2:4" ht="12.75" customHeight="1" x14ac:dyDescent="0.2">
      <c r="B6858" s="236"/>
      <c r="C6858" s="236"/>
      <c r="D6858" s="236"/>
    </row>
    <row r="6859" spans="2:4" ht="12.75" customHeight="1" x14ac:dyDescent="0.2">
      <c r="B6859" s="236"/>
      <c r="C6859" s="236"/>
      <c r="D6859" s="236"/>
    </row>
    <row r="6860" spans="2:4" x14ac:dyDescent="0.2">
      <c r="B6860" s="236"/>
      <c r="C6860" s="236"/>
      <c r="D6860" s="236"/>
    </row>
    <row r="6861" spans="2:4" ht="12.75" customHeight="1" x14ac:dyDescent="0.2">
      <c r="B6861" s="236"/>
      <c r="C6861" s="236"/>
      <c r="D6861" s="236"/>
    </row>
    <row r="6862" spans="2:4" x14ac:dyDescent="0.2">
      <c r="B6862" s="236"/>
      <c r="C6862" s="236"/>
      <c r="D6862" s="236"/>
    </row>
    <row r="6863" spans="2:4" ht="12.75" customHeight="1" x14ac:dyDescent="0.2">
      <c r="B6863" s="236"/>
      <c r="C6863" s="236"/>
      <c r="D6863" s="236"/>
    </row>
    <row r="6864" spans="2:4" ht="12.75" customHeight="1" x14ac:dyDescent="0.2">
      <c r="B6864" s="236"/>
      <c r="C6864" s="236"/>
      <c r="D6864" s="236"/>
    </row>
    <row r="6865" spans="2:4" ht="12.75" customHeight="1" x14ac:dyDescent="0.2">
      <c r="B6865" s="236"/>
      <c r="C6865" s="236"/>
      <c r="D6865" s="236"/>
    </row>
    <row r="6866" spans="2:4" x14ac:dyDescent="0.2">
      <c r="B6866" s="236"/>
      <c r="C6866" s="236"/>
      <c r="D6866" s="236"/>
    </row>
    <row r="6867" spans="2:4" ht="12.75" customHeight="1" x14ac:dyDescent="0.2">
      <c r="B6867" s="236"/>
      <c r="C6867" s="236"/>
      <c r="D6867" s="236"/>
    </row>
    <row r="6868" spans="2:4" ht="12.75" customHeight="1" x14ac:dyDescent="0.2">
      <c r="B6868" s="236"/>
      <c r="C6868" s="236"/>
      <c r="D6868" s="236"/>
    </row>
    <row r="6869" spans="2:4" ht="12.75" customHeight="1" x14ac:dyDescent="0.2">
      <c r="B6869" s="236"/>
      <c r="C6869" s="236"/>
      <c r="D6869" s="236"/>
    </row>
    <row r="6870" spans="2:4" ht="12.75" customHeight="1" x14ac:dyDescent="0.2">
      <c r="B6870" s="236"/>
      <c r="C6870" s="236"/>
      <c r="D6870" s="236"/>
    </row>
    <row r="6871" spans="2:4" ht="12.75" customHeight="1" x14ac:dyDescent="0.2">
      <c r="B6871" s="236"/>
      <c r="C6871" s="236"/>
      <c r="D6871" s="236"/>
    </row>
    <row r="6872" spans="2:4" ht="12.75" customHeight="1" x14ac:dyDescent="0.2">
      <c r="B6872" s="236"/>
      <c r="C6872" s="236"/>
      <c r="D6872" s="236"/>
    </row>
    <row r="6873" spans="2:4" ht="12.75" customHeight="1" x14ac:dyDescent="0.2">
      <c r="B6873" s="236"/>
      <c r="C6873" s="236"/>
      <c r="D6873" s="236"/>
    </row>
    <row r="6874" spans="2:4" x14ac:dyDescent="0.2">
      <c r="B6874" s="236"/>
      <c r="C6874" s="236"/>
      <c r="D6874" s="236"/>
    </row>
    <row r="6875" spans="2:4" ht="12.75" customHeight="1" x14ac:dyDescent="0.2">
      <c r="B6875" s="236"/>
      <c r="C6875" s="236"/>
      <c r="D6875" s="236"/>
    </row>
    <row r="6876" spans="2:4" x14ac:dyDescent="0.2">
      <c r="B6876" s="236"/>
      <c r="C6876" s="236"/>
      <c r="D6876" s="236"/>
    </row>
    <row r="6877" spans="2:4" ht="12.75" customHeight="1" x14ac:dyDescent="0.2">
      <c r="B6877" s="236"/>
      <c r="C6877" s="236"/>
      <c r="D6877" s="236"/>
    </row>
    <row r="6878" spans="2:4" ht="12.75" customHeight="1" x14ac:dyDescent="0.2">
      <c r="B6878" s="236"/>
      <c r="C6878" s="236"/>
      <c r="D6878" s="236"/>
    </row>
    <row r="6879" spans="2:4" ht="12.75" customHeight="1" x14ac:dyDescent="0.2">
      <c r="B6879" s="236"/>
      <c r="C6879" s="236"/>
      <c r="D6879" s="236"/>
    </row>
    <row r="6880" spans="2:4" ht="12.75" customHeight="1" x14ac:dyDescent="0.2">
      <c r="B6880" s="236"/>
      <c r="C6880" s="236"/>
      <c r="D6880" s="236"/>
    </row>
    <row r="6881" spans="2:4" x14ac:dyDescent="0.2">
      <c r="B6881" s="236"/>
      <c r="C6881" s="236"/>
      <c r="D6881" s="236"/>
    </row>
    <row r="6882" spans="2:4" ht="12.75" customHeight="1" x14ac:dyDescent="0.2">
      <c r="B6882" s="236"/>
      <c r="C6882" s="236"/>
      <c r="D6882" s="236"/>
    </row>
    <row r="6883" spans="2:4" x14ac:dyDescent="0.2">
      <c r="B6883" s="236"/>
      <c r="C6883" s="236"/>
      <c r="D6883" s="236"/>
    </row>
    <row r="6884" spans="2:4" ht="12.75" customHeight="1" x14ac:dyDescent="0.2">
      <c r="B6884" s="236"/>
      <c r="C6884" s="236"/>
      <c r="D6884" s="236"/>
    </row>
    <row r="6885" spans="2:4" ht="12.75" customHeight="1" x14ac:dyDescent="0.2">
      <c r="B6885" s="236"/>
      <c r="C6885" s="236"/>
      <c r="D6885" s="236"/>
    </row>
    <row r="6886" spans="2:4" ht="12.75" customHeight="1" x14ac:dyDescent="0.2">
      <c r="B6886" s="236"/>
      <c r="C6886" s="236"/>
      <c r="D6886" s="236"/>
    </row>
    <row r="6887" spans="2:4" ht="12.75" customHeight="1" x14ac:dyDescent="0.2">
      <c r="B6887" s="236"/>
      <c r="C6887" s="236"/>
      <c r="D6887" s="236"/>
    </row>
    <row r="6888" spans="2:4" x14ac:dyDescent="0.2">
      <c r="B6888" s="236"/>
      <c r="C6888" s="236"/>
      <c r="D6888" s="236"/>
    </row>
    <row r="6889" spans="2:4" ht="12.75" customHeight="1" x14ac:dyDescent="0.2">
      <c r="B6889" s="236"/>
      <c r="C6889" s="236"/>
      <c r="D6889" s="236"/>
    </row>
    <row r="6890" spans="2:4" ht="12.75" customHeight="1" x14ac:dyDescent="0.2">
      <c r="B6890" s="236"/>
      <c r="C6890" s="236"/>
      <c r="D6890" s="236"/>
    </row>
    <row r="6891" spans="2:4" ht="12.75" customHeight="1" x14ac:dyDescent="0.2">
      <c r="B6891" s="236"/>
      <c r="C6891" s="236"/>
      <c r="D6891" s="236"/>
    </row>
    <row r="6892" spans="2:4" ht="12.75" customHeight="1" x14ac:dyDescent="0.2">
      <c r="B6892" s="236"/>
      <c r="C6892" s="236"/>
      <c r="D6892" s="236"/>
    </row>
    <row r="6893" spans="2:4" ht="12.75" customHeight="1" x14ac:dyDescent="0.2">
      <c r="B6893" s="236"/>
      <c r="C6893" s="236"/>
      <c r="D6893" s="236"/>
    </row>
    <row r="6894" spans="2:4" ht="12.75" customHeight="1" x14ac:dyDescent="0.2">
      <c r="B6894" s="236"/>
      <c r="C6894" s="236"/>
      <c r="D6894" s="236"/>
    </row>
    <row r="6895" spans="2:4" ht="12.75" customHeight="1" x14ac:dyDescent="0.2">
      <c r="B6895" s="236"/>
      <c r="C6895" s="236"/>
      <c r="D6895" s="236"/>
    </row>
    <row r="6896" spans="2:4" ht="12.75" customHeight="1" x14ac:dyDescent="0.2">
      <c r="B6896" s="236"/>
      <c r="C6896" s="236"/>
      <c r="D6896" s="236"/>
    </row>
    <row r="6897" spans="2:4" ht="12.75" customHeight="1" x14ac:dyDescent="0.2">
      <c r="B6897" s="236"/>
      <c r="C6897" s="236"/>
      <c r="D6897" s="236"/>
    </row>
    <row r="6898" spans="2:4" ht="12.75" customHeight="1" x14ac:dyDescent="0.2">
      <c r="B6898" s="236"/>
      <c r="C6898" s="236"/>
      <c r="D6898" s="236"/>
    </row>
    <row r="6899" spans="2:4" ht="12.75" customHeight="1" x14ac:dyDescent="0.2">
      <c r="B6899" s="236"/>
      <c r="C6899" s="236"/>
      <c r="D6899" s="236"/>
    </row>
    <row r="6900" spans="2:4" ht="12.75" customHeight="1" x14ac:dyDescent="0.2">
      <c r="B6900" s="236"/>
      <c r="C6900" s="236"/>
      <c r="D6900" s="236"/>
    </row>
    <row r="6901" spans="2:4" ht="12.75" customHeight="1" x14ac:dyDescent="0.2">
      <c r="B6901" s="236"/>
      <c r="C6901" s="236"/>
      <c r="D6901" s="236"/>
    </row>
    <row r="6902" spans="2:4" ht="12.75" customHeight="1" x14ac:dyDescent="0.2">
      <c r="B6902" s="236"/>
      <c r="C6902" s="236"/>
      <c r="D6902" s="236"/>
    </row>
    <row r="6903" spans="2:4" ht="12.75" customHeight="1" x14ac:dyDescent="0.2">
      <c r="B6903" s="236"/>
      <c r="C6903" s="236"/>
      <c r="D6903" s="236"/>
    </row>
    <row r="6904" spans="2:4" ht="12.75" customHeight="1" x14ac:dyDescent="0.2">
      <c r="B6904" s="236"/>
      <c r="C6904" s="236"/>
      <c r="D6904" s="236"/>
    </row>
    <row r="6905" spans="2:4" ht="12.75" customHeight="1" x14ac:dyDescent="0.2">
      <c r="B6905" s="236"/>
      <c r="C6905" s="236"/>
      <c r="D6905" s="236"/>
    </row>
    <row r="6906" spans="2:4" x14ac:dyDescent="0.2">
      <c r="B6906" s="236"/>
      <c r="C6906" s="236"/>
      <c r="D6906" s="236"/>
    </row>
    <row r="6907" spans="2:4" ht="12.75" customHeight="1" x14ac:dyDescent="0.2">
      <c r="B6907" s="236"/>
      <c r="C6907" s="236"/>
      <c r="D6907" s="236"/>
    </row>
    <row r="6908" spans="2:4" x14ac:dyDescent="0.2">
      <c r="B6908" s="236"/>
      <c r="C6908" s="236"/>
      <c r="D6908" s="236"/>
    </row>
    <row r="6909" spans="2:4" ht="12.75" customHeight="1" x14ac:dyDescent="0.2">
      <c r="B6909" s="236"/>
      <c r="C6909" s="236"/>
      <c r="D6909" s="236"/>
    </row>
    <row r="6910" spans="2:4" ht="12.75" customHeight="1" x14ac:dyDescent="0.2">
      <c r="B6910" s="236"/>
      <c r="C6910" s="236"/>
      <c r="D6910" s="236"/>
    </row>
    <row r="6911" spans="2:4" x14ac:dyDescent="0.2">
      <c r="B6911" s="236"/>
      <c r="C6911" s="236"/>
      <c r="D6911" s="236"/>
    </row>
    <row r="6912" spans="2:4" ht="12.75" customHeight="1" x14ac:dyDescent="0.2">
      <c r="B6912" s="236"/>
      <c r="C6912" s="236"/>
      <c r="D6912" s="236"/>
    </row>
    <row r="6913" spans="2:4" ht="12.75" customHeight="1" x14ac:dyDescent="0.2">
      <c r="B6913" s="236"/>
      <c r="C6913" s="236"/>
      <c r="D6913" s="236"/>
    </row>
    <row r="6914" spans="2:4" ht="12.75" customHeight="1" x14ac:dyDescent="0.2">
      <c r="B6914" s="236"/>
      <c r="C6914" s="236"/>
      <c r="D6914" s="236"/>
    </row>
    <row r="6915" spans="2:4" ht="12.75" customHeight="1" x14ac:dyDescent="0.2">
      <c r="B6915" s="236"/>
      <c r="C6915" s="236"/>
      <c r="D6915" s="236"/>
    </row>
    <row r="6916" spans="2:4" ht="12.75" customHeight="1" x14ac:dyDescent="0.2">
      <c r="B6916" s="236"/>
      <c r="C6916" s="236"/>
      <c r="D6916" s="236"/>
    </row>
    <row r="6917" spans="2:4" ht="12.75" customHeight="1" x14ac:dyDescent="0.2">
      <c r="B6917" s="236"/>
      <c r="C6917" s="236"/>
      <c r="D6917" s="236"/>
    </row>
    <row r="6918" spans="2:4" ht="12.75" customHeight="1" x14ac:dyDescent="0.2">
      <c r="B6918" s="236"/>
      <c r="C6918" s="236"/>
      <c r="D6918" s="236"/>
    </row>
    <row r="6919" spans="2:4" ht="12.75" customHeight="1" x14ac:dyDescent="0.2">
      <c r="B6919" s="236"/>
      <c r="C6919" s="236"/>
      <c r="D6919" s="236"/>
    </row>
    <row r="6920" spans="2:4" ht="12.75" customHeight="1" x14ac:dyDescent="0.2">
      <c r="B6920" s="236"/>
      <c r="C6920" s="236"/>
      <c r="D6920" s="236"/>
    </row>
    <row r="6921" spans="2:4" x14ac:dyDescent="0.2">
      <c r="B6921" s="236"/>
      <c r="C6921" s="236"/>
      <c r="D6921" s="236"/>
    </row>
    <row r="6922" spans="2:4" ht="12.75" customHeight="1" x14ac:dyDescent="0.2">
      <c r="B6922" s="236"/>
      <c r="C6922" s="236"/>
      <c r="D6922" s="236"/>
    </row>
    <row r="6923" spans="2:4" ht="12.75" customHeight="1" x14ac:dyDescent="0.2">
      <c r="B6923" s="236"/>
      <c r="C6923" s="236"/>
      <c r="D6923" s="236"/>
    </row>
    <row r="6924" spans="2:4" x14ac:dyDescent="0.2">
      <c r="B6924" s="236"/>
      <c r="C6924" s="236"/>
      <c r="D6924" s="236"/>
    </row>
    <row r="6925" spans="2:4" ht="12.75" customHeight="1" x14ac:dyDescent="0.2">
      <c r="B6925" s="236"/>
      <c r="C6925" s="236"/>
      <c r="D6925" s="236"/>
    </row>
    <row r="6926" spans="2:4" x14ac:dyDescent="0.2">
      <c r="B6926" s="236"/>
      <c r="C6926" s="236"/>
      <c r="D6926" s="236"/>
    </row>
    <row r="6927" spans="2:4" ht="12.75" customHeight="1" x14ac:dyDescent="0.2">
      <c r="B6927" s="236"/>
      <c r="C6927" s="236"/>
      <c r="D6927" s="236"/>
    </row>
    <row r="6928" spans="2:4" ht="12.75" customHeight="1" x14ac:dyDescent="0.2">
      <c r="B6928" s="236"/>
      <c r="C6928" s="236"/>
      <c r="D6928" s="236"/>
    </row>
    <row r="6929" spans="2:4" ht="12.75" customHeight="1" x14ac:dyDescent="0.2">
      <c r="B6929" s="236"/>
      <c r="C6929" s="236"/>
      <c r="D6929" s="236"/>
    </row>
    <row r="6930" spans="2:4" ht="12.75" customHeight="1" x14ac:dyDescent="0.2">
      <c r="B6930" s="236"/>
      <c r="C6930" s="236"/>
      <c r="D6930" s="236"/>
    </row>
    <row r="6931" spans="2:4" x14ac:dyDescent="0.2">
      <c r="B6931" s="236"/>
      <c r="C6931" s="236"/>
      <c r="D6931" s="236"/>
    </row>
    <row r="6932" spans="2:4" ht="12.75" customHeight="1" x14ac:dyDescent="0.2">
      <c r="B6932" s="236"/>
      <c r="C6932" s="236"/>
      <c r="D6932" s="236"/>
    </row>
    <row r="6933" spans="2:4" x14ac:dyDescent="0.2">
      <c r="B6933" s="236"/>
      <c r="C6933" s="236"/>
      <c r="D6933" s="236"/>
    </row>
    <row r="6934" spans="2:4" ht="12.75" customHeight="1" x14ac:dyDescent="0.2">
      <c r="B6934" s="236"/>
      <c r="C6934" s="236"/>
      <c r="D6934" s="236"/>
    </row>
    <row r="6935" spans="2:4" ht="12.75" customHeight="1" x14ac:dyDescent="0.2">
      <c r="B6935" s="236"/>
      <c r="C6935" s="236"/>
      <c r="D6935" s="236"/>
    </row>
    <row r="6936" spans="2:4" ht="12.75" customHeight="1" x14ac:dyDescent="0.2">
      <c r="B6936" s="236"/>
      <c r="C6936" s="236"/>
      <c r="D6936" s="236"/>
    </row>
    <row r="6937" spans="2:4" ht="12.75" customHeight="1" x14ac:dyDescent="0.2">
      <c r="B6937" s="236"/>
      <c r="C6937" s="236"/>
      <c r="D6937" s="236"/>
    </row>
    <row r="6938" spans="2:4" ht="12.75" customHeight="1" x14ac:dyDescent="0.2">
      <c r="B6938" s="236"/>
      <c r="C6938" s="236"/>
      <c r="D6938" s="236"/>
    </row>
    <row r="6939" spans="2:4" ht="12.75" customHeight="1" x14ac:dyDescent="0.2">
      <c r="B6939" s="236"/>
      <c r="C6939" s="236"/>
      <c r="D6939" s="236"/>
    </row>
    <row r="6940" spans="2:4" x14ac:dyDescent="0.2">
      <c r="B6940" s="236"/>
      <c r="C6940" s="236"/>
      <c r="D6940" s="236"/>
    </row>
    <row r="6941" spans="2:4" ht="12.75" customHeight="1" x14ac:dyDescent="0.2">
      <c r="B6941" s="236"/>
      <c r="C6941" s="236"/>
      <c r="D6941" s="236"/>
    </row>
    <row r="6942" spans="2:4" x14ac:dyDescent="0.2">
      <c r="B6942" s="236"/>
      <c r="C6942" s="236"/>
      <c r="D6942" s="236"/>
    </row>
    <row r="6943" spans="2:4" ht="12.75" customHeight="1" x14ac:dyDescent="0.2">
      <c r="B6943" s="236"/>
      <c r="C6943" s="236"/>
      <c r="D6943" s="236"/>
    </row>
    <row r="6944" spans="2:4" x14ac:dyDescent="0.2">
      <c r="B6944" s="236"/>
      <c r="C6944" s="236"/>
      <c r="D6944" s="236"/>
    </row>
    <row r="6945" spans="2:4" ht="12.75" customHeight="1" x14ac:dyDescent="0.2">
      <c r="B6945" s="236"/>
      <c r="C6945" s="236"/>
      <c r="D6945" s="236"/>
    </row>
    <row r="6946" spans="2:4" x14ac:dyDescent="0.2">
      <c r="B6946" s="236"/>
      <c r="C6946" s="236"/>
      <c r="D6946" s="236"/>
    </row>
    <row r="6947" spans="2:4" ht="12.75" customHeight="1" x14ac:dyDescent="0.2">
      <c r="B6947" s="236"/>
      <c r="C6947" s="236"/>
      <c r="D6947" s="236"/>
    </row>
    <row r="6948" spans="2:4" x14ac:dyDescent="0.2">
      <c r="B6948" s="236"/>
      <c r="C6948" s="236"/>
      <c r="D6948" s="236"/>
    </row>
    <row r="6949" spans="2:4" ht="12.75" customHeight="1" x14ac:dyDescent="0.2">
      <c r="B6949" s="236"/>
      <c r="C6949" s="236"/>
      <c r="D6949" s="236"/>
    </row>
    <row r="6950" spans="2:4" ht="12.75" customHeight="1" x14ac:dyDescent="0.2">
      <c r="B6950" s="236"/>
      <c r="C6950" s="236"/>
      <c r="D6950" s="236"/>
    </row>
    <row r="6951" spans="2:4" ht="12.75" customHeight="1" x14ac:dyDescent="0.2">
      <c r="B6951" s="236"/>
      <c r="C6951" s="236"/>
      <c r="D6951" s="236"/>
    </row>
    <row r="6952" spans="2:4" ht="12.75" customHeight="1" x14ac:dyDescent="0.2">
      <c r="B6952" s="236"/>
      <c r="C6952" s="236"/>
      <c r="D6952" s="236"/>
    </row>
    <row r="6953" spans="2:4" x14ac:dyDescent="0.2">
      <c r="B6953" s="236"/>
      <c r="C6953" s="236"/>
      <c r="D6953" s="236"/>
    </row>
    <row r="6954" spans="2:4" ht="12.75" customHeight="1" x14ac:dyDescent="0.2">
      <c r="B6954" s="236"/>
      <c r="C6954" s="236"/>
      <c r="D6954" s="236"/>
    </row>
    <row r="6955" spans="2:4" x14ac:dyDescent="0.2">
      <c r="B6955" s="236"/>
      <c r="C6955" s="236"/>
      <c r="D6955" s="236"/>
    </row>
    <row r="6956" spans="2:4" ht="12.75" customHeight="1" x14ac:dyDescent="0.2">
      <c r="B6956" s="236"/>
      <c r="C6956" s="236"/>
      <c r="D6956" s="236"/>
    </row>
    <row r="6957" spans="2:4" ht="12.75" customHeight="1" x14ac:dyDescent="0.2">
      <c r="B6957" s="236"/>
      <c r="C6957" s="236"/>
      <c r="D6957" s="236"/>
    </row>
    <row r="6958" spans="2:4" x14ac:dyDescent="0.2">
      <c r="B6958" s="236"/>
      <c r="C6958" s="236"/>
      <c r="D6958" s="236"/>
    </row>
    <row r="6959" spans="2:4" ht="12.75" customHeight="1" x14ac:dyDescent="0.2">
      <c r="B6959" s="236"/>
      <c r="C6959" s="236"/>
      <c r="D6959" s="236"/>
    </row>
    <row r="6960" spans="2:4" ht="12.75" customHeight="1" x14ac:dyDescent="0.2">
      <c r="B6960" s="236"/>
      <c r="C6960" s="236"/>
      <c r="D6960" s="236"/>
    </row>
    <row r="6961" spans="2:4" ht="12.75" customHeight="1" x14ac:dyDescent="0.2">
      <c r="B6961" s="236"/>
      <c r="C6961" s="236"/>
      <c r="D6961" s="236"/>
    </row>
    <row r="6962" spans="2:4" ht="12.75" customHeight="1" x14ac:dyDescent="0.2">
      <c r="B6962" s="236"/>
      <c r="C6962" s="236"/>
      <c r="D6962" s="236"/>
    </row>
    <row r="6963" spans="2:4" ht="12.75" customHeight="1" x14ac:dyDescent="0.2">
      <c r="B6963" s="236"/>
      <c r="C6963" s="236"/>
      <c r="D6963" s="236"/>
    </row>
    <row r="6964" spans="2:4" x14ac:dyDescent="0.2">
      <c r="B6964" s="236"/>
      <c r="C6964" s="236"/>
      <c r="D6964" s="236"/>
    </row>
    <row r="6965" spans="2:4" ht="12.75" customHeight="1" x14ac:dyDescent="0.2">
      <c r="B6965" s="236"/>
      <c r="C6965" s="236"/>
      <c r="D6965" s="236"/>
    </row>
    <row r="6966" spans="2:4" x14ac:dyDescent="0.2">
      <c r="B6966" s="236"/>
      <c r="C6966" s="236"/>
      <c r="D6966" s="236"/>
    </row>
    <row r="6967" spans="2:4" ht="12.75" customHeight="1" x14ac:dyDescent="0.2">
      <c r="B6967" s="236"/>
      <c r="C6967" s="236"/>
      <c r="D6967" s="236"/>
    </row>
    <row r="6968" spans="2:4" x14ac:dyDescent="0.2">
      <c r="B6968" s="236"/>
      <c r="C6968" s="236"/>
      <c r="D6968" s="236"/>
    </row>
    <row r="6969" spans="2:4" ht="12.75" customHeight="1" x14ac:dyDescent="0.2">
      <c r="B6969" s="236"/>
      <c r="C6969" s="236"/>
      <c r="D6969" s="236"/>
    </row>
    <row r="6970" spans="2:4" ht="12.75" customHeight="1" x14ac:dyDescent="0.2">
      <c r="B6970" s="236"/>
      <c r="C6970" s="236"/>
      <c r="D6970" s="236"/>
    </row>
    <row r="6971" spans="2:4" x14ac:dyDescent="0.2">
      <c r="B6971" s="236"/>
      <c r="C6971" s="236"/>
      <c r="D6971" s="236"/>
    </row>
    <row r="6972" spans="2:4" ht="12.75" customHeight="1" x14ac:dyDescent="0.2">
      <c r="B6972" s="236"/>
      <c r="C6972" s="236"/>
      <c r="D6972" s="236"/>
    </row>
    <row r="6973" spans="2:4" ht="12.75" customHeight="1" x14ac:dyDescent="0.2">
      <c r="B6973" s="236"/>
      <c r="C6973" s="236"/>
      <c r="D6973" s="236"/>
    </row>
    <row r="6974" spans="2:4" x14ac:dyDescent="0.2">
      <c r="B6974" s="236"/>
      <c r="C6974" s="236"/>
      <c r="D6974" s="236"/>
    </row>
    <row r="6975" spans="2:4" ht="12.75" customHeight="1" x14ac:dyDescent="0.2">
      <c r="B6975" s="236"/>
      <c r="C6975" s="236"/>
      <c r="D6975" s="236"/>
    </row>
    <row r="6976" spans="2:4" x14ac:dyDescent="0.2">
      <c r="B6976" s="236"/>
      <c r="C6976" s="236"/>
      <c r="D6976" s="236"/>
    </row>
    <row r="6977" spans="2:4" ht="12.75" customHeight="1" x14ac:dyDescent="0.2">
      <c r="B6977" s="236"/>
      <c r="C6977" s="236"/>
      <c r="D6977" s="236"/>
    </row>
    <row r="6978" spans="2:4" x14ac:dyDescent="0.2">
      <c r="B6978" s="236"/>
      <c r="C6978" s="236"/>
      <c r="D6978" s="236"/>
    </row>
    <row r="6979" spans="2:4" ht="12.75" customHeight="1" x14ac:dyDescent="0.2">
      <c r="B6979" s="236"/>
      <c r="C6979" s="236"/>
      <c r="D6979" s="236"/>
    </row>
    <row r="6980" spans="2:4" x14ac:dyDescent="0.2">
      <c r="B6980" s="236"/>
      <c r="C6980" s="236"/>
      <c r="D6980" s="236"/>
    </row>
    <row r="6981" spans="2:4" ht="12.75" customHeight="1" x14ac:dyDescent="0.2">
      <c r="B6981" s="236"/>
      <c r="C6981" s="236"/>
      <c r="D6981" s="236"/>
    </row>
    <row r="6982" spans="2:4" x14ac:dyDescent="0.2">
      <c r="B6982" s="236"/>
      <c r="C6982" s="236"/>
      <c r="D6982" s="236"/>
    </row>
    <row r="6983" spans="2:4" ht="12.75" customHeight="1" x14ac:dyDescent="0.2">
      <c r="B6983" s="236"/>
      <c r="C6983" s="236"/>
      <c r="D6983" s="236"/>
    </row>
    <row r="6984" spans="2:4" ht="12.75" customHeight="1" x14ac:dyDescent="0.2">
      <c r="B6984" s="236"/>
      <c r="C6984" s="236"/>
      <c r="D6984" s="236"/>
    </row>
    <row r="6985" spans="2:4" x14ac:dyDescent="0.2">
      <c r="B6985" s="236"/>
      <c r="C6985" s="236"/>
      <c r="D6985" s="236"/>
    </row>
    <row r="6986" spans="2:4" ht="12.75" customHeight="1" x14ac:dyDescent="0.2">
      <c r="B6986" s="236"/>
      <c r="C6986" s="236"/>
      <c r="D6986" s="236"/>
    </row>
    <row r="6987" spans="2:4" x14ac:dyDescent="0.2">
      <c r="B6987" s="236"/>
      <c r="C6987" s="236"/>
      <c r="D6987" s="236"/>
    </row>
    <row r="6988" spans="2:4" ht="12.75" customHeight="1" x14ac:dyDescent="0.2">
      <c r="B6988" s="236"/>
      <c r="C6988" s="236"/>
      <c r="D6988" s="236"/>
    </row>
    <row r="6989" spans="2:4" ht="12.75" customHeight="1" x14ac:dyDescent="0.2">
      <c r="B6989" s="236"/>
      <c r="C6989" s="236"/>
      <c r="D6989" s="236"/>
    </row>
    <row r="6990" spans="2:4" ht="12.75" customHeight="1" x14ac:dyDescent="0.2">
      <c r="B6990" s="236"/>
      <c r="C6990" s="236"/>
      <c r="D6990" s="236"/>
    </row>
    <row r="6991" spans="2:4" x14ac:dyDescent="0.2">
      <c r="B6991" s="236"/>
      <c r="C6991" s="236"/>
      <c r="D6991" s="236"/>
    </row>
    <row r="6992" spans="2:4" x14ac:dyDescent="0.2">
      <c r="B6992" s="236"/>
      <c r="C6992" s="236"/>
      <c r="D6992" s="236"/>
    </row>
    <row r="6993" spans="2:4" ht="12.75" customHeight="1" x14ac:dyDescent="0.2">
      <c r="B6993" s="236"/>
      <c r="C6993" s="236"/>
      <c r="D6993" s="236"/>
    </row>
    <row r="6994" spans="2:4" ht="12.75" customHeight="1" x14ac:dyDescent="0.2">
      <c r="B6994" s="236"/>
      <c r="C6994" s="236"/>
      <c r="D6994" s="236"/>
    </row>
    <row r="6995" spans="2:4" ht="12.75" customHeight="1" x14ac:dyDescent="0.2">
      <c r="B6995" s="236"/>
      <c r="C6995" s="236"/>
      <c r="D6995" s="236"/>
    </row>
    <row r="6996" spans="2:4" x14ac:dyDescent="0.2">
      <c r="B6996" s="236"/>
      <c r="C6996" s="236"/>
      <c r="D6996" s="236"/>
    </row>
    <row r="6997" spans="2:4" ht="12.75" customHeight="1" x14ac:dyDescent="0.2">
      <c r="B6997" s="236"/>
      <c r="C6997" s="236"/>
      <c r="D6997" s="236"/>
    </row>
    <row r="6998" spans="2:4" x14ac:dyDescent="0.2">
      <c r="B6998" s="236"/>
      <c r="C6998" s="236"/>
      <c r="D6998" s="236"/>
    </row>
    <row r="6999" spans="2:4" x14ac:dyDescent="0.2">
      <c r="B6999" s="236"/>
      <c r="C6999" s="236"/>
      <c r="D6999" s="236"/>
    </row>
    <row r="7000" spans="2:4" ht="12.75" customHeight="1" x14ac:dyDescent="0.2">
      <c r="B7000" s="236"/>
      <c r="C7000" s="236"/>
      <c r="D7000" s="236"/>
    </row>
    <row r="7001" spans="2:4" x14ac:dyDescent="0.2">
      <c r="B7001" s="236"/>
      <c r="C7001" s="236"/>
      <c r="D7001" s="236"/>
    </row>
    <row r="7002" spans="2:4" ht="12.75" customHeight="1" x14ac:dyDescent="0.2">
      <c r="B7002" s="236"/>
      <c r="C7002" s="236"/>
      <c r="D7002" s="236"/>
    </row>
    <row r="7003" spans="2:4" ht="12.75" customHeight="1" x14ac:dyDescent="0.2">
      <c r="B7003" s="236"/>
      <c r="C7003" s="236"/>
      <c r="D7003" s="236"/>
    </row>
    <row r="7004" spans="2:4" x14ac:dyDescent="0.2">
      <c r="B7004" s="236"/>
      <c r="C7004" s="236"/>
      <c r="D7004" s="236"/>
    </row>
    <row r="7005" spans="2:4" ht="12.75" customHeight="1" x14ac:dyDescent="0.2">
      <c r="B7005" s="236"/>
      <c r="C7005" s="236"/>
      <c r="D7005" s="236"/>
    </row>
    <row r="7006" spans="2:4" ht="12.75" customHeight="1" x14ac:dyDescent="0.2">
      <c r="B7006" s="236"/>
      <c r="C7006" s="236"/>
      <c r="D7006" s="236"/>
    </row>
    <row r="7007" spans="2:4" ht="12.75" customHeight="1" x14ac:dyDescent="0.2">
      <c r="B7007" s="236"/>
      <c r="C7007" s="236"/>
      <c r="D7007" s="236"/>
    </row>
    <row r="7008" spans="2:4" ht="12.75" customHeight="1" x14ac:dyDescent="0.2">
      <c r="B7008" s="236"/>
      <c r="C7008" s="236"/>
      <c r="D7008" s="236"/>
    </row>
    <row r="7009" spans="2:4" ht="12.75" customHeight="1" x14ac:dyDescent="0.2">
      <c r="B7009" s="236"/>
      <c r="C7009" s="236"/>
      <c r="D7009" s="236"/>
    </row>
    <row r="7010" spans="2:4" x14ac:dyDescent="0.2">
      <c r="B7010" s="236"/>
      <c r="C7010" s="236"/>
      <c r="D7010" s="236"/>
    </row>
    <row r="7011" spans="2:4" x14ac:dyDescent="0.2">
      <c r="B7011" s="236"/>
      <c r="C7011" s="236"/>
      <c r="D7011" s="236"/>
    </row>
    <row r="7012" spans="2:4" ht="12.75" customHeight="1" x14ac:dyDescent="0.2">
      <c r="B7012" s="236"/>
      <c r="C7012" s="236"/>
      <c r="D7012" s="236"/>
    </row>
    <row r="7013" spans="2:4" ht="12.75" customHeight="1" x14ac:dyDescent="0.2">
      <c r="B7013" s="236"/>
      <c r="C7013" s="236"/>
      <c r="D7013" s="236"/>
    </row>
    <row r="7014" spans="2:4" ht="12.75" customHeight="1" x14ac:dyDescent="0.2">
      <c r="B7014" s="236"/>
      <c r="C7014" s="236"/>
      <c r="D7014" s="236"/>
    </row>
    <row r="7015" spans="2:4" ht="12.75" customHeight="1" x14ac:dyDescent="0.2">
      <c r="B7015" s="236"/>
      <c r="C7015" s="236"/>
      <c r="D7015" s="236"/>
    </row>
    <row r="7016" spans="2:4" x14ac:dyDescent="0.2">
      <c r="B7016" s="236"/>
      <c r="C7016" s="236"/>
      <c r="D7016" s="236"/>
    </row>
    <row r="7017" spans="2:4" ht="12.75" customHeight="1" x14ac:dyDescent="0.2">
      <c r="B7017" s="236"/>
      <c r="C7017" s="236"/>
      <c r="D7017" s="236"/>
    </row>
    <row r="7018" spans="2:4" ht="12.75" customHeight="1" x14ac:dyDescent="0.2">
      <c r="B7018" s="236"/>
      <c r="C7018" s="236"/>
      <c r="D7018" s="236"/>
    </row>
    <row r="7019" spans="2:4" x14ac:dyDescent="0.2">
      <c r="B7019" s="236"/>
      <c r="C7019" s="236"/>
      <c r="D7019" s="236"/>
    </row>
    <row r="7020" spans="2:4" ht="12.75" customHeight="1" x14ac:dyDescent="0.2">
      <c r="B7020" s="236"/>
      <c r="C7020" s="236"/>
      <c r="D7020" s="236"/>
    </row>
    <row r="7021" spans="2:4" x14ac:dyDescent="0.2">
      <c r="B7021" s="236"/>
      <c r="C7021" s="236"/>
      <c r="D7021" s="236"/>
    </row>
    <row r="7022" spans="2:4" ht="12.75" customHeight="1" x14ac:dyDescent="0.2">
      <c r="B7022" s="236"/>
      <c r="C7022" s="236"/>
      <c r="D7022" s="236"/>
    </row>
    <row r="7023" spans="2:4" ht="12.75" customHeight="1" x14ac:dyDescent="0.2">
      <c r="B7023" s="236"/>
      <c r="C7023" s="236"/>
      <c r="D7023" s="236"/>
    </row>
    <row r="7024" spans="2:4" ht="12.75" customHeight="1" x14ac:dyDescent="0.2">
      <c r="B7024" s="236"/>
      <c r="C7024" s="236"/>
      <c r="D7024" s="236"/>
    </row>
    <row r="7025" spans="2:4" ht="12.75" customHeight="1" x14ac:dyDescent="0.2">
      <c r="B7025" s="236"/>
      <c r="C7025" s="236"/>
      <c r="D7025" s="236"/>
    </row>
    <row r="7026" spans="2:4" ht="12.75" customHeight="1" x14ac:dyDescent="0.2">
      <c r="B7026" s="236"/>
      <c r="C7026" s="236"/>
      <c r="D7026" s="236"/>
    </row>
    <row r="7027" spans="2:4" x14ac:dyDescent="0.2">
      <c r="B7027" s="236"/>
      <c r="C7027" s="236"/>
      <c r="D7027" s="236"/>
    </row>
    <row r="7028" spans="2:4" ht="12.75" customHeight="1" x14ac:dyDescent="0.2">
      <c r="B7028" s="236"/>
      <c r="C7028" s="236"/>
      <c r="D7028" s="236"/>
    </row>
    <row r="7029" spans="2:4" ht="12.75" customHeight="1" x14ac:dyDescent="0.2">
      <c r="B7029" s="236"/>
      <c r="C7029" s="236"/>
      <c r="D7029" s="236"/>
    </row>
    <row r="7030" spans="2:4" ht="12.75" customHeight="1" x14ac:dyDescent="0.2">
      <c r="B7030" s="236"/>
      <c r="C7030" s="236"/>
      <c r="D7030" s="236"/>
    </row>
    <row r="7031" spans="2:4" ht="12.75" customHeight="1" x14ac:dyDescent="0.2">
      <c r="B7031" s="236"/>
      <c r="C7031" s="236"/>
      <c r="D7031" s="236"/>
    </row>
    <row r="7032" spans="2:4" ht="12.75" customHeight="1" x14ac:dyDescent="0.2">
      <c r="B7032" s="236"/>
      <c r="C7032" s="236"/>
      <c r="D7032" s="236"/>
    </row>
    <row r="7033" spans="2:4" x14ac:dyDescent="0.2">
      <c r="B7033" s="236"/>
      <c r="C7033" s="236"/>
      <c r="D7033" s="236"/>
    </row>
    <row r="7034" spans="2:4" ht="12.75" customHeight="1" x14ac:dyDescent="0.2">
      <c r="B7034" s="236"/>
      <c r="C7034" s="236"/>
      <c r="D7034" s="236"/>
    </row>
    <row r="7035" spans="2:4" ht="12.75" customHeight="1" x14ac:dyDescent="0.2">
      <c r="B7035" s="236"/>
      <c r="C7035" s="236"/>
      <c r="D7035" s="236"/>
    </row>
    <row r="7036" spans="2:4" x14ac:dyDescent="0.2">
      <c r="B7036" s="236"/>
      <c r="C7036" s="236"/>
      <c r="D7036" s="236"/>
    </row>
    <row r="7037" spans="2:4" ht="12.75" customHeight="1" x14ac:dyDescent="0.2">
      <c r="B7037" s="236"/>
      <c r="C7037" s="236"/>
      <c r="D7037" s="236"/>
    </row>
    <row r="7038" spans="2:4" ht="12.75" customHeight="1" x14ac:dyDescent="0.2">
      <c r="B7038" s="236"/>
      <c r="C7038" s="236"/>
      <c r="D7038" s="236"/>
    </row>
    <row r="7039" spans="2:4" ht="12.75" customHeight="1" x14ac:dyDescent="0.2">
      <c r="B7039" s="236"/>
      <c r="C7039" s="236"/>
      <c r="D7039" s="236"/>
    </row>
    <row r="7040" spans="2:4" ht="12.75" customHeight="1" x14ac:dyDescent="0.2">
      <c r="B7040" s="236"/>
      <c r="C7040" s="236"/>
      <c r="D7040" s="236"/>
    </row>
    <row r="7041" spans="2:4" x14ac:dyDescent="0.2">
      <c r="B7041" s="236"/>
      <c r="C7041" s="236"/>
      <c r="D7041" s="236"/>
    </row>
    <row r="7042" spans="2:4" ht="12.75" customHeight="1" x14ac:dyDescent="0.2">
      <c r="B7042" s="236"/>
      <c r="C7042" s="236"/>
      <c r="D7042" s="236"/>
    </row>
    <row r="7043" spans="2:4" ht="12.75" customHeight="1" x14ac:dyDescent="0.2">
      <c r="B7043" s="236"/>
      <c r="C7043" s="236"/>
      <c r="D7043" s="236"/>
    </row>
    <row r="7044" spans="2:4" x14ac:dyDescent="0.2">
      <c r="B7044" s="236"/>
      <c r="C7044" s="236"/>
      <c r="D7044" s="236"/>
    </row>
    <row r="7045" spans="2:4" ht="12.75" customHeight="1" x14ac:dyDescent="0.2">
      <c r="B7045" s="236"/>
      <c r="C7045" s="236"/>
      <c r="D7045" s="236"/>
    </row>
    <row r="7046" spans="2:4" ht="12.75" customHeight="1" x14ac:dyDescent="0.2">
      <c r="B7046" s="236"/>
      <c r="C7046" s="236"/>
      <c r="D7046" s="236"/>
    </row>
    <row r="7047" spans="2:4" x14ac:dyDescent="0.2">
      <c r="B7047" s="236"/>
      <c r="C7047" s="236"/>
      <c r="D7047" s="236"/>
    </row>
    <row r="7048" spans="2:4" x14ac:dyDescent="0.2">
      <c r="B7048" s="236"/>
      <c r="C7048" s="236"/>
      <c r="D7048" s="236"/>
    </row>
    <row r="7049" spans="2:4" ht="12.75" customHeight="1" x14ac:dyDescent="0.2">
      <c r="B7049" s="236"/>
      <c r="C7049" s="236"/>
      <c r="D7049" s="236"/>
    </row>
    <row r="7050" spans="2:4" ht="12.75" customHeight="1" x14ac:dyDescent="0.2">
      <c r="B7050" s="236"/>
      <c r="C7050" s="236"/>
      <c r="D7050" s="236"/>
    </row>
    <row r="7051" spans="2:4" x14ac:dyDescent="0.2">
      <c r="B7051" s="236"/>
      <c r="C7051" s="236"/>
      <c r="D7051" s="236"/>
    </row>
    <row r="7052" spans="2:4" ht="12.75" customHeight="1" x14ac:dyDescent="0.2">
      <c r="B7052" s="236"/>
      <c r="C7052" s="236"/>
      <c r="D7052" s="236"/>
    </row>
    <row r="7053" spans="2:4" x14ac:dyDescent="0.2">
      <c r="B7053" s="236"/>
      <c r="C7053" s="236"/>
      <c r="D7053" s="236"/>
    </row>
    <row r="7054" spans="2:4" ht="12.75" customHeight="1" x14ac:dyDescent="0.2">
      <c r="B7054" s="236"/>
      <c r="C7054" s="236"/>
      <c r="D7054" s="236"/>
    </row>
    <row r="7055" spans="2:4" ht="12.75" customHeight="1" x14ac:dyDescent="0.2">
      <c r="B7055" s="236"/>
      <c r="C7055" s="236"/>
      <c r="D7055" s="236"/>
    </row>
    <row r="7056" spans="2:4" ht="12.75" customHeight="1" x14ac:dyDescent="0.2">
      <c r="B7056" s="236"/>
      <c r="C7056" s="236"/>
      <c r="D7056" s="236"/>
    </row>
    <row r="7057" spans="2:4" x14ac:dyDescent="0.2">
      <c r="B7057" s="236"/>
      <c r="C7057" s="236"/>
      <c r="D7057" s="236"/>
    </row>
    <row r="7058" spans="2:4" ht="12.75" customHeight="1" x14ac:dyDescent="0.2">
      <c r="B7058" s="236"/>
      <c r="C7058" s="236"/>
      <c r="D7058" s="236"/>
    </row>
    <row r="7059" spans="2:4" ht="12.75" customHeight="1" x14ac:dyDescent="0.2">
      <c r="B7059" s="236"/>
      <c r="C7059" s="236"/>
      <c r="D7059" s="236"/>
    </row>
    <row r="7060" spans="2:4" x14ac:dyDescent="0.2">
      <c r="B7060" s="236"/>
      <c r="C7060" s="236"/>
      <c r="D7060" s="236"/>
    </row>
    <row r="7061" spans="2:4" ht="12.75" customHeight="1" x14ac:dyDescent="0.2">
      <c r="B7061" s="236"/>
      <c r="C7061" s="236"/>
      <c r="D7061" s="236"/>
    </row>
    <row r="7062" spans="2:4" ht="12.75" customHeight="1" x14ac:dyDescent="0.2">
      <c r="B7062" s="236"/>
      <c r="C7062" s="236"/>
      <c r="D7062" s="236"/>
    </row>
    <row r="7063" spans="2:4" x14ac:dyDescent="0.2">
      <c r="B7063" s="236"/>
      <c r="C7063" s="236"/>
      <c r="D7063" s="236"/>
    </row>
    <row r="7064" spans="2:4" ht="12.75" customHeight="1" x14ac:dyDescent="0.2">
      <c r="B7064" s="236"/>
      <c r="C7064" s="236"/>
      <c r="D7064" s="236"/>
    </row>
    <row r="7065" spans="2:4" ht="12.75" customHeight="1" x14ac:dyDescent="0.2">
      <c r="B7065" s="236"/>
      <c r="C7065" s="236"/>
      <c r="D7065" s="236"/>
    </row>
    <row r="7066" spans="2:4" ht="12.75" customHeight="1" x14ac:dyDescent="0.2">
      <c r="B7066" s="236"/>
      <c r="C7066" s="236"/>
      <c r="D7066" s="236"/>
    </row>
    <row r="7067" spans="2:4" x14ac:dyDescent="0.2">
      <c r="B7067" s="236"/>
      <c r="C7067" s="236"/>
      <c r="D7067" s="236"/>
    </row>
    <row r="7068" spans="2:4" x14ac:dyDescent="0.2">
      <c r="B7068" s="236"/>
      <c r="C7068" s="236"/>
      <c r="D7068" s="236"/>
    </row>
    <row r="7069" spans="2:4" x14ac:dyDescent="0.2">
      <c r="B7069" s="236"/>
      <c r="C7069" s="236"/>
      <c r="D7069" s="236"/>
    </row>
    <row r="7070" spans="2:4" ht="12.75" customHeight="1" x14ac:dyDescent="0.2">
      <c r="B7070" s="236"/>
      <c r="C7070" s="236"/>
      <c r="D7070" s="236"/>
    </row>
    <row r="7071" spans="2:4" x14ac:dyDescent="0.2">
      <c r="B7071" s="236"/>
      <c r="C7071" s="236"/>
      <c r="D7071" s="236"/>
    </row>
    <row r="7072" spans="2:4" ht="12.75" customHeight="1" x14ac:dyDescent="0.2">
      <c r="B7072" s="236"/>
      <c r="C7072" s="236"/>
      <c r="D7072" s="236"/>
    </row>
    <row r="7073" spans="2:4" ht="12.75" customHeight="1" x14ac:dyDescent="0.2">
      <c r="B7073" s="236"/>
      <c r="C7073" s="236"/>
      <c r="D7073" s="236"/>
    </row>
    <row r="7074" spans="2:4" x14ac:dyDescent="0.2">
      <c r="B7074" s="236"/>
      <c r="C7074" s="236"/>
      <c r="D7074" s="236"/>
    </row>
    <row r="7075" spans="2:4" ht="12.75" customHeight="1" x14ac:dyDescent="0.2">
      <c r="B7075" s="236"/>
      <c r="C7075" s="236"/>
      <c r="D7075" s="236"/>
    </row>
    <row r="7076" spans="2:4" ht="12.75" customHeight="1" x14ac:dyDescent="0.2">
      <c r="B7076" s="236"/>
      <c r="C7076" s="236"/>
      <c r="D7076" s="236"/>
    </row>
    <row r="7077" spans="2:4" x14ac:dyDescent="0.2">
      <c r="B7077" s="236"/>
      <c r="C7077" s="236"/>
      <c r="D7077" s="236"/>
    </row>
    <row r="7078" spans="2:4" ht="12.75" customHeight="1" x14ac:dyDescent="0.2">
      <c r="B7078" s="236"/>
      <c r="C7078" s="236"/>
      <c r="D7078" s="236"/>
    </row>
    <row r="7079" spans="2:4" ht="12.75" customHeight="1" x14ac:dyDescent="0.2">
      <c r="B7079" s="236"/>
      <c r="C7079" s="236"/>
      <c r="D7079" s="236"/>
    </row>
    <row r="7080" spans="2:4" ht="12.75" customHeight="1" x14ac:dyDescent="0.2">
      <c r="B7080" s="236"/>
      <c r="C7080" s="236"/>
      <c r="D7080" s="236"/>
    </row>
    <row r="7081" spans="2:4" ht="12.75" customHeight="1" x14ac:dyDescent="0.2">
      <c r="B7081" s="236"/>
      <c r="C7081" s="236"/>
      <c r="D7081" s="236"/>
    </row>
    <row r="7082" spans="2:4" ht="12.75" customHeight="1" x14ac:dyDescent="0.2">
      <c r="B7082" s="236"/>
      <c r="C7082" s="236"/>
      <c r="D7082" s="236"/>
    </row>
    <row r="7083" spans="2:4" x14ac:dyDescent="0.2">
      <c r="B7083" s="236"/>
      <c r="C7083" s="236"/>
      <c r="D7083" s="236"/>
    </row>
    <row r="7084" spans="2:4" ht="12.75" customHeight="1" x14ac:dyDescent="0.2">
      <c r="B7084" s="236"/>
      <c r="C7084" s="236"/>
      <c r="D7084" s="236"/>
    </row>
    <row r="7085" spans="2:4" x14ac:dyDescent="0.2">
      <c r="B7085" s="236"/>
      <c r="C7085" s="236"/>
      <c r="D7085" s="236"/>
    </row>
    <row r="7086" spans="2:4" ht="12.75" customHeight="1" x14ac:dyDescent="0.2">
      <c r="B7086" s="236"/>
      <c r="C7086" s="236"/>
      <c r="D7086" s="236"/>
    </row>
    <row r="7087" spans="2:4" ht="12.75" customHeight="1" x14ac:dyDescent="0.2">
      <c r="B7087" s="236"/>
      <c r="C7087" s="236"/>
      <c r="D7087" s="236"/>
    </row>
    <row r="7088" spans="2:4" ht="12.75" customHeight="1" x14ac:dyDescent="0.2">
      <c r="B7088" s="236"/>
      <c r="C7088" s="236"/>
      <c r="D7088" s="236"/>
    </row>
    <row r="7089" spans="2:4" ht="12.75" customHeight="1" x14ac:dyDescent="0.2">
      <c r="B7089" s="236"/>
      <c r="C7089" s="236"/>
      <c r="D7089" s="236"/>
    </row>
    <row r="7090" spans="2:4" x14ac:dyDescent="0.2">
      <c r="B7090" s="236"/>
      <c r="C7090" s="236"/>
      <c r="D7090" s="236"/>
    </row>
    <row r="7091" spans="2:4" ht="12.75" customHeight="1" x14ac:dyDescent="0.2">
      <c r="B7091" s="236"/>
      <c r="C7091" s="236"/>
      <c r="D7091" s="236"/>
    </row>
    <row r="7092" spans="2:4" ht="12.75" customHeight="1" x14ac:dyDescent="0.2">
      <c r="B7092" s="236"/>
      <c r="C7092" s="236"/>
      <c r="D7092" s="236"/>
    </row>
    <row r="7093" spans="2:4" x14ac:dyDescent="0.2">
      <c r="B7093" s="236"/>
      <c r="C7093" s="236"/>
      <c r="D7093" s="236"/>
    </row>
    <row r="7094" spans="2:4" x14ac:dyDescent="0.2">
      <c r="B7094" s="236"/>
      <c r="C7094" s="236"/>
      <c r="D7094" s="236"/>
    </row>
    <row r="7095" spans="2:4" ht="12.75" customHeight="1" x14ac:dyDescent="0.2">
      <c r="B7095" s="236"/>
      <c r="C7095" s="236"/>
      <c r="D7095" s="236"/>
    </row>
    <row r="7096" spans="2:4" ht="12.75" customHeight="1" x14ac:dyDescent="0.2">
      <c r="B7096" s="236"/>
      <c r="C7096" s="236"/>
      <c r="D7096" s="236"/>
    </row>
    <row r="7097" spans="2:4" x14ac:dyDescent="0.2">
      <c r="B7097" s="236"/>
      <c r="C7097" s="236"/>
      <c r="D7097" s="236"/>
    </row>
    <row r="7098" spans="2:4" ht="12.75" customHeight="1" x14ac:dyDescent="0.2">
      <c r="B7098" s="236"/>
      <c r="C7098" s="236"/>
      <c r="D7098" s="236"/>
    </row>
    <row r="7099" spans="2:4" ht="12.75" customHeight="1" x14ac:dyDescent="0.2">
      <c r="B7099" s="236"/>
      <c r="C7099" s="236"/>
      <c r="D7099" s="236"/>
    </row>
    <row r="7100" spans="2:4" x14ac:dyDescent="0.2">
      <c r="B7100" s="236"/>
      <c r="C7100" s="236"/>
      <c r="D7100" s="236"/>
    </row>
    <row r="7101" spans="2:4" ht="12.75" customHeight="1" x14ac:dyDescent="0.2">
      <c r="B7101" s="236"/>
      <c r="C7101" s="236"/>
      <c r="D7101" s="236"/>
    </row>
    <row r="7102" spans="2:4" ht="12.75" customHeight="1" x14ac:dyDescent="0.2">
      <c r="B7102" s="236"/>
      <c r="C7102" s="236"/>
      <c r="D7102" s="236"/>
    </row>
    <row r="7103" spans="2:4" ht="12.75" customHeight="1" x14ac:dyDescent="0.2">
      <c r="B7103" s="236"/>
      <c r="C7103" s="236"/>
      <c r="D7103" s="236"/>
    </row>
    <row r="7104" spans="2:4" x14ac:dyDescent="0.2">
      <c r="B7104" s="236"/>
      <c r="C7104" s="236"/>
      <c r="D7104" s="236"/>
    </row>
    <row r="7105" spans="2:4" ht="12.75" customHeight="1" x14ac:dyDescent="0.2">
      <c r="B7105" s="236"/>
      <c r="C7105" s="236"/>
      <c r="D7105" s="236"/>
    </row>
    <row r="7106" spans="2:4" x14ac:dyDescent="0.2">
      <c r="B7106" s="236"/>
      <c r="C7106" s="236"/>
      <c r="D7106" s="236"/>
    </row>
    <row r="7107" spans="2:4" x14ac:dyDescent="0.2">
      <c r="B7107" s="236"/>
      <c r="C7107" s="236"/>
      <c r="D7107" s="236"/>
    </row>
    <row r="7108" spans="2:4" ht="12.75" customHeight="1" x14ac:dyDescent="0.2">
      <c r="B7108" s="236"/>
      <c r="C7108" s="236"/>
      <c r="D7108" s="236"/>
    </row>
    <row r="7109" spans="2:4" ht="12.75" customHeight="1" x14ac:dyDescent="0.2">
      <c r="B7109" s="236"/>
      <c r="C7109" s="236"/>
      <c r="D7109" s="236"/>
    </row>
    <row r="7110" spans="2:4" x14ac:dyDescent="0.2">
      <c r="B7110" s="236"/>
      <c r="C7110" s="236"/>
      <c r="D7110" s="236"/>
    </row>
    <row r="7111" spans="2:4" ht="12.75" customHeight="1" x14ac:dyDescent="0.2">
      <c r="B7111" s="236"/>
      <c r="C7111" s="236"/>
      <c r="D7111" s="236"/>
    </row>
    <row r="7112" spans="2:4" ht="12.75" customHeight="1" x14ac:dyDescent="0.2">
      <c r="B7112" s="236"/>
      <c r="C7112" s="236"/>
      <c r="D7112" s="236"/>
    </row>
    <row r="7113" spans="2:4" ht="12.75" customHeight="1" x14ac:dyDescent="0.2">
      <c r="B7113" s="236"/>
      <c r="C7113" s="236"/>
      <c r="D7113" s="236"/>
    </row>
    <row r="7114" spans="2:4" x14ac:dyDescent="0.2">
      <c r="B7114" s="236"/>
      <c r="C7114" s="236"/>
      <c r="D7114" s="236"/>
    </row>
    <row r="7115" spans="2:4" x14ac:dyDescent="0.2">
      <c r="B7115" s="236"/>
      <c r="C7115" s="236"/>
      <c r="D7115" s="236"/>
    </row>
    <row r="7116" spans="2:4" x14ac:dyDescent="0.2">
      <c r="B7116" s="236"/>
      <c r="C7116" s="236"/>
      <c r="D7116" s="236"/>
    </row>
    <row r="7117" spans="2:4" ht="12.75" customHeight="1" x14ac:dyDescent="0.2">
      <c r="B7117" s="236"/>
      <c r="C7117" s="236"/>
      <c r="D7117" s="236"/>
    </row>
    <row r="7118" spans="2:4" x14ac:dyDescent="0.2">
      <c r="B7118" s="236"/>
      <c r="C7118" s="236"/>
      <c r="D7118" s="236"/>
    </row>
    <row r="7119" spans="2:4" ht="12.75" customHeight="1" x14ac:dyDescent="0.2">
      <c r="B7119" s="236"/>
      <c r="C7119" s="236"/>
      <c r="D7119" s="236"/>
    </row>
    <row r="7120" spans="2:4" ht="12.75" customHeight="1" x14ac:dyDescent="0.2">
      <c r="B7120" s="236"/>
      <c r="C7120" s="236"/>
      <c r="D7120" s="236"/>
    </row>
    <row r="7121" spans="2:4" ht="12.75" customHeight="1" x14ac:dyDescent="0.2">
      <c r="B7121" s="236"/>
      <c r="C7121" s="236"/>
      <c r="D7121" s="236"/>
    </row>
    <row r="7122" spans="2:4" x14ac:dyDescent="0.2">
      <c r="B7122" s="236"/>
      <c r="C7122" s="236"/>
      <c r="D7122" s="236"/>
    </row>
    <row r="7123" spans="2:4" ht="12.75" customHeight="1" x14ac:dyDescent="0.2">
      <c r="B7123" s="236"/>
      <c r="C7123" s="236"/>
      <c r="D7123" s="236"/>
    </row>
    <row r="7124" spans="2:4" ht="12.75" customHeight="1" x14ac:dyDescent="0.2">
      <c r="B7124" s="236"/>
      <c r="C7124" s="236"/>
      <c r="D7124" s="236"/>
    </row>
    <row r="7125" spans="2:4" x14ac:dyDescent="0.2">
      <c r="B7125" s="236"/>
      <c r="C7125" s="236"/>
      <c r="D7125" s="236"/>
    </row>
    <row r="7126" spans="2:4" ht="12.75" customHeight="1" x14ac:dyDescent="0.2">
      <c r="B7126" s="236"/>
      <c r="C7126" s="236"/>
      <c r="D7126" s="236"/>
    </row>
    <row r="7127" spans="2:4" x14ac:dyDescent="0.2">
      <c r="B7127" s="236"/>
      <c r="C7127" s="236"/>
      <c r="D7127" s="236"/>
    </row>
    <row r="7128" spans="2:4" ht="12.75" customHeight="1" x14ac:dyDescent="0.2">
      <c r="B7128" s="236"/>
      <c r="C7128" s="236"/>
      <c r="D7128" s="236"/>
    </row>
    <row r="7129" spans="2:4" ht="12.75" customHeight="1" x14ac:dyDescent="0.2">
      <c r="B7129" s="236"/>
      <c r="C7129" s="236"/>
      <c r="D7129" s="236"/>
    </row>
    <row r="7130" spans="2:4" ht="12.75" customHeight="1" x14ac:dyDescent="0.2">
      <c r="B7130" s="236"/>
      <c r="C7130" s="236"/>
      <c r="D7130" s="236"/>
    </row>
    <row r="7131" spans="2:4" ht="12.75" customHeight="1" x14ac:dyDescent="0.2">
      <c r="B7131" s="236"/>
      <c r="C7131" s="236"/>
      <c r="D7131" s="236"/>
    </row>
    <row r="7132" spans="2:4" ht="12.75" customHeight="1" x14ac:dyDescent="0.2">
      <c r="B7132" s="236"/>
      <c r="C7132" s="236"/>
      <c r="D7132" s="236"/>
    </row>
    <row r="7133" spans="2:4" x14ac:dyDescent="0.2">
      <c r="B7133" s="236"/>
      <c r="C7133" s="236"/>
      <c r="D7133" s="236"/>
    </row>
    <row r="7134" spans="2:4" ht="12.75" customHeight="1" x14ac:dyDescent="0.2">
      <c r="B7134" s="236"/>
      <c r="C7134" s="236"/>
      <c r="D7134" s="236"/>
    </row>
    <row r="7135" spans="2:4" x14ac:dyDescent="0.2">
      <c r="B7135" s="236"/>
      <c r="C7135" s="236"/>
      <c r="D7135" s="236"/>
    </row>
    <row r="7136" spans="2:4" ht="12.75" customHeight="1" x14ac:dyDescent="0.2">
      <c r="B7136" s="236"/>
      <c r="C7136" s="236"/>
      <c r="D7136" s="236"/>
    </row>
    <row r="7137" spans="2:4" ht="12.75" customHeight="1" x14ac:dyDescent="0.2">
      <c r="B7137" s="236"/>
      <c r="C7137" s="236"/>
      <c r="D7137" s="236"/>
    </row>
    <row r="7138" spans="2:4" x14ac:dyDescent="0.2">
      <c r="B7138" s="236"/>
      <c r="C7138" s="236"/>
      <c r="D7138" s="236"/>
    </row>
    <row r="7139" spans="2:4" x14ac:dyDescent="0.2">
      <c r="B7139" s="236"/>
      <c r="C7139" s="236"/>
      <c r="D7139" s="236"/>
    </row>
    <row r="7140" spans="2:4" ht="12.75" customHeight="1" x14ac:dyDescent="0.2">
      <c r="B7140" s="236"/>
      <c r="C7140" s="236"/>
      <c r="D7140" s="236"/>
    </row>
    <row r="7141" spans="2:4" ht="12.75" customHeight="1" x14ac:dyDescent="0.2">
      <c r="B7141" s="236"/>
      <c r="C7141" s="236"/>
      <c r="D7141" s="236"/>
    </row>
    <row r="7142" spans="2:4" x14ac:dyDescent="0.2">
      <c r="B7142" s="236"/>
      <c r="C7142" s="236"/>
      <c r="D7142" s="236"/>
    </row>
    <row r="7143" spans="2:4" ht="12.75" customHeight="1" x14ac:dyDescent="0.2">
      <c r="B7143" s="236"/>
      <c r="C7143" s="236"/>
      <c r="D7143" s="236"/>
    </row>
    <row r="7144" spans="2:4" x14ac:dyDescent="0.2">
      <c r="B7144" s="236"/>
      <c r="C7144" s="236"/>
      <c r="D7144" s="236"/>
    </row>
    <row r="7145" spans="2:4" ht="12.75" customHeight="1" x14ac:dyDescent="0.2">
      <c r="B7145" s="236"/>
      <c r="C7145" s="236"/>
      <c r="D7145" s="236"/>
    </row>
    <row r="7146" spans="2:4" ht="12.75" customHeight="1" x14ac:dyDescent="0.2">
      <c r="B7146" s="236"/>
      <c r="C7146" s="236"/>
      <c r="D7146" s="236"/>
    </row>
    <row r="7147" spans="2:4" ht="12.75" customHeight="1" x14ac:dyDescent="0.2">
      <c r="B7147" s="236"/>
      <c r="C7147" s="236"/>
      <c r="D7147" s="236"/>
    </row>
    <row r="7148" spans="2:4" x14ac:dyDescent="0.2">
      <c r="B7148" s="236"/>
      <c r="C7148" s="236"/>
      <c r="D7148" s="236"/>
    </row>
    <row r="7149" spans="2:4" ht="12.75" customHeight="1" x14ac:dyDescent="0.2">
      <c r="B7149" s="236"/>
      <c r="C7149" s="236"/>
      <c r="D7149" s="236"/>
    </row>
    <row r="7150" spans="2:4" ht="12.75" customHeight="1" x14ac:dyDescent="0.2">
      <c r="B7150" s="236"/>
      <c r="C7150" s="236"/>
      <c r="D7150" s="236"/>
    </row>
    <row r="7151" spans="2:4" ht="12.75" customHeight="1" x14ac:dyDescent="0.2">
      <c r="B7151" s="236"/>
      <c r="C7151" s="236"/>
      <c r="D7151" s="236"/>
    </row>
    <row r="7152" spans="2:4" x14ac:dyDescent="0.2">
      <c r="B7152" s="236"/>
      <c r="C7152" s="236"/>
      <c r="D7152" s="236"/>
    </row>
    <row r="7153" spans="2:4" ht="12.75" customHeight="1" x14ac:dyDescent="0.2">
      <c r="B7153" s="236"/>
      <c r="C7153" s="236"/>
      <c r="D7153" s="236"/>
    </row>
    <row r="7154" spans="2:4" ht="12.75" customHeight="1" x14ac:dyDescent="0.2">
      <c r="B7154" s="236"/>
      <c r="C7154" s="236"/>
      <c r="D7154" s="236"/>
    </row>
    <row r="7155" spans="2:4" x14ac:dyDescent="0.2">
      <c r="B7155" s="236"/>
      <c r="C7155" s="236"/>
      <c r="D7155" s="236"/>
    </row>
    <row r="7156" spans="2:4" ht="12.75" customHeight="1" x14ac:dyDescent="0.2">
      <c r="B7156" s="236"/>
      <c r="C7156" s="236"/>
      <c r="D7156" s="236"/>
    </row>
    <row r="7157" spans="2:4" x14ac:dyDescent="0.2">
      <c r="B7157" s="236"/>
      <c r="C7157" s="236"/>
      <c r="D7157" s="236"/>
    </row>
    <row r="7158" spans="2:4" ht="12.75" customHeight="1" x14ac:dyDescent="0.2">
      <c r="B7158" s="236"/>
      <c r="C7158" s="236"/>
      <c r="D7158" s="236"/>
    </row>
    <row r="7159" spans="2:4" ht="12.75" customHeight="1" x14ac:dyDescent="0.2">
      <c r="B7159" s="236"/>
      <c r="C7159" s="236"/>
      <c r="D7159" s="236"/>
    </row>
    <row r="7160" spans="2:4" x14ac:dyDescent="0.2">
      <c r="B7160" s="236"/>
      <c r="C7160" s="236"/>
      <c r="D7160" s="236"/>
    </row>
    <row r="7161" spans="2:4" ht="12.75" customHeight="1" x14ac:dyDescent="0.2">
      <c r="B7161" s="236"/>
      <c r="C7161" s="236"/>
      <c r="D7161" s="236"/>
    </row>
    <row r="7162" spans="2:4" ht="12.75" customHeight="1" x14ac:dyDescent="0.2">
      <c r="B7162" s="236"/>
      <c r="C7162" s="236"/>
      <c r="D7162" s="236"/>
    </row>
    <row r="7163" spans="2:4" x14ac:dyDescent="0.2">
      <c r="B7163" s="236"/>
      <c r="C7163" s="236"/>
      <c r="D7163" s="236"/>
    </row>
    <row r="7164" spans="2:4" ht="12.75" customHeight="1" x14ac:dyDescent="0.2">
      <c r="B7164" s="236"/>
      <c r="C7164" s="236"/>
      <c r="D7164" s="236"/>
    </row>
    <row r="7165" spans="2:4" ht="12.75" customHeight="1" x14ac:dyDescent="0.2">
      <c r="B7165" s="236"/>
      <c r="C7165" s="236"/>
      <c r="D7165" s="236"/>
    </row>
    <row r="7166" spans="2:4" x14ac:dyDescent="0.2">
      <c r="B7166" s="236"/>
      <c r="C7166" s="236"/>
      <c r="D7166" s="236"/>
    </row>
    <row r="7167" spans="2:4" ht="12.75" customHeight="1" x14ac:dyDescent="0.2">
      <c r="B7167" s="236"/>
      <c r="C7167" s="236"/>
      <c r="D7167" s="236"/>
    </row>
    <row r="7168" spans="2:4" x14ac:dyDescent="0.2">
      <c r="B7168" s="236"/>
      <c r="C7168" s="236"/>
      <c r="D7168" s="236"/>
    </row>
    <row r="7169" spans="2:4" ht="12.75" customHeight="1" x14ac:dyDescent="0.2">
      <c r="B7169" s="236"/>
      <c r="C7169" s="236"/>
      <c r="D7169" s="236"/>
    </row>
    <row r="7170" spans="2:4" ht="12.75" customHeight="1" x14ac:dyDescent="0.2">
      <c r="B7170" s="236"/>
      <c r="C7170" s="236"/>
      <c r="D7170" s="236"/>
    </row>
    <row r="7171" spans="2:4" ht="12.75" customHeight="1" x14ac:dyDescent="0.2">
      <c r="B7171" s="236"/>
      <c r="C7171" s="236"/>
      <c r="D7171" s="236"/>
    </row>
    <row r="7172" spans="2:4" ht="12.75" customHeight="1" x14ac:dyDescent="0.2">
      <c r="B7172" s="236"/>
      <c r="C7172" s="236"/>
      <c r="D7172" s="236"/>
    </row>
    <row r="7173" spans="2:4" x14ac:dyDescent="0.2">
      <c r="B7173" s="236"/>
      <c r="C7173" s="236"/>
      <c r="D7173" s="236"/>
    </row>
    <row r="7174" spans="2:4" ht="12.75" customHeight="1" x14ac:dyDescent="0.2">
      <c r="B7174" s="236"/>
      <c r="C7174" s="236"/>
      <c r="D7174" s="236"/>
    </row>
    <row r="7175" spans="2:4" ht="12.75" customHeight="1" x14ac:dyDescent="0.2">
      <c r="B7175" s="236"/>
      <c r="C7175" s="236"/>
      <c r="D7175" s="236"/>
    </row>
    <row r="7176" spans="2:4" x14ac:dyDescent="0.2">
      <c r="B7176" s="236"/>
      <c r="C7176" s="236"/>
      <c r="D7176" s="236"/>
    </row>
    <row r="7177" spans="2:4" ht="12.75" customHeight="1" x14ac:dyDescent="0.2">
      <c r="B7177" s="236"/>
      <c r="C7177" s="236"/>
      <c r="D7177" s="236"/>
    </row>
    <row r="7178" spans="2:4" ht="12.75" customHeight="1" x14ac:dyDescent="0.2">
      <c r="B7178" s="236"/>
      <c r="C7178" s="236"/>
      <c r="D7178" s="236"/>
    </row>
    <row r="7179" spans="2:4" x14ac:dyDescent="0.2">
      <c r="B7179" s="236"/>
      <c r="C7179" s="236"/>
      <c r="D7179" s="236"/>
    </row>
    <row r="7180" spans="2:4" ht="12.75" customHeight="1" x14ac:dyDescent="0.2">
      <c r="B7180" s="236"/>
      <c r="C7180" s="236"/>
      <c r="D7180" s="236"/>
    </row>
    <row r="7181" spans="2:4" ht="12.75" customHeight="1" x14ac:dyDescent="0.2">
      <c r="B7181" s="236"/>
      <c r="C7181" s="236"/>
      <c r="D7181" s="236"/>
    </row>
    <row r="7182" spans="2:4" ht="12.75" customHeight="1" x14ac:dyDescent="0.2">
      <c r="B7182" s="236"/>
      <c r="C7182" s="236"/>
      <c r="D7182" s="236"/>
    </row>
    <row r="7183" spans="2:4" ht="12.75" customHeight="1" x14ac:dyDescent="0.2">
      <c r="B7183" s="236"/>
      <c r="C7183" s="236"/>
      <c r="D7183" s="236"/>
    </row>
    <row r="7184" spans="2:4" x14ac:dyDescent="0.2">
      <c r="B7184" s="236"/>
      <c r="C7184" s="236"/>
      <c r="D7184" s="236"/>
    </row>
    <row r="7185" spans="2:4" ht="12.75" customHeight="1" x14ac:dyDescent="0.2">
      <c r="B7185" s="236"/>
      <c r="C7185" s="236"/>
      <c r="D7185" s="236"/>
    </row>
    <row r="7186" spans="2:4" x14ac:dyDescent="0.2">
      <c r="B7186" s="236"/>
      <c r="C7186" s="236"/>
      <c r="D7186" s="236"/>
    </row>
    <row r="7187" spans="2:4" x14ac:dyDescent="0.2">
      <c r="B7187" s="236"/>
      <c r="C7187" s="236"/>
      <c r="D7187" s="236"/>
    </row>
    <row r="7188" spans="2:4" ht="12.75" customHeight="1" x14ac:dyDescent="0.2">
      <c r="B7188" s="236"/>
      <c r="C7188" s="236"/>
      <c r="D7188" s="236"/>
    </row>
    <row r="7189" spans="2:4" x14ac:dyDescent="0.2">
      <c r="B7189" s="236"/>
      <c r="C7189" s="236"/>
      <c r="D7189" s="236"/>
    </row>
    <row r="7190" spans="2:4" ht="12.75" customHeight="1" x14ac:dyDescent="0.2">
      <c r="B7190" s="236"/>
      <c r="C7190" s="236"/>
      <c r="D7190" s="236"/>
    </row>
    <row r="7191" spans="2:4" ht="12.75" customHeight="1" x14ac:dyDescent="0.2">
      <c r="B7191" s="236"/>
      <c r="C7191" s="236"/>
      <c r="D7191" s="236"/>
    </row>
    <row r="7192" spans="2:4" x14ac:dyDescent="0.2">
      <c r="B7192" s="236"/>
      <c r="C7192" s="236"/>
      <c r="D7192" s="236"/>
    </row>
    <row r="7193" spans="2:4" ht="12.75" customHeight="1" x14ac:dyDescent="0.2">
      <c r="B7193" s="236"/>
      <c r="C7193" s="236"/>
      <c r="D7193" s="236"/>
    </row>
    <row r="7194" spans="2:4" x14ac:dyDescent="0.2">
      <c r="B7194" s="236"/>
      <c r="C7194" s="236"/>
      <c r="D7194" s="236"/>
    </row>
    <row r="7195" spans="2:4" ht="12.75" customHeight="1" x14ac:dyDescent="0.2">
      <c r="B7195" s="236"/>
      <c r="C7195" s="236"/>
      <c r="D7195" s="236"/>
    </row>
    <row r="7196" spans="2:4" ht="12.75" customHeight="1" x14ac:dyDescent="0.2">
      <c r="B7196" s="236"/>
      <c r="C7196" s="236"/>
      <c r="D7196" s="236"/>
    </row>
    <row r="7197" spans="2:4" x14ac:dyDescent="0.2">
      <c r="B7197" s="236"/>
      <c r="C7197" s="236"/>
      <c r="D7197" s="236"/>
    </row>
    <row r="7198" spans="2:4" ht="12.75" customHeight="1" x14ac:dyDescent="0.2">
      <c r="B7198" s="236"/>
      <c r="C7198" s="236"/>
      <c r="D7198" s="236"/>
    </row>
    <row r="7199" spans="2:4" x14ac:dyDescent="0.2">
      <c r="B7199" s="236"/>
      <c r="C7199" s="236"/>
      <c r="D7199" s="236"/>
    </row>
    <row r="7200" spans="2:4" x14ac:dyDescent="0.2">
      <c r="B7200" s="236"/>
      <c r="C7200" s="236"/>
      <c r="D7200" s="236"/>
    </row>
    <row r="7201" spans="2:4" ht="12.75" customHeight="1" x14ac:dyDescent="0.2">
      <c r="B7201" s="236"/>
      <c r="C7201" s="236"/>
      <c r="D7201" s="236"/>
    </row>
    <row r="7202" spans="2:4" x14ac:dyDescent="0.2">
      <c r="B7202" s="236"/>
      <c r="C7202" s="236"/>
      <c r="D7202" s="236"/>
    </row>
    <row r="7203" spans="2:4" x14ac:dyDescent="0.2">
      <c r="B7203" s="236"/>
      <c r="C7203" s="236"/>
      <c r="D7203" s="236"/>
    </row>
    <row r="7204" spans="2:4" x14ac:dyDescent="0.2">
      <c r="B7204" s="236"/>
      <c r="C7204" s="236"/>
      <c r="D7204" s="236"/>
    </row>
    <row r="7205" spans="2:4" x14ac:dyDescent="0.2">
      <c r="B7205" s="236"/>
      <c r="C7205" s="236"/>
      <c r="D7205" s="236"/>
    </row>
    <row r="7206" spans="2:4" ht="12.75" customHeight="1" x14ac:dyDescent="0.2">
      <c r="B7206" s="236"/>
      <c r="C7206" s="236"/>
      <c r="D7206" s="236"/>
    </row>
    <row r="7207" spans="2:4" x14ac:dyDescent="0.2">
      <c r="B7207" s="236"/>
      <c r="C7207" s="236"/>
      <c r="D7207" s="236"/>
    </row>
    <row r="7208" spans="2:4" ht="12.75" customHeight="1" x14ac:dyDescent="0.2">
      <c r="B7208" s="236"/>
      <c r="C7208" s="236"/>
      <c r="D7208" s="236"/>
    </row>
    <row r="7209" spans="2:4" ht="12.75" customHeight="1" x14ac:dyDescent="0.2">
      <c r="B7209" s="236"/>
      <c r="C7209" s="236"/>
      <c r="D7209" s="236"/>
    </row>
    <row r="7210" spans="2:4" ht="12.75" customHeight="1" x14ac:dyDescent="0.2">
      <c r="B7210" s="236"/>
      <c r="C7210" s="236"/>
      <c r="D7210" s="236"/>
    </row>
    <row r="7211" spans="2:4" x14ac:dyDescent="0.2">
      <c r="B7211" s="236"/>
      <c r="C7211" s="236"/>
      <c r="D7211" s="236"/>
    </row>
    <row r="7212" spans="2:4" ht="12.75" customHeight="1" x14ac:dyDescent="0.2">
      <c r="B7212" s="236"/>
      <c r="C7212" s="236"/>
      <c r="D7212" s="236"/>
    </row>
    <row r="7213" spans="2:4" ht="12.75" customHeight="1" x14ac:dyDescent="0.2">
      <c r="B7213" s="236"/>
      <c r="C7213" s="236"/>
      <c r="D7213" s="236"/>
    </row>
    <row r="7214" spans="2:4" ht="12.75" customHeight="1" x14ac:dyDescent="0.2">
      <c r="B7214" s="236"/>
      <c r="C7214" s="236"/>
      <c r="D7214" s="236"/>
    </row>
    <row r="7215" spans="2:4" x14ac:dyDescent="0.2">
      <c r="B7215" s="236"/>
      <c r="C7215" s="236"/>
      <c r="D7215" s="236"/>
    </row>
    <row r="7216" spans="2:4" ht="12.75" customHeight="1" x14ac:dyDescent="0.2">
      <c r="B7216" s="236"/>
      <c r="C7216" s="236"/>
      <c r="D7216" s="236"/>
    </row>
    <row r="7217" spans="2:4" x14ac:dyDescent="0.2">
      <c r="B7217" s="236"/>
      <c r="C7217" s="236"/>
      <c r="D7217" s="236"/>
    </row>
    <row r="7218" spans="2:4" ht="12.75" customHeight="1" x14ac:dyDescent="0.2">
      <c r="B7218" s="236"/>
      <c r="C7218" s="236"/>
      <c r="D7218" s="236"/>
    </row>
    <row r="7219" spans="2:4" x14ac:dyDescent="0.2">
      <c r="B7219" s="236"/>
      <c r="C7219" s="236"/>
      <c r="D7219" s="236"/>
    </row>
    <row r="7220" spans="2:4" ht="12.75" customHeight="1" x14ac:dyDescent="0.2">
      <c r="B7220" s="236"/>
      <c r="C7220" s="236"/>
      <c r="D7220" s="236"/>
    </row>
    <row r="7221" spans="2:4" ht="12.75" customHeight="1" x14ac:dyDescent="0.2">
      <c r="B7221" s="236"/>
      <c r="C7221" s="236"/>
      <c r="D7221" s="236"/>
    </row>
    <row r="7222" spans="2:4" x14ac:dyDescent="0.2">
      <c r="B7222" s="236"/>
      <c r="C7222" s="236"/>
      <c r="D7222" s="236"/>
    </row>
    <row r="7223" spans="2:4" x14ac:dyDescent="0.2">
      <c r="B7223" s="236"/>
      <c r="C7223" s="236"/>
      <c r="D7223" s="236"/>
    </row>
    <row r="7224" spans="2:4" x14ac:dyDescent="0.2">
      <c r="B7224" s="236"/>
      <c r="C7224" s="236"/>
      <c r="D7224" s="236"/>
    </row>
    <row r="7225" spans="2:4" ht="12.75" customHeight="1" x14ac:dyDescent="0.2">
      <c r="B7225" s="236"/>
      <c r="C7225" s="236"/>
      <c r="D7225" s="236"/>
    </row>
    <row r="7226" spans="2:4" ht="12.75" customHeight="1" x14ac:dyDescent="0.2">
      <c r="B7226" s="236"/>
      <c r="C7226" s="236"/>
      <c r="D7226" s="236"/>
    </row>
    <row r="7227" spans="2:4" ht="12.75" customHeight="1" x14ac:dyDescent="0.2">
      <c r="B7227" s="236"/>
      <c r="C7227" s="236"/>
      <c r="D7227" s="236"/>
    </row>
    <row r="7228" spans="2:4" x14ac:dyDescent="0.2">
      <c r="B7228" s="236"/>
      <c r="C7228" s="236"/>
      <c r="D7228" s="236"/>
    </row>
    <row r="7229" spans="2:4" x14ac:dyDescent="0.2">
      <c r="B7229" s="236"/>
      <c r="C7229" s="236"/>
      <c r="D7229" s="236"/>
    </row>
    <row r="7230" spans="2:4" ht="12.75" customHeight="1" x14ac:dyDescent="0.2">
      <c r="B7230" s="236"/>
      <c r="C7230" s="236"/>
      <c r="D7230" s="236"/>
    </row>
    <row r="7231" spans="2:4" ht="12.75" customHeight="1" x14ac:dyDescent="0.2">
      <c r="B7231" s="236"/>
      <c r="C7231" s="236"/>
      <c r="D7231" s="236"/>
    </row>
    <row r="7232" spans="2:4" ht="12.75" customHeight="1" x14ac:dyDescent="0.2">
      <c r="B7232" s="236"/>
      <c r="C7232" s="236"/>
      <c r="D7232" s="236"/>
    </row>
    <row r="7233" spans="2:4" ht="12.75" customHeight="1" x14ac:dyDescent="0.2">
      <c r="B7233" s="236"/>
      <c r="C7233" s="236"/>
      <c r="D7233" s="236"/>
    </row>
    <row r="7234" spans="2:4" ht="12.75" customHeight="1" x14ac:dyDescent="0.2">
      <c r="B7234" s="236"/>
      <c r="C7234" s="236"/>
      <c r="D7234" s="236"/>
    </row>
    <row r="7235" spans="2:4" ht="12.75" customHeight="1" x14ac:dyDescent="0.2">
      <c r="B7235" s="236"/>
      <c r="C7235" s="236"/>
      <c r="D7235" s="236"/>
    </row>
    <row r="7236" spans="2:4" x14ac:dyDescent="0.2">
      <c r="B7236" s="236"/>
      <c r="C7236" s="236"/>
      <c r="D7236" s="236"/>
    </row>
    <row r="7237" spans="2:4" ht="12.75" customHeight="1" x14ac:dyDescent="0.2">
      <c r="B7237" s="236"/>
      <c r="C7237" s="236"/>
      <c r="D7237" s="236"/>
    </row>
    <row r="7238" spans="2:4" ht="12.75" customHeight="1" x14ac:dyDescent="0.2">
      <c r="B7238" s="236"/>
      <c r="C7238" s="236"/>
      <c r="D7238" s="236"/>
    </row>
    <row r="7239" spans="2:4" x14ac:dyDescent="0.2">
      <c r="B7239" s="236"/>
      <c r="C7239" s="236"/>
      <c r="D7239" s="236"/>
    </row>
    <row r="7240" spans="2:4" x14ac:dyDescent="0.2">
      <c r="B7240" s="236"/>
      <c r="C7240" s="236"/>
      <c r="D7240" s="236"/>
    </row>
    <row r="7241" spans="2:4" ht="12.75" customHeight="1" x14ac:dyDescent="0.2">
      <c r="B7241" s="236"/>
      <c r="C7241" s="236"/>
      <c r="D7241" s="236"/>
    </row>
    <row r="7242" spans="2:4" ht="12.75" customHeight="1" x14ac:dyDescent="0.2">
      <c r="B7242" s="236"/>
      <c r="C7242" s="236"/>
      <c r="D7242" s="236"/>
    </row>
    <row r="7243" spans="2:4" ht="12.75" customHeight="1" x14ac:dyDescent="0.2">
      <c r="B7243" s="236"/>
      <c r="C7243" s="236"/>
      <c r="D7243" s="236"/>
    </row>
    <row r="7244" spans="2:4" ht="12.75" customHeight="1" x14ac:dyDescent="0.2">
      <c r="B7244" s="236"/>
      <c r="C7244" s="236"/>
      <c r="D7244" s="236"/>
    </row>
    <row r="7245" spans="2:4" ht="12.75" customHeight="1" x14ac:dyDescent="0.2">
      <c r="B7245" s="236"/>
      <c r="C7245" s="236"/>
      <c r="D7245" s="236"/>
    </row>
    <row r="7246" spans="2:4" ht="12.75" customHeight="1" x14ac:dyDescent="0.2">
      <c r="B7246" s="236"/>
      <c r="C7246" s="236"/>
      <c r="D7246" s="236"/>
    </row>
    <row r="7247" spans="2:4" ht="12.75" customHeight="1" x14ac:dyDescent="0.2">
      <c r="B7247" s="236"/>
      <c r="C7247" s="236"/>
      <c r="D7247" s="236"/>
    </row>
    <row r="7248" spans="2:4" ht="12.75" customHeight="1" x14ac:dyDescent="0.2">
      <c r="B7248" s="236"/>
      <c r="C7248" s="236"/>
      <c r="D7248" s="236"/>
    </row>
    <row r="7249" spans="2:4" x14ac:dyDescent="0.2">
      <c r="B7249" s="236"/>
      <c r="C7249" s="236"/>
      <c r="D7249" s="236"/>
    </row>
    <row r="7250" spans="2:4" ht="12.75" customHeight="1" x14ac:dyDescent="0.2">
      <c r="B7250" s="236"/>
      <c r="C7250" s="236"/>
      <c r="D7250" s="236"/>
    </row>
    <row r="7251" spans="2:4" x14ac:dyDescent="0.2">
      <c r="B7251" s="236"/>
      <c r="C7251" s="236"/>
      <c r="D7251" s="236"/>
    </row>
    <row r="7252" spans="2:4" ht="12.75" customHeight="1" x14ac:dyDescent="0.2">
      <c r="B7252" s="236"/>
      <c r="C7252" s="236"/>
      <c r="D7252" s="236"/>
    </row>
    <row r="7253" spans="2:4" ht="12.75" customHeight="1" x14ac:dyDescent="0.2">
      <c r="B7253" s="236"/>
      <c r="C7253" s="236"/>
      <c r="D7253" s="236"/>
    </row>
    <row r="7254" spans="2:4" ht="12.75" customHeight="1" x14ac:dyDescent="0.2">
      <c r="B7254" s="236"/>
      <c r="C7254" s="236"/>
      <c r="D7254" s="236"/>
    </row>
    <row r="7255" spans="2:4" ht="12.75" customHeight="1" x14ac:dyDescent="0.2">
      <c r="B7255" s="236"/>
      <c r="C7255" s="236"/>
      <c r="D7255" s="236"/>
    </row>
    <row r="7256" spans="2:4" ht="12.75" customHeight="1" x14ac:dyDescent="0.2">
      <c r="B7256" s="236"/>
      <c r="C7256" s="236"/>
      <c r="D7256" s="236"/>
    </row>
    <row r="7257" spans="2:4" x14ac:dyDescent="0.2">
      <c r="B7257" s="236"/>
      <c r="C7257" s="236"/>
      <c r="D7257" s="236"/>
    </row>
    <row r="7258" spans="2:4" ht="12.75" customHeight="1" x14ac:dyDescent="0.2">
      <c r="B7258" s="236"/>
      <c r="C7258" s="236"/>
      <c r="D7258" s="236"/>
    </row>
    <row r="7259" spans="2:4" x14ac:dyDescent="0.2">
      <c r="B7259" s="236"/>
      <c r="C7259" s="236"/>
      <c r="D7259" s="236"/>
    </row>
    <row r="7260" spans="2:4" x14ac:dyDescent="0.2">
      <c r="B7260" s="236"/>
      <c r="C7260" s="236"/>
      <c r="D7260" s="236"/>
    </row>
    <row r="7261" spans="2:4" ht="12.75" customHeight="1" x14ac:dyDescent="0.2">
      <c r="B7261" s="236"/>
      <c r="C7261" s="236"/>
      <c r="D7261" s="236"/>
    </row>
    <row r="7262" spans="2:4" ht="12.75" customHeight="1" x14ac:dyDescent="0.2">
      <c r="B7262" s="236"/>
      <c r="C7262" s="236"/>
      <c r="D7262" s="236"/>
    </row>
    <row r="7263" spans="2:4" x14ac:dyDescent="0.2">
      <c r="B7263" s="236"/>
      <c r="C7263" s="236"/>
      <c r="D7263" s="236"/>
    </row>
    <row r="7264" spans="2:4" x14ac:dyDescent="0.2">
      <c r="B7264" s="236"/>
      <c r="C7264" s="236"/>
      <c r="D7264" s="236"/>
    </row>
    <row r="7265" spans="2:4" ht="12.75" customHeight="1" x14ac:dyDescent="0.2">
      <c r="B7265" s="236"/>
      <c r="C7265" s="236"/>
      <c r="D7265" s="236"/>
    </row>
    <row r="7266" spans="2:4" ht="12.75" customHeight="1" x14ac:dyDescent="0.2">
      <c r="B7266" s="236"/>
      <c r="C7266" s="236"/>
      <c r="D7266" s="236"/>
    </row>
    <row r="7267" spans="2:4" x14ac:dyDescent="0.2">
      <c r="B7267" s="236"/>
      <c r="C7267" s="236"/>
      <c r="D7267" s="236"/>
    </row>
    <row r="7268" spans="2:4" ht="12.75" customHeight="1" x14ac:dyDescent="0.2">
      <c r="B7268" s="236"/>
      <c r="C7268" s="236"/>
      <c r="D7268" s="236"/>
    </row>
    <row r="7269" spans="2:4" ht="12.75" customHeight="1" x14ac:dyDescent="0.2">
      <c r="B7269" s="236"/>
      <c r="C7269" s="236"/>
      <c r="D7269" s="236"/>
    </row>
    <row r="7270" spans="2:4" ht="12.75" customHeight="1" x14ac:dyDescent="0.2">
      <c r="B7270" s="236"/>
      <c r="C7270" s="236"/>
      <c r="D7270" s="236"/>
    </row>
    <row r="7271" spans="2:4" ht="12.75" customHeight="1" x14ac:dyDescent="0.2">
      <c r="B7271" s="236"/>
      <c r="C7271" s="236"/>
      <c r="D7271" s="236"/>
    </row>
    <row r="7272" spans="2:4" ht="12.75" customHeight="1" x14ac:dyDescent="0.2">
      <c r="B7272" s="236"/>
      <c r="C7272" s="236"/>
      <c r="D7272" s="236"/>
    </row>
    <row r="7273" spans="2:4" ht="12.75" customHeight="1" x14ac:dyDescent="0.2">
      <c r="B7273" s="236"/>
      <c r="C7273" s="236"/>
      <c r="D7273" s="236"/>
    </row>
    <row r="7274" spans="2:4" ht="12.75" customHeight="1" x14ac:dyDescent="0.2">
      <c r="B7274" s="236"/>
      <c r="C7274" s="236"/>
      <c r="D7274" s="236"/>
    </row>
    <row r="7275" spans="2:4" x14ac:dyDescent="0.2">
      <c r="B7275" s="236"/>
      <c r="C7275" s="236"/>
      <c r="D7275" s="236"/>
    </row>
    <row r="7276" spans="2:4" x14ac:dyDescent="0.2">
      <c r="B7276" s="236"/>
      <c r="C7276" s="236"/>
      <c r="D7276" s="236"/>
    </row>
    <row r="7277" spans="2:4" x14ac:dyDescent="0.2">
      <c r="B7277" s="236"/>
      <c r="C7277" s="236"/>
      <c r="D7277" s="236"/>
    </row>
    <row r="7278" spans="2:4" ht="12.75" customHeight="1" x14ac:dyDescent="0.2">
      <c r="B7278" s="236"/>
      <c r="C7278" s="236"/>
      <c r="D7278" s="236"/>
    </row>
    <row r="7279" spans="2:4" ht="12.75" customHeight="1" x14ac:dyDescent="0.2">
      <c r="B7279" s="236"/>
      <c r="C7279" s="236"/>
      <c r="D7279" s="236"/>
    </row>
    <row r="7280" spans="2:4" x14ac:dyDescent="0.2">
      <c r="B7280" s="236"/>
      <c r="C7280" s="236"/>
      <c r="D7280" s="236"/>
    </row>
    <row r="7281" spans="2:4" ht="12.75" customHeight="1" x14ac:dyDescent="0.2">
      <c r="B7281" s="236"/>
      <c r="C7281" s="236"/>
      <c r="D7281" s="236"/>
    </row>
    <row r="7282" spans="2:4" ht="12.75" customHeight="1" x14ac:dyDescent="0.2">
      <c r="B7282" s="236"/>
      <c r="C7282" s="236"/>
      <c r="D7282" s="236"/>
    </row>
    <row r="7283" spans="2:4" ht="12.75" customHeight="1" x14ac:dyDescent="0.2">
      <c r="B7283" s="236"/>
      <c r="C7283" s="236"/>
      <c r="D7283" s="236"/>
    </row>
    <row r="7284" spans="2:4" x14ac:dyDescent="0.2">
      <c r="B7284" s="236"/>
      <c r="C7284" s="236"/>
      <c r="D7284" s="236"/>
    </row>
    <row r="7285" spans="2:4" ht="12.75" customHeight="1" x14ac:dyDescent="0.2">
      <c r="B7285" s="236"/>
      <c r="C7285" s="236"/>
      <c r="D7285" s="236"/>
    </row>
    <row r="7286" spans="2:4" ht="12.75" customHeight="1" x14ac:dyDescent="0.2">
      <c r="B7286" s="236"/>
      <c r="C7286" s="236"/>
      <c r="D7286" s="236"/>
    </row>
    <row r="7287" spans="2:4" ht="12.75" customHeight="1" x14ac:dyDescent="0.2">
      <c r="B7287" s="236"/>
      <c r="C7287" s="236"/>
      <c r="D7287" s="236"/>
    </row>
    <row r="7288" spans="2:4" ht="12.75" customHeight="1" x14ac:dyDescent="0.2">
      <c r="B7288" s="236"/>
      <c r="C7288" s="236"/>
      <c r="D7288" s="236"/>
    </row>
    <row r="7289" spans="2:4" ht="12.75" customHeight="1" x14ac:dyDescent="0.2">
      <c r="B7289" s="236"/>
      <c r="C7289" s="236"/>
      <c r="D7289" s="236"/>
    </row>
    <row r="7290" spans="2:4" x14ac:dyDescent="0.2">
      <c r="B7290" s="236"/>
      <c r="C7290" s="236"/>
      <c r="D7290" s="236"/>
    </row>
    <row r="7291" spans="2:4" ht="12.75" customHeight="1" x14ac:dyDescent="0.2">
      <c r="B7291" s="236"/>
      <c r="C7291" s="236"/>
      <c r="D7291" s="236"/>
    </row>
    <row r="7292" spans="2:4" x14ac:dyDescent="0.2">
      <c r="B7292" s="236"/>
      <c r="C7292" s="236"/>
      <c r="D7292" s="236"/>
    </row>
    <row r="7293" spans="2:4" ht="12.75" customHeight="1" x14ac:dyDescent="0.2">
      <c r="B7293" s="236"/>
      <c r="C7293" s="236"/>
      <c r="D7293" s="236"/>
    </row>
    <row r="7294" spans="2:4" ht="12.75" customHeight="1" x14ac:dyDescent="0.2">
      <c r="B7294" s="236"/>
      <c r="C7294" s="236"/>
      <c r="D7294" s="236"/>
    </row>
    <row r="7295" spans="2:4" x14ac:dyDescent="0.2">
      <c r="B7295" s="236"/>
      <c r="C7295" s="236"/>
      <c r="D7295" s="236"/>
    </row>
    <row r="7296" spans="2:4" ht="12.75" customHeight="1" x14ac:dyDescent="0.2">
      <c r="B7296" s="236"/>
      <c r="C7296" s="236"/>
      <c r="D7296" s="236"/>
    </row>
    <row r="7297" spans="2:4" x14ac:dyDescent="0.2">
      <c r="B7297" s="236"/>
      <c r="C7297" s="236"/>
      <c r="D7297" s="236"/>
    </row>
    <row r="7298" spans="2:4" ht="12.75" customHeight="1" x14ac:dyDescent="0.2">
      <c r="B7298" s="236"/>
      <c r="C7298" s="236"/>
      <c r="D7298" s="236"/>
    </row>
    <row r="7299" spans="2:4" ht="12.75" customHeight="1" x14ac:dyDescent="0.2">
      <c r="B7299" s="236"/>
      <c r="C7299" s="236"/>
      <c r="D7299" s="236"/>
    </row>
    <row r="7300" spans="2:4" ht="12.75" customHeight="1" x14ac:dyDescent="0.2">
      <c r="B7300" s="236"/>
      <c r="C7300" s="236"/>
      <c r="D7300" s="236"/>
    </row>
    <row r="7301" spans="2:4" ht="12.75" customHeight="1" x14ac:dyDescent="0.2">
      <c r="B7301" s="236"/>
      <c r="C7301" s="236"/>
      <c r="D7301" s="236"/>
    </row>
    <row r="7302" spans="2:4" ht="12.75" customHeight="1" x14ac:dyDescent="0.2">
      <c r="B7302" s="236"/>
      <c r="C7302" s="236"/>
      <c r="D7302" s="236"/>
    </row>
    <row r="7303" spans="2:4" x14ac:dyDescent="0.2">
      <c r="B7303" s="236"/>
      <c r="C7303" s="236"/>
      <c r="D7303" s="236"/>
    </row>
    <row r="7304" spans="2:4" x14ac:dyDescent="0.2">
      <c r="B7304" s="236"/>
      <c r="C7304" s="236"/>
      <c r="D7304" s="236"/>
    </row>
    <row r="7305" spans="2:4" ht="12.75" customHeight="1" x14ac:dyDescent="0.2">
      <c r="B7305" s="236"/>
      <c r="C7305" s="236"/>
      <c r="D7305" s="236"/>
    </row>
    <row r="7306" spans="2:4" x14ac:dyDescent="0.2">
      <c r="B7306" s="236"/>
      <c r="C7306" s="236"/>
      <c r="D7306" s="236"/>
    </row>
    <row r="7307" spans="2:4" ht="12.75" customHeight="1" x14ac:dyDescent="0.2">
      <c r="B7307" s="236"/>
      <c r="C7307" s="236"/>
      <c r="D7307" s="236"/>
    </row>
    <row r="7308" spans="2:4" ht="12.75" customHeight="1" x14ac:dyDescent="0.2">
      <c r="B7308" s="236"/>
      <c r="C7308" s="236"/>
      <c r="D7308" s="236"/>
    </row>
    <row r="7309" spans="2:4" ht="12.75" customHeight="1" x14ac:dyDescent="0.2">
      <c r="B7309" s="236"/>
      <c r="C7309" s="236"/>
      <c r="D7309" s="236"/>
    </row>
    <row r="7310" spans="2:4" ht="12.75" customHeight="1" x14ac:dyDescent="0.2">
      <c r="B7310" s="236"/>
      <c r="C7310" s="236"/>
      <c r="D7310" s="236"/>
    </row>
    <row r="7311" spans="2:4" ht="12.75" customHeight="1" x14ac:dyDescent="0.2">
      <c r="B7311" s="236"/>
      <c r="C7311" s="236"/>
      <c r="D7311" s="236"/>
    </row>
    <row r="7312" spans="2:4" ht="12.75" customHeight="1" x14ac:dyDescent="0.2">
      <c r="B7312" s="236"/>
      <c r="C7312" s="236"/>
      <c r="D7312" s="236"/>
    </row>
    <row r="7313" spans="2:4" x14ac:dyDescent="0.2">
      <c r="B7313" s="236"/>
      <c r="C7313" s="236"/>
      <c r="D7313" s="236"/>
    </row>
    <row r="7314" spans="2:4" x14ac:dyDescent="0.2">
      <c r="B7314" s="236"/>
      <c r="C7314" s="236"/>
      <c r="D7314" s="236"/>
    </row>
    <row r="7315" spans="2:4" ht="12.75" customHeight="1" x14ac:dyDescent="0.2">
      <c r="B7315" s="236"/>
      <c r="C7315" s="236"/>
      <c r="D7315" s="236"/>
    </row>
    <row r="7316" spans="2:4" ht="12.75" customHeight="1" x14ac:dyDescent="0.2">
      <c r="B7316" s="236"/>
      <c r="C7316" s="236"/>
      <c r="D7316" s="236"/>
    </row>
    <row r="7317" spans="2:4" x14ac:dyDescent="0.2">
      <c r="B7317" s="236"/>
      <c r="C7317" s="236"/>
      <c r="D7317" s="236"/>
    </row>
    <row r="7318" spans="2:4" x14ac:dyDescent="0.2">
      <c r="B7318" s="236"/>
      <c r="C7318" s="236"/>
      <c r="D7318" s="236"/>
    </row>
    <row r="7319" spans="2:4" ht="12.75" customHeight="1" x14ac:dyDescent="0.2">
      <c r="B7319" s="236"/>
      <c r="C7319" s="236"/>
      <c r="D7319" s="236"/>
    </row>
    <row r="7320" spans="2:4" ht="12.75" customHeight="1" x14ac:dyDescent="0.2">
      <c r="B7320" s="236"/>
      <c r="C7320" s="236"/>
      <c r="D7320" s="236"/>
    </row>
    <row r="7321" spans="2:4" x14ac:dyDescent="0.2">
      <c r="B7321" s="236"/>
      <c r="C7321" s="236"/>
      <c r="D7321" s="236"/>
    </row>
    <row r="7322" spans="2:4" ht="12.75" customHeight="1" x14ac:dyDescent="0.2">
      <c r="B7322" s="236"/>
      <c r="C7322" s="236"/>
      <c r="D7322" s="236"/>
    </row>
    <row r="7323" spans="2:4" ht="12.75" customHeight="1" x14ac:dyDescent="0.2">
      <c r="B7323" s="236"/>
      <c r="C7323" s="236"/>
      <c r="D7323" s="236"/>
    </row>
    <row r="7324" spans="2:4" ht="12.75" customHeight="1" x14ac:dyDescent="0.2">
      <c r="B7324" s="236"/>
      <c r="C7324" s="236"/>
      <c r="D7324" s="236"/>
    </row>
    <row r="7325" spans="2:4" ht="12.75" customHeight="1" x14ac:dyDescent="0.2">
      <c r="B7325" s="236"/>
      <c r="C7325" s="236"/>
      <c r="D7325" s="236"/>
    </row>
    <row r="7326" spans="2:4" ht="12.75" customHeight="1" x14ac:dyDescent="0.2">
      <c r="B7326" s="236"/>
      <c r="C7326" s="236"/>
      <c r="D7326" s="236"/>
    </row>
    <row r="7327" spans="2:4" ht="12.75" customHeight="1" x14ac:dyDescent="0.2">
      <c r="B7327" s="236"/>
      <c r="C7327" s="236"/>
      <c r="D7327" s="236"/>
    </row>
    <row r="7328" spans="2:4" x14ac:dyDescent="0.2">
      <c r="B7328" s="236"/>
      <c r="C7328" s="236"/>
      <c r="D7328" s="236"/>
    </row>
    <row r="7329" spans="2:4" ht="12.75" customHeight="1" x14ac:dyDescent="0.2">
      <c r="B7329" s="236"/>
      <c r="C7329" s="236"/>
      <c r="D7329" s="236"/>
    </row>
    <row r="7330" spans="2:4" x14ac:dyDescent="0.2">
      <c r="B7330" s="236"/>
      <c r="C7330" s="236"/>
      <c r="D7330" s="236"/>
    </row>
    <row r="7331" spans="2:4" ht="12.75" customHeight="1" x14ac:dyDescent="0.2">
      <c r="B7331" s="236"/>
      <c r="C7331" s="236"/>
      <c r="D7331" s="236"/>
    </row>
    <row r="7332" spans="2:4" x14ac:dyDescent="0.2">
      <c r="B7332" s="236"/>
      <c r="C7332" s="236"/>
      <c r="D7332" s="236"/>
    </row>
    <row r="7333" spans="2:4" ht="12.75" customHeight="1" x14ac:dyDescent="0.2">
      <c r="B7333" s="236"/>
      <c r="C7333" s="236"/>
      <c r="D7333" s="236"/>
    </row>
    <row r="7334" spans="2:4" x14ac:dyDescent="0.2">
      <c r="B7334" s="236"/>
      <c r="C7334" s="236"/>
      <c r="D7334" s="236"/>
    </row>
    <row r="7335" spans="2:4" ht="12.75" customHeight="1" x14ac:dyDescent="0.2">
      <c r="B7335" s="236"/>
      <c r="C7335" s="236"/>
      <c r="D7335" s="236"/>
    </row>
    <row r="7336" spans="2:4" ht="12.75" customHeight="1" x14ac:dyDescent="0.2">
      <c r="B7336" s="236"/>
      <c r="C7336" s="236"/>
      <c r="D7336" s="236"/>
    </row>
    <row r="7337" spans="2:4" x14ac:dyDescent="0.2">
      <c r="B7337" s="236"/>
      <c r="C7337" s="236"/>
      <c r="D7337" s="236"/>
    </row>
    <row r="7338" spans="2:4" ht="12.75" customHeight="1" x14ac:dyDescent="0.2">
      <c r="B7338" s="236"/>
      <c r="C7338" s="236"/>
      <c r="D7338" s="236"/>
    </row>
    <row r="7339" spans="2:4" ht="12.75" customHeight="1" x14ac:dyDescent="0.2">
      <c r="B7339" s="236"/>
      <c r="C7339" s="236"/>
      <c r="D7339" s="236"/>
    </row>
    <row r="7340" spans="2:4" ht="12.75" customHeight="1" x14ac:dyDescent="0.2">
      <c r="B7340" s="236"/>
      <c r="C7340" s="236"/>
      <c r="D7340" s="236"/>
    </row>
    <row r="7341" spans="2:4" ht="12.75" customHeight="1" x14ac:dyDescent="0.2">
      <c r="B7341" s="236"/>
      <c r="C7341" s="236"/>
      <c r="D7341" s="236"/>
    </row>
    <row r="7342" spans="2:4" ht="12.75" customHeight="1" x14ac:dyDescent="0.2">
      <c r="B7342" s="236"/>
      <c r="C7342" s="236"/>
      <c r="D7342" s="236"/>
    </row>
    <row r="7343" spans="2:4" ht="12.75" customHeight="1" x14ac:dyDescent="0.2">
      <c r="B7343" s="236"/>
      <c r="C7343" s="236"/>
      <c r="D7343" s="236"/>
    </row>
    <row r="7344" spans="2:4" ht="12.75" customHeight="1" x14ac:dyDescent="0.2">
      <c r="B7344" s="236"/>
      <c r="C7344" s="236"/>
      <c r="D7344" s="236"/>
    </row>
    <row r="7345" spans="2:4" x14ac:dyDescent="0.2">
      <c r="B7345" s="236"/>
      <c r="C7345" s="236"/>
      <c r="D7345" s="236"/>
    </row>
    <row r="7346" spans="2:4" ht="12.75" customHeight="1" x14ac:dyDescent="0.2">
      <c r="B7346" s="236"/>
      <c r="C7346" s="236"/>
      <c r="D7346" s="236"/>
    </row>
    <row r="7347" spans="2:4" ht="12.75" customHeight="1" x14ac:dyDescent="0.2">
      <c r="B7347" s="236"/>
      <c r="C7347" s="236"/>
      <c r="D7347" s="236"/>
    </row>
    <row r="7348" spans="2:4" x14ac:dyDescent="0.2">
      <c r="B7348" s="236"/>
      <c r="C7348" s="236"/>
      <c r="D7348" s="236"/>
    </row>
    <row r="7349" spans="2:4" x14ac:dyDescent="0.2">
      <c r="B7349" s="236"/>
      <c r="C7349" s="236"/>
      <c r="D7349" s="236"/>
    </row>
    <row r="7350" spans="2:4" ht="12.75" customHeight="1" x14ac:dyDescent="0.2">
      <c r="B7350" s="236"/>
      <c r="C7350" s="236"/>
      <c r="D7350" s="236"/>
    </row>
    <row r="7351" spans="2:4" ht="12.75" customHeight="1" x14ac:dyDescent="0.2">
      <c r="B7351" s="236"/>
      <c r="C7351" s="236"/>
      <c r="D7351" s="236"/>
    </row>
    <row r="7352" spans="2:4" ht="12.75" customHeight="1" x14ac:dyDescent="0.2">
      <c r="B7352" s="236"/>
      <c r="C7352" s="236"/>
      <c r="D7352" s="236"/>
    </row>
    <row r="7353" spans="2:4" ht="12.75" customHeight="1" x14ac:dyDescent="0.2">
      <c r="B7353" s="236"/>
      <c r="C7353" s="236"/>
      <c r="D7353" s="236"/>
    </row>
    <row r="7354" spans="2:4" ht="12.75" customHeight="1" x14ac:dyDescent="0.2">
      <c r="B7354" s="236"/>
      <c r="C7354" s="236"/>
      <c r="D7354" s="236"/>
    </row>
    <row r="7355" spans="2:4" ht="12.75" customHeight="1" x14ac:dyDescent="0.2">
      <c r="B7355" s="236"/>
      <c r="C7355" s="236"/>
      <c r="D7355" s="236"/>
    </row>
    <row r="7356" spans="2:4" ht="12.75" customHeight="1" x14ac:dyDescent="0.2">
      <c r="B7356" s="236"/>
      <c r="C7356" s="236"/>
      <c r="D7356" s="236"/>
    </row>
    <row r="7357" spans="2:4" ht="12.75" customHeight="1" x14ac:dyDescent="0.2">
      <c r="B7357" s="236"/>
      <c r="C7357" s="236"/>
      <c r="D7357" s="236"/>
    </row>
    <row r="7358" spans="2:4" ht="12.75" customHeight="1" x14ac:dyDescent="0.2">
      <c r="B7358" s="236"/>
      <c r="C7358" s="236"/>
      <c r="D7358" s="236"/>
    </row>
    <row r="7359" spans="2:4" ht="12.75" customHeight="1" x14ac:dyDescent="0.2">
      <c r="B7359" s="236"/>
      <c r="C7359" s="236"/>
      <c r="D7359" s="236"/>
    </row>
    <row r="7360" spans="2:4" ht="12.75" customHeight="1" x14ac:dyDescent="0.2">
      <c r="B7360" s="236"/>
      <c r="C7360" s="236"/>
      <c r="D7360" s="236"/>
    </row>
    <row r="7361" spans="2:4" x14ac:dyDescent="0.2">
      <c r="B7361" s="236"/>
      <c r="C7361" s="236"/>
      <c r="D7361" s="236"/>
    </row>
    <row r="7362" spans="2:4" ht="12.75" customHeight="1" x14ac:dyDescent="0.2">
      <c r="B7362" s="236"/>
      <c r="C7362" s="236"/>
      <c r="D7362" s="236"/>
    </row>
    <row r="7363" spans="2:4" ht="12.75" customHeight="1" x14ac:dyDescent="0.2">
      <c r="B7363" s="236"/>
      <c r="C7363" s="236"/>
      <c r="D7363" s="236"/>
    </row>
    <row r="7364" spans="2:4" ht="12.75" customHeight="1" x14ac:dyDescent="0.2">
      <c r="B7364" s="236"/>
      <c r="C7364" s="236"/>
      <c r="D7364" s="236"/>
    </row>
    <row r="7365" spans="2:4" ht="12.75" customHeight="1" x14ac:dyDescent="0.2">
      <c r="B7365" s="236"/>
      <c r="C7365" s="236"/>
      <c r="D7365" s="236"/>
    </row>
    <row r="7366" spans="2:4" ht="12.75" customHeight="1" x14ac:dyDescent="0.2">
      <c r="B7366" s="236"/>
      <c r="C7366" s="236"/>
      <c r="D7366" s="236"/>
    </row>
    <row r="7367" spans="2:4" x14ac:dyDescent="0.2">
      <c r="B7367" s="236"/>
      <c r="C7367" s="236"/>
      <c r="D7367" s="236"/>
    </row>
    <row r="7368" spans="2:4" ht="12.75" customHeight="1" x14ac:dyDescent="0.2">
      <c r="B7368" s="236"/>
      <c r="C7368" s="236"/>
      <c r="D7368" s="236"/>
    </row>
    <row r="7369" spans="2:4" ht="12.75" customHeight="1" x14ac:dyDescent="0.2">
      <c r="B7369" s="236"/>
      <c r="C7369" s="236"/>
      <c r="D7369" s="236"/>
    </row>
    <row r="7370" spans="2:4" x14ac:dyDescent="0.2">
      <c r="B7370" s="236"/>
      <c r="C7370" s="236"/>
      <c r="D7370" s="236"/>
    </row>
    <row r="7371" spans="2:4" ht="12.75" customHeight="1" x14ac:dyDescent="0.2">
      <c r="B7371" s="236"/>
      <c r="C7371" s="236"/>
      <c r="D7371" s="236"/>
    </row>
    <row r="7372" spans="2:4" ht="12.75" customHeight="1" x14ac:dyDescent="0.2">
      <c r="B7372" s="236"/>
      <c r="C7372" s="236"/>
      <c r="D7372" s="236"/>
    </row>
    <row r="7373" spans="2:4" ht="12.75" customHeight="1" x14ac:dyDescent="0.2">
      <c r="B7373" s="236"/>
      <c r="C7373" s="236"/>
      <c r="D7373" s="236"/>
    </row>
    <row r="7374" spans="2:4" ht="12.75" customHeight="1" x14ac:dyDescent="0.2">
      <c r="B7374" s="236"/>
      <c r="C7374" s="236"/>
      <c r="D7374" s="236"/>
    </row>
    <row r="7375" spans="2:4" ht="12.75" customHeight="1" x14ac:dyDescent="0.2">
      <c r="B7375" s="236"/>
      <c r="C7375" s="236"/>
      <c r="D7375" s="236"/>
    </row>
    <row r="7376" spans="2:4" x14ac:dyDescent="0.2">
      <c r="B7376" s="236"/>
      <c r="C7376" s="236"/>
      <c r="D7376" s="236"/>
    </row>
    <row r="7377" spans="2:4" x14ac:dyDescent="0.2">
      <c r="B7377" s="236"/>
      <c r="C7377" s="236"/>
      <c r="D7377" s="236"/>
    </row>
    <row r="7378" spans="2:4" ht="12.75" customHeight="1" x14ac:dyDescent="0.2">
      <c r="B7378" s="236"/>
      <c r="C7378" s="236"/>
      <c r="D7378" s="236"/>
    </row>
    <row r="7379" spans="2:4" ht="12.75" customHeight="1" x14ac:dyDescent="0.2">
      <c r="B7379" s="236"/>
      <c r="C7379" s="236"/>
      <c r="D7379" s="236"/>
    </row>
    <row r="7380" spans="2:4" ht="12.75" customHeight="1" x14ac:dyDescent="0.2">
      <c r="B7380" s="236"/>
      <c r="C7380" s="236"/>
      <c r="D7380" s="236"/>
    </row>
    <row r="7381" spans="2:4" x14ac:dyDescent="0.2">
      <c r="B7381" s="236"/>
      <c r="C7381" s="236"/>
      <c r="D7381" s="236"/>
    </row>
    <row r="7382" spans="2:4" ht="12.75" customHeight="1" x14ac:dyDescent="0.2">
      <c r="B7382" s="236"/>
      <c r="C7382" s="236"/>
      <c r="D7382" s="236"/>
    </row>
    <row r="7383" spans="2:4" ht="12.75" customHeight="1" x14ac:dyDescent="0.2">
      <c r="B7383" s="236"/>
      <c r="C7383" s="236"/>
      <c r="D7383" s="236"/>
    </row>
    <row r="7384" spans="2:4" x14ac:dyDescent="0.2">
      <c r="B7384" s="236"/>
      <c r="C7384" s="236"/>
      <c r="D7384" s="236"/>
    </row>
    <row r="7385" spans="2:4" ht="12.75" customHeight="1" x14ac:dyDescent="0.2">
      <c r="B7385" s="236"/>
      <c r="C7385" s="236"/>
      <c r="D7385" s="236"/>
    </row>
    <row r="7386" spans="2:4" ht="12.75" customHeight="1" x14ac:dyDescent="0.2">
      <c r="B7386" s="236"/>
      <c r="C7386" s="236"/>
      <c r="D7386" s="236"/>
    </row>
    <row r="7387" spans="2:4" x14ac:dyDescent="0.2">
      <c r="B7387" s="236"/>
      <c r="C7387" s="236"/>
      <c r="D7387" s="236"/>
    </row>
    <row r="7388" spans="2:4" ht="12.75" customHeight="1" x14ac:dyDescent="0.2">
      <c r="B7388" s="236"/>
      <c r="C7388" s="236"/>
      <c r="D7388" s="236"/>
    </row>
    <row r="7389" spans="2:4" x14ac:dyDescent="0.2">
      <c r="B7389" s="236"/>
      <c r="C7389" s="236"/>
      <c r="D7389" s="236"/>
    </row>
    <row r="7390" spans="2:4" x14ac:dyDescent="0.2">
      <c r="B7390" s="236"/>
      <c r="C7390" s="236"/>
      <c r="D7390" s="236"/>
    </row>
    <row r="7391" spans="2:4" x14ac:dyDescent="0.2">
      <c r="B7391" s="236"/>
      <c r="C7391" s="236"/>
      <c r="D7391" s="236"/>
    </row>
    <row r="7392" spans="2:4" ht="12.75" customHeight="1" x14ac:dyDescent="0.2">
      <c r="B7392" s="236"/>
      <c r="C7392" s="236"/>
      <c r="D7392" s="236"/>
    </row>
    <row r="7393" spans="2:4" ht="12.75" customHeight="1" x14ac:dyDescent="0.2">
      <c r="B7393" s="236"/>
      <c r="C7393" s="236"/>
      <c r="D7393" s="236"/>
    </row>
    <row r="7394" spans="2:4" x14ac:dyDescent="0.2">
      <c r="B7394" s="236"/>
      <c r="C7394" s="236"/>
      <c r="D7394" s="236"/>
    </row>
    <row r="7395" spans="2:4" ht="12.75" customHeight="1" x14ac:dyDescent="0.2">
      <c r="B7395" s="236"/>
      <c r="C7395" s="236"/>
      <c r="D7395" s="236"/>
    </row>
    <row r="7396" spans="2:4" ht="12.75" customHeight="1" x14ac:dyDescent="0.2">
      <c r="B7396" s="236"/>
      <c r="C7396" s="236"/>
      <c r="D7396" s="236"/>
    </row>
    <row r="7397" spans="2:4" x14ac:dyDescent="0.2">
      <c r="B7397" s="236"/>
      <c r="C7397" s="236"/>
      <c r="D7397" s="236"/>
    </row>
    <row r="7398" spans="2:4" ht="12.75" customHeight="1" x14ac:dyDescent="0.2">
      <c r="B7398" s="236"/>
      <c r="C7398" s="236"/>
      <c r="D7398" s="236"/>
    </row>
    <row r="7399" spans="2:4" ht="12.75" customHeight="1" x14ac:dyDescent="0.2">
      <c r="B7399" s="236"/>
      <c r="C7399" s="236"/>
      <c r="D7399" s="236"/>
    </row>
    <row r="7400" spans="2:4" x14ac:dyDescent="0.2">
      <c r="B7400" s="236"/>
      <c r="C7400" s="236"/>
      <c r="D7400" s="236"/>
    </row>
    <row r="7401" spans="2:4" ht="12.75" customHeight="1" x14ac:dyDescent="0.2">
      <c r="B7401" s="236"/>
      <c r="C7401" s="236"/>
      <c r="D7401" s="236"/>
    </row>
    <row r="7402" spans="2:4" x14ac:dyDescent="0.2">
      <c r="B7402" s="236"/>
      <c r="C7402" s="236"/>
      <c r="D7402" s="236"/>
    </row>
    <row r="7403" spans="2:4" x14ac:dyDescent="0.2">
      <c r="B7403" s="236"/>
      <c r="C7403" s="236"/>
      <c r="D7403" s="236"/>
    </row>
    <row r="7404" spans="2:4" ht="12.75" customHeight="1" x14ac:dyDescent="0.2">
      <c r="B7404" s="236"/>
      <c r="C7404" s="236"/>
      <c r="D7404" s="236"/>
    </row>
    <row r="7405" spans="2:4" x14ac:dyDescent="0.2">
      <c r="B7405" s="236"/>
      <c r="C7405" s="236"/>
      <c r="D7405" s="236"/>
    </row>
    <row r="7406" spans="2:4" x14ac:dyDescent="0.2">
      <c r="B7406" s="236"/>
      <c r="C7406" s="236"/>
      <c r="D7406" s="236"/>
    </row>
    <row r="7407" spans="2:4" ht="12.75" customHeight="1" x14ac:dyDescent="0.2">
      <c r="B7407" s="236"/>
      <c r="C7407" s="236"/>
      <c r="D7407" s="236"/>
    </row>
    <row r="7408" spans="2:4" ht="12.75" customHeight="1" x14ac:dyDescent="0.2">
      <c r="B7408" s="236"/>
      <c r="C7408" s="236"/>
      <c r="D7408" s="236"/>
    </row>
    <row r="7409" spans="2:4" x14ac:dyDescent="0.2">
      <c r="B7409" s="236"/>
      <c r="C7409" s="236"/>
      <c r="D7409" s="236"/>
    </row>
    <row r="7410" spans="2:4" x14ac:dyDescent="0.2">
      <c r="B7410" s="236"/>
      <c r="C7410" s="236"/>
      <c r="D7410" s="236"/>
    </row>
    <row r="7411" spans="2:4" x14ac:dyDescent="0.2">
      <c r="B7411" s="236"/>
      <c r="C7411" s="236"/>
      <c r="D7411" s="236"/>
    </row>
    <row r="7412" spans="2:4" ht="12.75" customHeight="1" x14ac:dyDescent="0.2">
      <c r="B7412" s="236"/>
      <c r="C7412" s="236"/>
      <c r="D7412" s="236"/>
    </row>
    <row r="7413" spans="2:4" ht="12.75" customHeight="1" x14ac:dyDescent="0.2">
      <c r="B7413" s="236"/>
      <c r="C7413" s="236"/>
      <c r="D7413" s="236"/>
    </row>
    <row r="7414" spans="2:4" ht="12.75" customHeight="1" x14ac:dyDescent="0.2">
      <c r="B7414" s="236"/>
      <c r="C7414" s="236"/>
      <c r="D7414" s="236"/>
    </row>
    <row r="7415" spans="2:4" x14ac:dyDescent="0.2">
      <c r="B7415" s="236"/>
      <c r="C7415" s="236"/>
      <c r="D7415" s="236"/>
    </row>
    <row r="7416" spans="2:4" ht="12.75" customHeight="1" x14ac:dyDescent="0.2">
      <c r="B7416" s="236"/>
      <c r="C7416" s="236"/>
      <c r="D7416" s="236"/>
    </row>
    <row r="7417" spans="2:4" x14ac:dyDescent="0.2">
      <c r="B7417" s="236"/>
      <c r="C7417" s="236"/>
      <c r="D7417" s="236"/>
    </row>
    <row r="7418" spans="2:4" ht="12.75" customHeight="1" x14ac:dyDescent="0.2">
      <c r="B7418" s="236"/>
      <c r="C7418" s="236"/>
      <c r="D7418" s="236"/>
    </row>
    <row r="7419" spans="2:4" ht="12.75" customHeight="1" x14ac:dyDescent="0.2">
      <c r="B7419" s="236"/>
      <c r="C7419" s="236"/>
      <c r="D7419" s="236"/>
    </row>
    <row r="7420" spans="2:4" ht="12.75" customHeight="1" x14ac:dyDescent="0.2">
      <c r="B7420" s="236"/>
      <c r="C7420" s="236"/>
      <c r="D7420" s="236"/>
    </row>
    <row r="7421" spans="2:4" ht="12.75" customHeight="1" x14ac:dyDescent="0.2">
      <c r="B7421" s="236"/>
      <c r="C7421" s="236"/>
      <c r="D7421" s="236"/>
    </row>
    <row r="7422" spans="2:4" x14ac:dyDescent="0.2">
      <c r="B7422" s="236"/>
      <c r="C7422" s="236"/>
      <c r="D7422" s="236"/>
    </row>
    <row r="7423" spans="2:4" ht="12.75" customHeight="1" x14ac:dyDescent="0.2">
      <c r="B7423" s="236"/>
      <c r="C7423" s="236"/>
      <c r="D7423" s="236"/>
    </row>
    <row r="7424" spans="2:4" x14ac:dyDescent="0.2">
      <c r="B7424" s="236"/>
      <c r="C7424" s="236"/>
      <c r="D7424" s="236"/>
    </row>
    <row r="7425" spans="2:4" ht="12.75" customHeight="1" x14ac:dyDescent="0.2">
      <c r="B7425" s="236"/>
      <c r="C7425" s="236"/>
      <c r="D7425" s="236"/>
    </row>
    <row r="7426" spans="2:4" ht="12.75" customHeight="1" x14ac:dyDescent="0.2">
      <c r="B7426" s="236"/>
      <c r="C7426" s="236"/>
      <c r="D7426" s="236"/>
    </row>
    <row r="7427" spans="2:4" ht="12.75" customHeight="1" x14ac:dyDescent="0.2">
      <c r="B7427" s="236"/>
      <c r="C7427" s="236"/>
      <c r="D7427" s="236"/>
    </row>
    <row r="7428" spans="2:4" x14ac:dyDescent="0.2">
      <c r="B7428" s="236"/>
      <c r="C7428" s="236"/>
      <c r="D7428" s="236"/>
    </row>
    <row r="7429" spans="2:4" ht="12.75" customHeight="1" x14ac:dyDescent="0.2">
      <c r="B7429" s="236"/>
      <c r="C7429" s="236"/>
      <c r="D7429" s="236"/>
    </row>
    <row r="7430" spans="2:4" ht="12.75" customHeight="1" x14ac:dyDescent="0.2">
      <c r="B7430" s="236"/>
      <c r="C7430" s="236"/>
      <c r="D7430" s="236"/>
    </row>
    <row r="7431" spans="2:4" x14ac:dyDescent="0.2">
      <c r="B7431" s="236"/>
      <c r="C7431" s="236"/>
      <c r="D7431" s="236"/>
    </row>
    <row r="7432" spans="2:4" ht="12.75" customHeight="1" x14ac:dyDescent="0.2">
      <c r="B7432" s="236"/>
      <c r="C7432" s="236"/>
      <c r="D7432" s="236"/>
    </row>
    <row r="7433" spans="2:4" ht="12.75" customHeight="1" x14ac:dyDescent="0.2">
      <c r="B7433" s="236"/>
      <c r="C7433" s="236"/>
      <c r="D7433" s="236"/>
    </row>
    <row r="7434" spans="2:4" ht="12.75" customHeight="1" x14ac:dyDescent="0.2">
      <c r="B7434" s="236"/>
      <c r="C7434" s="236"/>
      <c r="D7434" s="236"/>
    </row>
    <row r="7435" spans="2:4" ht="12.75" customHeight="1" x14ac:dyDescent="0.2">
      <c r="B7435" s="236"/>
      <c r="C7435" s="236"/>
      <c r="D7435" s="236"/>
    </row>
    <row r="7436" spans="2:4" ht="12.75" customHeight="1" x14ac:dyDescent="0.2">
      <c r="B7436" s="236"/>
      <c r="C7436" s="236"/>
      <c r="D7436" s="236"/>
    </row>
    <row r="7437" spans="2:4" ht="12.75" customHeight="1" x14ac:dyDescent="0.2">
      <c r="B7437" s="236"/>
      <c r="C7437" s="236"/>
      <c r="D7437" s="236"/>
    </row>
    <row r="7438" spans="2:4" ht="12.75" customHeight="1" x14ac:dyDescent="0.2">
      <c r="B7438" s="236"/>
      <c r="C7438" s="236"/>
      <c r="D7438" s="236"/>
    </row>
    <row r="7439" spans="2:4" ht="12.75" customHeight="1" x14ac:dyDescent="0.2">
      <c r="B7439" s="236"/>
      <c r="C7439" s="236"/>
      <c r="D7439" s="236"/>
    </row>
    <row r="7440" spans="2:4" ht="12.75" customHeight="1" x14ac:dyDescent="0.2">
      <c r="B7440" s="236"/>
      <c r="C7440" s="236"/>
      <c r="D7440" s="236"/>
    </row>
    <row r="7441" spans="2:4" ht="12.75" customHeight="1" x14ac:dyDescent="0.2">
      <c r="B7441" s="236"/>
      <c r="C7441" s="236"/>
      <c r="D7441" s="236"/>
    </row>
    <row r="7442" spans="2:4" x14ac:dyDescent="0.2">
      <c r="B7442" s="236"/>
      <c r="C7442" s="236"/>
      <c r="D7442" s="236"/>
    </row>
    <row r="7443" spans="2:4" ht="12.75" customHeight="1" x14ac:dyDescent="0.2">
      <c r="B7443" s="236"/>
      <c r="C7443" s="236"/>
      <c r="D7443" s="236"/>
    </row>
    <row r="7444" spans="2:4" x14ac:dyDescent="0.2">
      <c r="B7444" s="236"/>
      <c r="C7444" s="236"/>
      <c r="D7444" s="236"/>
    </row>
    <row r="7445" spans="2:4" ht="12.75" customHeight="1" x14ac:dyDescent="0.2">
      <c r="B7445" s="236"/>
      <c r="C7445" s="236"/>
      <c r="D7445" s="236"/>
    </row>
    <row r="7446" spans="2:4" ht="12.75" customHeight="1" x14ac:dyDescent="0.2">
      <c r="B7446" s="236"/>
      <c r="C7446" s="236"/>
      <c r="D7446" s="236"/>
    </row>
    <row r="7447" spans="2:4" ht="12.75" customHeight="1" x14ac:dyDescent="0.2">
      <c r="B7447" s="236"/>
      <c r="C7447" s="236"/>
      <c r="D7447" s="236"/>
    </row>
    <row r="7448" spans="2:4" ht="12.75" customHeight="1" x14ac:dyDescent="0.2">
      <c r="B7448" s="236"/>
      <c r="C7448" s="236"/>
      <c r="D7448" s="236"/>
    </row>
    <row r="7449" spans="2:4" x14ac:dyDescent="0.2">
      <c r="B7449" s="236"/>
      <c r="C7449" s="236"/>
      <c r="D7449" s="236"/>
    </row>
    <row r="7450" spans="2:4" ht="12.75" customHeight="1" x14ac:dyDescent="0.2">
      <c r="B7450" s="236"/>
      <c r="C7450" s="236"/>
      <c r="D7450" s="236"/>
    </row>
    <row r="7451" spans="2:4" x14ac:dyDescent="0.2">
      <c r="B7451" s="236"/>
      <c r="C7451" s="236"/>
      <c r="D7451" s="236"/>
    </row>
    <row r="7452" spans="2:4" ht="12.75" customHeight="1" x14ac:dyDescent="0.2">
      <c r="B7452" s="236"/>
      <c r="C7452" s="236"/>
      <c r="D7452" s="236"/>
    </row>
    <row r="7453" spans="2:4" ht="12.75" customHeight="1" x14ac:dyDescent="0.2">
      <c r="B7453" s="236"/>
      <c r="C7453" s="236"/>
      <c r="D7453" s="236"/>
    </row>
    <row r="7454" spans="2:4" x14ac:dyDescent="0.2">
      <c r="B7454" s="236"/>
      <c r="C7454" s="236"/>
      <c r="D7454" s="236"/>
    </row>
    <row r="7455" spans="2:4" ht="12.75" customHeight="1" x14ac:dyDescent="0.2">
      <c r="B7455" s="236"/>
      <c r="C7455" s="236"/>
      <c r="D7455" s="236"/>
    </row>
    <row r="7456" spans="2:4" x14ac:dyDescent="0.2">
      <c r="B7456" s="236"/>
      <c r="C7456" s="236"/>
      <c r="D7456" s="236"/>
    </row>
    <row r="7457" spans="2:4" ht="12.75" customHeight="1" x14ac:dyDescent="0.2">
      <c r="B7457" s="236"/>
      <c r="C7457" s="236"/>
      <c r="D7457" s="236"/>
    </row>
    <row r="7458" spans="2:4" ht="12.75" customHeight="1" x14ac:dyDescent="0.2">
      <c r="B7458" s="236"/>
      <c r="C7458" s="236"/>
      <c r="D7458" s="236"/>
    </row>
    <row r="7459" spans="2:4" ht="12.75" customHeight="1" x14ac:dyDescent="0.2">
      <c r="B7459" s="236"/>
      <c r="C7459" s="236"/>
      <c r="D7459" s="236"/>
    </row>
    <row r="7460" spans="2:4" ht="12.75" customHeight="1" x14ac:dyDescent="0.2">
      <c r="B7460" s="236"/>
      <c r="C7460" s="236"/>
      <c r="D7460" s="236"/>
    </row>
    <row r="7461" spans="2:4" x14ac:dyDescent="0.2">
      <c r="B7461" s="236"/>
      <c r="C7461" s="236"/>
      <c r="D7461" s="236"/>
    </row>
    <row r="7462" spans="2:4" ht="12.75" customHeight="1" x14ac:dyDescent="0.2">
      <c r="B7462" s="236"/>
      <c r="C7462" s="236"/>
      <c r="D7462" s="236"/>
    </row>
    <row r="7463" spans="2:4" ht="12.75" customHeight="1" x14ac:dyDescent="0.2">
      <c r="B7463" s="236"/>
      <c r="C7463" s="236"/>
      <c r="D7463" s="236"/>
    </row>
    <row r="7464" spans="2:4" ht="12.75" customHeight="1" x14ac:dyDescent="0.2">
      <c r="B7464" s="236"/>
      <c r="C7464" s="236"/>
      <c r="D7464" s="236"/>
    </row>
    <row r="7465" spans="2:4" ht="12.75" customHeight="1" x14ac:dyDescent="0.2">
      <c r="B7465" s="236"/>
      <c r="C7465" s="236"/>
      <c r="D7465" s="236"/>
    </row>
    <row r="7466" spans="2:4" ht="12.75" customHeight="1" x14ac:dyDescent="0.2">
      <c r="B7466" s="236"/>
      <c r="C7466" s="236"/>
      <c r="D7466" s="236"/>
    </row>
    <row r="7467" spans="2:4" ht="12.75" customHeight="1" x14ac:dyDescent="0.2">
      <c r="B7467" s="236"/>
      <c r="C7467" s="236"/>
      <c r="D7467" s="236"/>
    </row>
    <row r="7468" spans="2:4" ht="12.75" customHeight="1" x14ac:dyDescent="0.2">
      <c r="B7468" s="236"/>
      <c r="C7468" s="236"/>
      <c r="D7468" s="236"/>
    </row>
    <row r="7469" spans="2:4" ht="12.75" customHeight="1" x14ac:dyDescent="0.2">
      <c r="B7469" s="236"/>
      <c r="C7469" s="236"/>
      <c r="D7469" s="236"/>
    </row>
    <row r="7470" spans="2:4" ht="12.75" customHeight="1" x14ac:dyDescent="0.2">
      <c r="B7470" s="236"/>
      <c r="C7470" s="236"/>
      <c r="D7470" s="236"/>
    </row>
    <row r="7471" spans="2:4" ht="12.75" customHeight="1" x14ac:dyDescent="0.2">
      <c r="B7471" s="236"/>
      <c r="C7471" s="236"/>
      <c r="D7471" s="236"/>
    </row>
    <row r="7472" spans="2:4" ht="12.75" customHeight="1" x14ac:dyDescent="0.2">
      <c r="B7472" s="236"/>
      <c r="C7472" s="236"/>
      <c r="D7472" s="236"/>
    </row>
    <row r="7473" spans="2:4" ht="12.75" customHeight="1" x14ac:dyDescent="0.2">
      <c r="B7473" s="236"/>
      <c r="C7473" s="236"/>
      <c r="D7473" s="236"/>
    </row>
    <row r="7474" spans="2:4" ht="12.75" customHeight="1" x14ac:dyDescent="0.2">
      <c r="B7474" s="236"/>
      <c r="C7474" s="236"/>
      <c r="D7474" s="236"/>
    </row>
    <row r="7475" spans="2:4" ht="12.75" customHeight="1" x14ac:dyDescent="0.2">
      <c r="B7475" s="236"/>
      <c r="C7475" s="236"/>
      <c r="D7475" s="236"/>
    </row>
    <row r="7476" spans="2:4" ht="12.75" customHeight="1" x14ac:dyDescent="0.2">
      <c r="B7476" s="236"/>
      <c r="C7476" s="236"/>
      <c r="D7476" s="236"/>
    </row>
    <row r="7477" spans="2:4" ht="12.75" customHeight="1" x14ac:dyDescent="0.2">
      <c r="B7477" s="236"/>
      <c r="C7477" s="236"/>
      <c r="D7477" s="236"/>
    </row>
    <row r="7478" spans="2:4" ht="12.75" customHeight="1" x14ac:dyDescent="0.2">
      <c r="B7478" s="236"/>
      <c r="C7478" s="236"/>
      <c r="D7478" s="236"/>
    </row>
    <row r="7479" spans="2:4" ht="12.75" customHeight="1" x14ac:dyDescent="0.2">
      <c r="B7479" s="236"/>
      <c r="C7479" s="236"/>
      <c r="D7479" s="236"/>
    </row>
    <row r="7480" spans="2:4" x14ac:dyDescent="0.2">
      <c r="B7480" s="236"/>
      <c r="C7480" s="236"/>
      <c r="D7480" s="236"/>
    </row>
    <row r="7481" spans="2:4" ht="12.75" customHeight="1" x14ac:dyDescent="0.2">
      <c r="B7481" s="236"/>
      <c r="C7481" s="236"/>
      <c r="D7481" s="236"/>
    </row>
    <row r="7482" spans="2:4" x14ac:dyDescent="0.2">
      <c r="B7482" s="236"/>
      <c r="C7482" s="236"/>
      <c r="D7482" s="236"/>
    </row>
    <row r="7483" spans="2:4" ht="12.75" customHeight="1" x14ac:dyDescent="0.2">
      <c r="B7483" s="236"/>
      <c r="C7483" s="236"/>
      <c r="D7483" s="236"/>
    </row>
    <row r="7484" spans="2:4" ht="12.75" customHeight="1" x14ac:dyDescent="0.2">
      <c r="B7484" s="236"/>
      <c r="C7484" s="236"/>
      <c r="D7484" s="236"/>
    </row>
    <row r="7485" spans="2:4" x14ac:dyDescent="0.2">
      <c r="B7485" s="236"/>
      <c r="C7485" s="236"/>
      <c r="D7485" s="236"/>
    </row>
    <row r="7486" spans="2:4" ht="12.75" customHeight="1" x14ac:dyDescent="0.2">
      <c r="B7486" s="236"/>
      <c r="C7486" s="236"/>
      <c r="D7486" s="236"/>
    </row>
    <row r="7487" spans="2:4" ht="12.75" customHeight="1" x14ac:dyDescent="0.2">
      <c r="B7487" s="236"/>
      <c r="C7487" s="236"/>
      <c r="D7487" s="236"/>
    </row>
    <row r="7488" spans="2:4" x14ac:dyDescent="0.2">
      <c r="B7488" s="236"/>
      <c r="C7488" s="236"/>
      <c r="D7488" s="236"/>
    </row>
    <row r="7489" spans="2:4" ht="12.75" customHeight="1" x14ac:dyDescent="0.2">
      <c r="B7489" s="236"/>
      <c r="C7489" s="236"/>
      <c r="D7489" s="236"/>
    </row>
    <row r="7490" spans="2:4" ht="12.75" customHeight="1" x14ac:dyDescent="0.2">
      <c r="B7490" s="236"/>
      <c r="C7490" s="236"/>
      <c r="D7490" s="236"/>
    </row>
    <row r="7491" spans="2:4" ht="12.75" customHeight="1" x14ac:dyDescent="0.2">
      <c r="B7491" s="236"/>
      <c r="C7491" s="236"/>
      <c r="D7491" s="236"/>
    </row>
    <row r="7492" spans="2:4" x14ac:dyDescent="0.2">
      <c r="B7492" s="236"/>
      <c r="C7492" s="236"/>
      <c r="D7492" s="236"/>
    </row>
    <row r="7493" spans="2:4" ht="12.75" customHeight="1" x14ac:dyDescent="0.2">
      <c r="B7493" s="236"/>
      <c r="C7493" s="236"/>
      <c r="D7493" s="236"/>
    </row>
    <row r="7494" spans="2:4" ht="12.75" customHeight="1" x14ac:dyDescent="0.2">
      <c r="B7494" s="236"/>
      <c r="C7494" s="236"/>
      <c r="D7494" s="236"/>
    </row>
    <row r="7495" spans="2:4" ht="12.75" customHeight="1" x14ac:dyDescent="0.2">
      <c r="B7495" s="236"/>
      <c r="C7495" s="236"/>
      <c r="D7495" s="236"/>
    </row>
    <row r="7496" spans="2:4" ht="12.75" customHeight="1" x14ac:dyDescent="0.2">
      <c r="B7496" s="236"/>
      <c r="C7496" s="236"/>
      <c r="D7496" s="236"/>
    </row>
    <row r="7497" spans="2:4" ht="12.75" customHeight="1" x14ac:dyDescent="0.2">
      <c r="B7497" s="236"/>
      <c r="C7497" s="236"/>
      <c r="D7497" s="236"/>
    </row>
    <row r="7498" spans="2:4" ht="12.75" customHeight="1" x14ac:dyDescent="0.2">
      <c r="B7498" s="236"/>
      <c r="C7498" s="236"/>
      <c r="D7498" s="236"/>
    </row>
    <row r="7499" spans="2:4" ht="12.75" customHeight="1" x14ac:dyDescent="0.2">
      <c r="B7499" s="236"/>
      <c r="C7499" s="236"/>
      <c r="D7499" s="236"/>
    </row>
    <row r="7500" spans="2:4" x14ac:dyDescent="0.2">
      <c r="B7500" s="236"/>
      <c r="C7500" s="236"/>
      <c r="D7500" s="236"/>
    </row>
    <row r="7501" spans="2:4" ht="12.75" customHeight="1" x14ac:dyDescent="0.2">
      <c r="B7501" s="236"/>
      <c r="C7501" s="236"/>
      <c r="D7501" s="236"/>
    </row>
    <row r="7502" spans="2:4" x14ac:dyDescent="0.2">
      <c r="B7502" s="236"/>
      <c r="C7502" s="236"/>
      <c r="D7502" s="236"/>
    </row>
    <row r="7503" spans="2:4" ht="12.75" customHeight="1" x14ac:dyDescent="0.2">
      <c r="B7503" s="236"/>
      <c r="C7503" s="236"/>
      <c r="D7503" s="236"/>
    </row>
    <row r="7504" spans="2:4" x14ac:dyDescent="0.2">
      <c r="B7504" s="236"/>
      <c r="C7504" s="236"/>
      <c r="D7504" s="236"/>
    </row>
    <row r="7505" spans="2:4" ht="12.75" customHeight="1" x14ac:dyDescent="0.2">
      <c r="B7505" s="236"/>
      <c r="C7505" s="236"/>
      <c r="D7505" s="236"/>
    </row>
    <row r="7506" spans="2:4" ht="12.75" customHeight="1" x14ac:dyDescent="0.2">
      <c r="B7506" s="236"/>
      <c r="C7506" s="236"/>
      <c r="D7506" s="236"/>
    </row>
    <row r="7507" spans="2:4" ht="12.75" customHeight="1" x14ac:dyDescent="0.2">
      <c r="B7507" s="236"/>
      <c r="C7507" s="236"/>
      <c r="D7507" s="236"/>
    </row>
    <row r="7508" spans="2:4" x14ac:dyDescent="0.2">
      <c r="B7508" s="236"/>
      <c r="C7508" s="236"/>
      <c r="D7508" s="236"/>
    </row>
    <row r="7509" spans="2:4" ht="12.75" customHeight="1" x14ac:dyDescent="0.2">
      <c r="B7509" s="236"/>
      <c r="C7509" s="236"/>
      <c r="D7509" s="236"/>
    </row>
    <row r="7510" spans="2:4" x14ac:dyDescent="0.2">
      <c r="B7510" s="236"/>
      <c r="C7510" s="236"/>
      <c r="D7510" s="236"/>
    </row>
    <row r="7511" spans="2:4" ht="12.75" customHeight="1" x14ac:dyDescent="0.2">
      <c r="B7511" s="236"/>
      <c r="C7511" s="236"/>
      <c r="D7511" s="236"/>
    </row>
    <row r="7512" spans="2:4" ht="12.75" customHeight="1" x14ac:dyDescent="0.2">
      <c r="B7512" s="236"/>
      <c r="C7512" s="236"/>
      <c r="D7512" s="236"/>
    </row>
    <row r="7513" spans="2:4" ht="12.75" customHeight="1" x14ac:dyDescent="0.2">
      <c r="B7513" s="236"/>
      <c r="C7513" s="236"/>
      <c r="D7513" s="236"/>
    </row>
    <row r="7514" spans="2:4" ht="12.75" customHeight="1" x14ac:dyDescent="0.2">
      <c r="B7514" s="236"/>
      <c r="C7514" s="236"/>
      <c r="D7514" s="236"/>
    </row>
    <row r="7515" spans="2:4" x14ac:dyDescent="0.2">
      <c r="B7515" s="236"/>
      <c r="C7515" s="236"/>
      <c r="D7515" s="236"/>
    </row>
    <row r="7516" spans="2:4" ht="12.75" customHeight="1" x14ac:dyDescent="0.2">
      <c r="B7516" s="236"/>
      <c r="C7516" s="236"/>
      <c r="D7516" s="236"/>
    </row>
    <row r="7517" spans="2:4" ht="12.75" customHeight="1" x14ac:dyDescent="0.2">
      <c r="B7517" s="236"/>
      <c r="C7517" s="236"/>
      <c r="D7517" s="236"/>
    </row>
    <row r="7518" spans="2:4" x14ac:dyDescent="0.2">
      <c r="B7518" s="236"/>
      <c r="C7518" s="236"/>
      <c r="D7518" s="236"/>
    </row>
    <row r="7519" spans="2:4" ht="12.75" customHeight="1" x14ac:dyDescent="0.2">
      <c r="B7519" s="236"/>
      <c r="C7519" s="236"/>
      <c r="D7519" s="236"/>
    </row>
    <row r="7520" spans="2:4" ht="12.75" customHeight="1" x14ac:dyDescent="0.2">
      <c r="B7520" s="236"/>
      <c r="C7520" s="236"/>
      <c r="D7520" s="236"/>
    </row>
    <row r="7521" spans="2:4" x14ac:dyDescent="0.2">
      <c r="B7521" s="236"/>
      <c r="C7521" s="236"/>
      <c r="D7521" s="236"/>
    </row>
    <row r="7522" spans="2:4" ht="12.75" customHeight="1" x14ac:dyDescent="0.2">
      <c r="B7522" s="236"/>
      <c r="C7522" s="236"/>
      <c r="D7522" s="236"/>
    </row>
    <row r="7523" spans="2:4" ht="12.75" customHeight="1" x14ac:dyDescent="0.2">
      <c r="B7523" s="236"/>
      <c r="C7523" s="236"/>
      <c r="D7523" s="236"/>
    </row>
    <row r="7524" spans="2:4" ht="12.75" customHeight="1" x14ac:dyDescent="0.2">
      <c r="B7524" s="236"/>
      <c r="C7524" s="236"/>
      <c r="D7524" s="236"/>
    </row>
    <row r="7525" spans="2:4" x14ac:dyDescent="0.2">
      <c r="B7525" s="236"/>
      <c r="C7525" s="236"/>
      <c r="D7525" s="236"/>
    </row>
    <row r="7526" spans="2:4" ht="12.75" customHeight="1" x14ac:dyDescent="0.2">
      <c r="B7526" s="236"/>
      <c r="C7526" s="236"/>
      <c r="D7526" s="236"/>
    </row>
    <row r="7527" spans="2:4" ht="12.75" customHeight="1" x14ac:dyDescent="0.2">
      <c r="B7527" s="236"/>
      <c r="C7527" s="236"/>
      <c r="D7527" s="236"/>
    </row>
    <row r="7528" spans="2:4" ht="12.75" customHeight="1" x14ac:dyDescent="0.2">
      <c r="B7528" s="236"/>
      <c r="C7528" s="236"/>
      <c r="D7528" s="236"/>
    </row>
    <row r="7529" spans="2:4" x14ac:dyDescent="0.2">
      <c r="B7529" s="236"/>
      <c r="C7529" s="236"/>
      <c r="D7529" s="236"/>
    </row>
    <row r="7530" spans="2:4" ht="12.75" customHeight="1" x14ac:dyDescent="0.2">
      <c r="B7530" s="236"/>
      <c r="C7530" s="236"/>
      <c r="D7530" s="236"/>
    </row>
    <row r="7531" spans="2:4" x14ac:dyDescent="0.2">
      <c r="B7531" s="236"/>
      <c r="C7531" s="236"/>
      <c r="D7531" s="236"/>
    </row>
    <row r="7532" spans="2:4" ht="12.75" customHeight="1" x14ac:dyDescent="0.2">
      <c r="B7532" s="236"/>
      <c r="C7532" s="236"/>
      <c r="D7532" s="236"/>
    </row>
    <row r="7533" spans="2:4" ht="12.75" customHeight="1" x14ac:dyDescent="0.2">
      <c r="B7533" s="236"/>
      <c r="C7533" s="236"/>
      <c r="D7533" s="236"/>
    </row>
    <row r="7534" spans="2:4" ht="12.75" customHeight="1" x14ac:dyDescent="0.2">
      <c r="B7534" s="236"/>
      <c r="C7534" s="236"/>
      <c r="D7534" s="236"/>
    </row>
    <row r="7535" spans="2:4" ht="12.75" customHeight="1" x14ac:dyDescent="0.2">
      <c r="B7535" s="236"/>
      <c r="C7535" s="236"/>
      <c r="D7535" s="236"/>
    </row>
    <row r="7536" spans="2:4" x14ac:dyDescent="0.2">
      <c r="B7536" s="236"/>
      <c r="C7536" s="236"/>
      <c r="D7536" s="236"/>
    </row>
    <row r="7537" spans="2:4" ht="12.75" customHeight="1" x14ac:dyDescent="0.2">
      <c r="B7537" s="236"/>
      <c r="C7537" s="236"/>
      <c r="D7537" s="236"/>
    </row>
    <row r="7538" spans="2:4" ht="12.75" customHeight="1" x14ac:dyDescent="0.2">
      <c r="B7538" s="236"/>
      <c r="C7538" s="236"/>
      <c r="D7538" s="236"/>
    </row>
    <row r="7539" spans="2:4" x14ac:dyDescent="0.2">
      <c r="B7539" s="236"/>
      <c r="C7539" s="236"/>
      <c r="D7539" s="236"/>
    </row>
    <row r="7540" spans="2:4" ht="12.75" customHeight="1" x14ac:dyDescent="0.2">
      <c r="B7540" s="236"/>
      <c r="C7540" s="236"/>
      <c r="D7540" s="236"/>
    </row>
    <row r="7541" spans="2:4" x14ac:dyDescent="0.2">
      <c r="B7541" s="236"/>
      <c r="C7541" s="236"/>
      <c r="D7541" s="236"/>
    </row>
    <row r="7542" spans="2:4" ht="12.75" customHeight="1" x14ac:dyDescent="0.2">
      <c r="B7542" s="236"/>
      <c r="C7542" s="236"/>
      <c r="D7542" s="236"/>
    </row>
    <row r="7543" spans="2:4" ht="12.75" customHeight="1" x14ac:dyDescent="0.2">
      <c r="B7543" s="236"/>
      <c r="C7543" s="236"/>
      <c r="D7543" s="236"/>
    </row>
    <row r="7544" spans="2:4" ht="12.75" customHeight="1" x14ac:dyDescent="0.2">
      <c r="B7544" s="236"/>
      <c r="C7544" s="236"/>
      <c r="D7544" s="236"/>
    </row>
    <row r="7545" spans="2:4" ht="12.75" customHeight="1" x14ac:dyDescent="0.2">
      <c r="B7545" s="236"/>
      <c r="C7545" s="236"/>
      <c r="D7545" s="236"/>
    </row>
    <row r="7546" spans="2:4" ht="12.75" customHeight="1" x14ac:dyDescent="0.2">
      <c r="B7546" s="236"/>
      <c r="C7546" s="236"/>
      <c r="D7546" s="236"/>
    </row>
    <row r="7547" spans="2:4" ht="12.75" customHeight="1" x14ac:dyDescent="0.2">
      <c r="B7547" s="236"/>
      <c r="C7547" s="236"/>
      <c r="D7547" s="236"/>
    </row>
    <row r="7548" spans="2:4" x14ac:dyDescent="0.2">
      <c r="B7548" s="236"/>
      <c r="C7548" s="236"/>
      <c r="D7548" s="236"/>
    </row>
    <row r="7549" spans="2:4" ht="12.75" customHeight="1" x14ac:dyDescent="0.2">
      <c r="B7549" s="236"/>
      <c r="C7549" s="236"/>
      <c r="D7549" s="236"/>
    </row>
    <row r="7550" spans="2:4" ht="12.75" customHeight="1" x14ac:dyDescent="0.2">
      <c r="B7550" s="236"/>
      <c r="C7550" s="236"/>
      <c r="D7550" s="236"/>
    </row>
    <row r="7551" spans="2:4" ht="12.75" customHeight="1" x14ac:dyDescent="0.2">
      <c r="B7551" s="236"/>
      <c r="C7551" s="236"/>
      <c r="D7551" s="236"/>
    </row>
    <row r="7552" spans="2:4" ht="12.75" customHeight="1" x14ac:dyDescent="0.2">
      <c r="B7552" s="236"/>
      <c r="C7552" s="236"/>
      <c r="D7552" s="236"/>
    </row>
    <row r="7553" spans="2:4" ht="12.75" customHeight="1" x14ac:dyDescent="0.2">
      <c r="B7553" s="236"/>
      <c r="C7553" s="236"/>
      <c r="D7553" s="236"/>
    </row>
    <row r="7554" spans="2:4" x14ac:dyDescent="0.2">
      <c r="B7554" s="236"/>
      <c r="C7554" s="236"/>
      <c r="D7554" s="236"/>
    </row>
    <row r="7555" spans="2:4" ht="12.75" customHeight="1" x14ac:dyDescent="0.2">
      <c r="B7555" s="236"/>
      <c r="C7555" s="236"/>
      <c r="D7555" s="236"/>
    </row>
    <row r="7556" spans="2:4" x14ac:dyDescent="0.2">
      <c r="B7556" s="236"/>
      <c r="C7556" s="236"/>
      <c r="D7556" s="236"/>
    </row>
    <row r="7557" spans="2:4" ht="12.75" customHeight="1" x14ac:dyDescent="0.2">
      <c r="B7557" s="236"/>
      <c r="C7557" s="236"/>
      <c r="D7557" s="236"/>
    </row>
    <row r="7558" spans="2:4" x14ac:dyDescent="0.2">
      <c r="B7558" s="236"/>
      <c r="C7558" s="236"/>
      <c r="D7558" s="236"/>
    </row>
    <row r="7559" spans="2:4" ht="12.75" customHeight="1" x14ac:dyDescent="0.2">
      <c r="B7559" s="236"/>
      <c r="C7559" s="236"/>
      <c r="D7559" s="236"/>
    </row>
    <row r="7560" spans="2:4" ht="12.75" customHeight="1" x14ac:dyDescent="0.2">
      <c r="B7560" s="236"/>
      <c r="C7560" s="236"/>
      <c r="D7560" s="236"/>
    </row>
    <row r="7561" spans="2:4" ht="12.75" customHeight="1" x14ac:dyDescent="0.2">
      <c r="B7561" s="236"/>
      <c r="C7561" s="236"/>
      <c r="D7561" s="236"/>
    </row>
    <row r="7562" spans="2:4" x14ac:dyDescent="0.2">
      <c r="B7562" s="236"/>
      <c r="C7562" s="236"/>
      <c r="D7562" s="236"/>
    </row>
    <row r="7563" spans="2:4" ht="12.75" customHeight="1" x14ac:dyDescent="0.2">
      <c r="B7563" s="236"/>
      <c r="C7563" s="236"/>
      <c r="D7563" s="236"/>
    </row>
    <row r="7564" spans="2:4" ht="12.75" customHeight="1" x14ac:dyDescent="0.2">
      <c r="B7564" s="236"/>
      <c r="C7564" s="236"/>
      <c r="D7564" s="236"/>
    </row>
    <row r="7565" spans="2:4" ht="12.75" customHeight="1" x14ac:dyDescent="0.2">
      <c r="B7565" s="236"/>
      <c r="C7565" s="236"/>
      <c r="D7565" s="236"/>
    </row>
    <row r="7566" spans="2:4" ht="12.75" customHeight="1" x14ac:dyDescent="0.2">
      <c r="B7566" s="236"/>
      <c r="C7566" s="236"/>
      <c r="D7566" s="236"/>
    </row>
    <row r="7567" spans="2:4" ht="12.75" customHeight="1" x14ac:dyDescent="0.2">
      <c r="B7567" s="236"/>
      <c r="C7567" s="236"/>
      <c r="D7567" s="236"/>
    </row>
    <row r="7568" spans="2:4" ht="12.75" customHeight="1" x14ac:dyDescent="0.2">
      <c r="B7568" s="236"/>
      <c r="C7568" s="236"/>
      <c r="D7568" s="236"/>
    </row>
    <row r="7569" spans="2:4" x14ac:dyDescent="0.2">
      <c r="B7569" s="236"/>
      <c r="C7569" s="236"/>
      <c r="D7569" s="236"/>
    </row>
    <row r="7570" spans="2:4" ht="12.75" customHeight="1" x14ac:dyDescent="0.2">
      <c r="B7570" s="236"/>
      <c r="C7570" s="236"/>
      <c r="D7570" s="236"/>
    </row>
    <row r="7571" spans="2:4" ht="12.75" customHeight="1" x14ac:dyDescent="0.2">
      <c r="B7571" s="236"/>
      <c r="C7571" s="236"/>
      <c r="D7571" s="236"/>
    </row>
    <row r="7572" spans="2:4" ht="12.75" customHeight="1" x14ac:dyDescent="0.2">
      <c r="B7572" s="236"/>
      <c r="C7572" s="236"/>
      <c r="D7572" s="236"/>
    </row>
    <row r="7573" spans="2:4" ht="12.75" customHeight="1" x14ac:dyDescent="0.2">
      <c r="B7573" s="236"/>
      <c r="C7573" s="236"/>
      <c r="D7573" s="236"/>
    </row>
    <row r="7574" spans="2:4" x14ac:dyDescent="0.2">
      <c r="B7574" s="236"/>
      <c r="C7574" s="236"/>
      <c r="D7574" s="236"/>
    </row>
    <row r="7575" spans="2:4" x14ac:dyDescent="0.2">
      <c r="B7575" s="236"/>
      <c r="C7575" s="236"/>
      <c r="D7575" s="236"/>
    </row>
    <row r="7576" spans="2:4" ht="12.75" customHeight="1" x14ac:dyDescent="0.2">
      <c r="B7576" s="236"/>
      <c r="C7576" s="236"/>
      <c r="D7576" s="236"/>
    </row>
    <row r="7577" spans="2:4" ht="12.75" customHeight="1" x14ac:dyDescent="0.2">
      <c r="B7577" s="236"/>
      <c r="C7577" s="236"/>
      <c r="D7577" s="236"/>
    </row>
    <row r="7578" spans="2:4" ht="12.75" customHeight="1" x14ac:dyDescent="0.2">
      <c r="B7578" s="236"/>
      <c r="C7578" s="236"/>
      <c r="D7578" s="236"/>
    </row>
    <row r="7579" spans="2:4" x14ac:dyDescent="0.2">
      <c r="B7579" s="236"/>
      <c r="C7579" s="236"/>
      <c r="D7579" s="236"/>
    </row>
    <row r="7580" spans="2:4" ht="12.75" customHeight="1" x14ac:dyDescent="0.2">
      <c r="B7580" s="236"/>
      <c r="C7580" s="236"/>
      <c r="D7580" s="236"/>
    </row>
    <row r="7581" spans="2:4" ht="12.75" customHeight="1" x14ac:dyDescent="0.2">
      <c r="B7581" s="236"/>
      <c r="C7581" s="236"/>
      <c r="D7581" s="236"/>
    </row>
    <row r="7582" spans="2:4" ht="12.75" customHeight="1" x14ac:dyDescent="0.2">
      <c r="B7582" s="236"/>
      <c r="C7582" s="236"/>
      <c r="D7582" s="236"/>
    </row>
    <row r="7583" spans="2:4" ht="12.75" customHeight="1" x14ac:dyDescent="0.2">
      <c r="B7583" s="236"/>
      <c r="C7583" s="236"/>
      <c r="D7583" s="236"/>
    </row>
    <row r="7584" spans="2:4" ht="12.75" customHeight="1" x14ac:dyDescent="0.2">
      <c r="B7584" s="236"/>
      <c r="C7584" s="236"/>
      <c r="D7584" s="236"/>
    </row>
    <row r="7585" spans="2:4" ht="12.75" customHeight="1" x14ac:dyDescent="0.2">
      <c r="B7585" s="236"/>
      <c r="C7585" s="236"/>
      <c r="D7585" s="236"/>
    </row>
    <row r="7586" spans="2:4" ht="12.75" customHeight="1" x14ac:dyDescent="0.2">
      <c r="B7586" s="236"/>
      <c r="C7586" s="236"/>
      <c r="D7586" s="236"/>
    </row>
    <row r="7587" spans="2:4" x14ac:dyDescent="0.2">
      <c r="B7587" s="236"/>
      <c r="C7587" s="236"/>
      <c r="D7587" s="236"/>
    </row>
    <row r="7588" spans="2:4" ht="12.75" customHeight="1" x14ac:dyDescent="0.2">
      <c r="B7588" s="236"/>
      <c r="C7588" s="236"/>
      <c r="D7588" s="236"/>
    </row>
    <row r="7589" spans="2:4" x14ac:dyDescent="0.2">
      <c r="B7589" s="236"/>
      <c r="C7589" s="236"/>
      <c r="D7589" s="236"/>
    </row>
    <row r="7590" spans="2:4" ht="12.75" customHeight="1" x14ac:dyDescent="0.2">
      <c r="B7590" s="236"/>
      <c r="C7590" s="236"/>
      <c r="D7590" s="236"/>
    </row>
    <row r="7591" spans="2:4" ht="12.75" customHeight="1" x14ac:dyDescent="0.2">
      <c r="B7591" s="236"/>
      <c r="C7591" s="236"/>
      <c r="D7591" s="236"/>
    </row>
    <row r="7592" spans="2:4" ht="12.75" customHeight="1" x14ac:dyDescent="0.2">
      <c r="B7592" s="236"/>
      <c r="C7592" s="236"/>
      <c r="D7592" s="236"/>
    </row>
    <row r="7593" spans="2:4" ht="12.75" customHeight="1" x14ac:dyDescent="0.2">
      <c r="B7593" s="236"/>
      <c r="C7593" s="236"/>
      <c r="D7593" s="236"/>
    </row>
    <row r="7594" spans="2:4" ht="12.75" customHeight="1" x14ac:dyDescent="0.2">
      <c r="B7594" s="236"/>
      <c r="C7594" s="236"/>
      <c r="D7594" s="236"/>
    </row>
    <row r="7595" spans="2:4" ht="12.75" customHeight="1" x14ac:dyDescent="0.2">
      <c r="B7595" s="236"/>
      <c r="C7595" s="236"/>
      <c r="D7595" s="236"/>
    </row>
    <row r="7596" spans="2:4" ht="12.75" customHeight="1" x14ac:dyDescent="0.2">
      <c r="B7596" s="236"/>
      <c r="C7596" s="236"/>
      <c r="D7596" s="236"/>
    </row>
    <row r="7597" spans="2:4" ht="12.75" customHeight="1" x14ac:dyDescent="0.2">
      <c r="B7597" s="236"/>
      <c r="C7597" s="236"/>
      <c r="D7597" s="236"/>
    </row>
    <row r="7598" spans="2:4" ht="12.75" customHeight="1" x14ac:dyDescent="0.2">
      <c r="B7598" s="236"/>
      <c r="C7598" s="236"/>
      <c r="D7598" s="236"/>
    </row>
    <row r="7599" spans="2:4" ht="12.75" customHeight="1" x14ac:dyDescent="0.2">
      <c r="B7599" s="236"/>
      <c r="C7599" s="236"/>
      <c r="D7599" s="236"/>
    </row>
    <row r="7600" spans="2:4" x14ac:dyDescent="0.2">
      <c r="B7600" s="236"/>
      <c r="C7600" s="236"/>
      <c r="D7600" s="236"/>
    </row>
    <row r="7601" spans="2:4" ht="12.75" customHeight="1" x14ac:dyDescent="0.2">
      <c r="B7601" s="236"/>
      <c r="C7601" s="236"/>
      <c r="D7601" s="236"/>
    </row>
    <row r="7602" spans="2:4" x14ac:dyDescent="0.2">
      <c r="B7602" s="236"/>
      <c r="C7602" s="236"/>
      <c r="D7602" s="236"/>
    </row>
    <row r="7603" spans="2:4" ht="12.75" customHeight="1" x14ac:dyDescent="0.2">
      <c r="B7603" s="236"/>
      <c r="C7603" s="236"/>
      <c r="D7603" s="236"/>
    </row>
    <row r="7604" spans="2:4" ht="12.75" customHeight="1" x14ac:dyDescent="0.2">
      <c r="B7604" s="236"/>
      <c r="C7604" s="236"/>
      <c r="D7604" s="236"/>
    </row>
    <row r="7605" spans="2:4" ht="12.75" customHeight="1" x14ac:dyDescent="0.2">
      <c r="B7605" s="236"/>
      <c r="C7605" s="236"/>
      <c r="D7605" s="236"/>
    </row>
    <row r="7606" spans="2:4" ht="12.75" customHeight="1" x14ac:dyDescent="0.2">
      <c r="B7606" s="236"/>
      <c r="C7606" s="236"/>
      <c r="D7606" s="236"/>
    </row>
    <row r="7607" spans="2:4" ht="12.75" customHeight="1" x14ac:dyDescent="0.2">
      <c r="B7607" s="236"/>
      <c r="C7607" s="236"/>
      <c r="D7607" s="236"/>
    </row>
    <row r="7608" spans="2:4" ht="12.75" customHeight="1" x14ac:dyDescent="0.2">
      <c r="B7608" s="236"/>
      <c r="C7608" s="236"/>
      <c r="D7608" s="236"/>
    </row>
    <row r="7609" spans="2:4" ht="12.75" customHeight="1" x14ac:dyDescent="0.2">
      <c r="B7609" s="236"/>
      <c r="C7609" s="236"/>
      <c r="D7609" s="236"/>
    </row>
    <row r="7610" spans="2:4" ht="12.75" customHeight="1" x14ac:dyDescent="0.2">
      <c r="B7610" s="236"/>
      <c r="C7610" s="236"/>
      <c r="D7610" s="236"/>
    </row>
    <row r="7611" spans="2:4" ht="12.75" customHeight="1" x14ac:dyDescent="0.2">
      <c r="B7611" s="236"/>
      <c r="C7611" s="236"/>
      <c r="D7611" s="236"/>
    </row>
    <row r="7612" spans="2:4" ht="12.75" customHeight="1" x14ac:dyDescent="0.2">
      <c r="B7612" s="236"/>
      <c r="C7612" s="236"/>
      <c r="D7612" s="236"/>
    </row>
    <row r="7613" spans="2:4" ht="12.75" customHeight="1" x14ac:dyDescent="0.2">
      <c r="B7613" s="236"/>
      <c r="C7613" s="236"/>
      <c r="D7613" s="236"/>
    </row>
    <row r="7614" spans="2:4" ht="12.75" customHeight="1" x14ac:dyDescent="0.2">
      <c r="B7614" s="236"/>
      <c r="C7614" s="236"/>
      <c r="D7614" s="236"/>
    </row>
    <row r="7615" spans="2:4" ht="12.75" customHeight="1" x14ac:dyDescent="0.2">
      <c r="B7615" s="236"/>
      <c r="C7615" s="236"/>
      <c r="D7615" s="236"/>
    </row>
    <row r="7616" spans="2:4" ht="12.75" customHeight="1" x14ac:dyDescent="0.2">
      <c r="B7616" s="236"/>
      <c r="C7616" s="236"/>
      <c r="D7616" s="236"/>
    </row>
    <row r="7617" spans="2:4" ht="12.75" customHeight="1" x14ac:dyDescent="0.2">
      <c r="B7617" s="236"/>
      <c r="C7617" s="236"/>
      <c r="D7617" s="236"/>
    </row>
    <row r="7618" spans="2:4" ht="12.75" customHeight="1" x14ac:dyDescent="0.2">
      <c r="B7618" s="236"/>
      <c r="C7618" s="236"/>
      <c r="D7618" s="236"/>
    </row>
    <row r="7619" spans="2:4" ht="12.75" customHeight="1" x14ac:dyDescent="0.2">
      <c r="B7619" s="236"/>
      <c r="C7619" s="236"/>
      <c r="D7619" s="236"/>
    </row>
    <row r="7620" spans="2:4" ht="12.75" customHeight="1" x14ac:dyDescent="0.2">
      <c r="B7620" s="236"/>
      <c r="C7620" s="236"/>
      <c r="D7620" s="236"/>
    </row>
    <row r="7621" spans="2:4" ht="12.75" customHeight="1" x14ac:dyDescent="0.2">
      <c r="B7621" s="236"/>
      <c r="C7621" s="236"/>
      <c r="D7621" s="236"/>
    </row>
    <row r="7622" spans="2:4" ht="12.75" customHeight="1" x14ac:dyDescent="0.2">
      <c r="B7622" s="236"/>
      <c r="C7622" s="236"/>
      <c r="D7622" s="236"/>
    </row>
    <row r="7623" spans="2:4" ht="12.75" customHeight="1" x14ac:dyDescent="0.2">
      <c r="B7623" s="236"/>
      <c r="C7623" s="236"/>
      <c r="D7623" s="236"/>
    </row>
    <row r="7624" spans="2:4" x14ac:dyDescent="0.2">
      <c r="B7624" s="236"/>
      <c r="C7624" s="236"/>
      <c r="D7624" s="236"/>
    </row>
    <row r="7625" spans="2:4" ht="12.75" customHeight="1" x14ac:dyDescent="0.2">
      <c r="B7625" s="236"/>
      <c r="C7625" s="236"/>
      <c r="D7625" s="236"/>
    </row>
    <row r="7626" spans="2:4" ht="12.75" customHeight="1" x14ac:dyDescent="0.2">
      <c r="B7626" s="236"/>
      <c r="C7626" s="236"/>
      <c r="D7626" s="236"/>
    </row>
    <row r="7627" spans="2:4" ht="12.75" customHeight="1" x14ac:dyDescent="0.2">
      <c r="B7627" s="236"/>
      <c r="C7627" s="236"/>
      <c r="D7627" s="236"/>
    </row>
    <row r="7628" spans="2:4" ht="12.75" customHeight="1" x14ac:dyDescent="0.2">
      <c r="B7628" s="236"/>
      <c r="C7628" s="236"/>
      <c r="D7628" s="236"/>
    </row>
    <row r="7629" spans="2:4" ht="12.75" customHeight="1" x14ac:dyDescent="0.2">
      <c r="B7629" s="236"/>
      <c r="C7629" s="236"/>
      <c r="D7629" s="236"/>
    </row>
    <row r="7630" spans="2:4" ht="12.75" customHeight="1" x14ac:dyDescent="0.2">
      <c r="B7630" s="236"/>
      <c r="C7630" s="236"/>
      <c r="D7630" s="236"/>
    </row>
    <row r="7631" spans="2:4" ht="12.75" customHeight="1" x14ac:dyDescent="0.2">
      <c r="B7631" s="236"/>
      <c r="C7631" s="236"/>
      <c r="D7631" s="236"/>
    </row>
    <row r="7632" spans="2:4" ht="12.75" customHeight="1" x14ac:dyDescent="0.2">
      <c r="B7632" s="236"/>
      <c r="C7632" s="236"/>
      <c r="D7632" s="236"/>
    </row>
    <row r="7633" spans="2:4" ht="12.75" customHeight="1" x14ac:dyDescent="0.2">
      <c r="B7633" s="236"/>
      <c r="C7633" s="236"/>
      <c r="D7633" s="236"/>
    </row>
    <row r="7634" spans="2:4" ht="12.75" customHeight="1" x14ac:dyDescent="0.2">
      <c r="B7634" s="236"/>
      <c r="C7634" s="236"/>
      <c r="D7634" s="236"/>
    </row>
    <row r="7635" spans="2:4" ht="12.75" customHeight="1" x14ac:dyDescent="0.2">
      <c r="B7635" s="236"/>
      <c r="C7635" s="236"/>
      <c r="D7635" s="236"/>
    </row>
    <row r="7636" spans="2:4" x14ac:dyDescent="0.2">
      <c r="B7636" s="236"/>
      <c r="C7636" s="236"/>
      <c r="D7636" s="236"/>
    </row>
    <row r="7637" spans="2:4" ht="12.75" customHeight="1" x14ac:dyDescent="0.2">
      <c r="B7637" s="236"/>
      <c r="C7637" s="236"/>
      <c r="D7637" s="236"/>
    </row>
    <row r="7638" spans="2:4" x14ac:dyDescent="0.2">
      <c r="B7638" s="236"/>
      <c r="C7638" s="236"/>
      <c r="D7638" s="236"/>
    </row>
    <row r="7639" spans="2:4" ht="12.75" customHeight="1" x14ac:dyDescent="0.2">
      <c r="B7639" s="236"/>
      <c r="C7639" s="236"/>
      <c r="D7639" s="236"/>
    </row>
    <row r="7640" spans="2:4" ht="12.75" customHeight="1" x14ac:dyDescent="0.2">
      <c r="B7640" s="236"/>
      <c r="C7640" s="236"/>
      <c r="D7640" s="236"/>
    </row>
    <row r="7641" spans="2:4" ht="12.75" customHeight="1" x14ac:dyDescent="0.2">
      <c r="B7641" s="236"/>
      <c r="C7641" s="236"/>
      <c r="D7641" s="236"/>
    </row>
    <row r="7642" spans="2:4" ht="12.75" customHeight="1" x14ac:dyDescent="0.2">
      <c r="B7642" s="236"/>
      <c r="C7642" s="236"/>
      <c r="D7642" s="236"/>
    </row>
    <row r="7643" spans="2:4" ht="12.75" customHeight="1" x14ac:dyDescent="0.2">
      <c r="B7643" s="236"/>
      <c r="C7643" s="236"/>
      <c r="D7643" s="236"/>
    </row>
    <row r="7644" spans="2:4" ht="12.75" customHeight="1" x14ac:dyDescent="0.2">
      <c r="B7644" s="236"/>
      <c r="C7644" s="236"/>
      <c r="D7644" s="236"/>
    </row>
    <row r="7645" spans="2:4" ht="12.75" customHeight="1" x14ac:dyDescent="0.2">
      <c r="B7645" s="236"/>
      <c r="C7645" s="236"/>
      <c r="D7645" s="236"/>
    </row>
    <row r="7646" spans="2:4" ht="12.75" customHeight="1" x14ac:dyDescent="0.2">
      <c r="B7646" s="236"/>
      <c r="C7646" s="236"/>
      <c r="D7646" s="236"/>
    </row>
    <row r="7647" spans="2:4" ht="12.75" customHeight="1" x14ac:dyDescent="0.2">
      <c r="B7647" s="236"/>
      <c r="C7647" s="236"/>
      <c r="D7647" s="236"/>
    </row>
    <row r="7648" spans="2:4" x14ac:dyDescent="0.2">
      <c r="B7648" s="236"/>
      <c r="C7648" s="236"/>
      <c r="D7648" s="236"/>
    </row>
    <row r="7649" spans="2:4" ht="12.75" customHeight="1" x14ac:dyDescent="0.2">
      <c r="B7649" s="236"/>
      <c r="C7649" s="236"/>
      <c r="D7649" s="236"/>
    </row>
    <row r="7650" spans="2:4" ht="12.75" customHeight="1" x14ac:dyDescent="0.2">
      <c r="B7650" s="236"/>
      <c r="C7650" s="236"/>
      <c r="D7650" s="236"/>
    </row>
    <row r="7651" spans="2:4" ht="12.75" customHeight="1" x14ac:dyDescent="0.2">
      <c r="B7651" s="236"/>
      <c r="C7651" s="236"/>
      <c r="D7651" s="236"/>
    </row>
    <row r="7652" spans="2:4" ht="12.75" customHeight="1" x14ac:dyDescent="0.2">
      <c r="B7652" s="236"/>
      <c r="C7652" s="236"/>
      <c r="D7652" s="236"/>
    </row>
    <row r="7653" spans="2:4" ht="12.75" customHeight="1" x14ac:dyDescent="0.2">
      <c r="B7653" s="236"/>
      <c r="C7653" s="236"/>
      <c r="D7653" s="236"/>
    </row>
    <row r="7654" spans="2:4" ht="12.75" customHeight="1" x14ac:dyDescent="0.2">
      <c r="B7654" s="236"/>
      <c r="C7654" s="236"/>
      <c r="D7654" s="236"/>
    </row>
    <row r="7655" spans="2:4" x14ac:dyDescent="0.2">
      <c r="B7655" s="236"/>
      <c r="C7655" s="236"/>
      <c r="D7655" s="236"/>
    </row>
    <row r="7656" spans="2:4" ht="12.75" customHeight="1" x14ac:dyDescent="0.2">
      <c r="B7656" s="236"/>
      <c r="C7656" s="236"/>
      <c r="D7656" s="236"/>
    </row>
    <row r="7657" spans="2:4" x14ac:dyDescent="0.2">
      <c r="B7657" s="236"/>
      <c r="C7657" s="236"/>
      <c r="D7657" s="236"/>
    </row>
    <row r="7658" spans="2:4" ht="12.75" customHeight="1" x14ac:dyDescent="0.2">
      <c r="B7658" s="236"/>
      <c r="C7658" s="236"/>
      <c r="D7658" s="236"/>
    </row>
    <row r="7659" spans="2:4" ht="12.75" customHeight="1" x14ac:dyDescent="0.2">
      <c r="B7659" s="236"/>
      <c r="C7659" s="236"/>
      <c r="D7659" s="236"/>
    </row>
    <row r="7660" spans="2:4" ht="12.75" customHeight="1" x14ac:dyDescent="0.2">
      <c r="B7660" s="236"/>
      <c r="C7660" s="236"/>
      <c r="D7660" s="236"/>
    </row>
    <row r="7661" spans="2:4" ht="12.75" customHeight="1" x14ac:dyDescent="0.2">
      <c r="B7661" s="236"/>
      <c r="C7661" s="236"/>
      <c r="D7661" s="236"/>
    </row>
    <row r="7662" spans="2:4" ht="12.75" customHeight="1" x14ac:dyDescent="0.2">
      <c r="B7662" s="236"/>
      <c r="C7662" s="236"/>
      <c r="D7662" s="236"/>
    </row>
    <row r="7663" spans="2:4" ht="12.75" customHeight="1" x14ac:dyDescent="0.2">
      <c r="B7663" s="236"/>
      <c r="C7663" s="236"/>
      <c r="D7663" s="236"/>
    </row>
    <row r="7664" spans="2:4" ht="12.75" customHeight="1" x14ac:dyDescent="0.2">
      <c r="B7664" s="236"/>
      <c r="C7664" s="236"/>
      <c r="D7664" s="236"/>
    </row>
    <row r="7665" spans="2:4" ht="12.75" customHeight="1" x14ac:dyDescent="0.2">
      <c r="B7665" s="236"/>
      <c r="C7665" s="236"/>
      <c r="D7665" s="236"/>
    </row>
    <row r="7666" spans="2:4" ht="12.75" customHeight="1" x14ac:dyDescent="0.2">
      <c r="B7666" s="236"/>
      <c r="C7666" s="236"/>
      <c r="D7666" s="236"/>
    </row>
    <row r="7667" spans="2:4" ht="12.75" customHeight="1" x14ac:dyDescent="0.2">
      <c r="B7667" s="236"/>
      <c r="C7667" s="236"/>
      <c r="D7667" s="236"/>
    </row>
    <row r="7668" spans="2:4" x14ac:dyDescent="0.2">
      <c r="B7668" s="236"/>
      <c r="C7668" s="236"/>
      <c r="D7668" s="236"/>
    </row>
    <row r="7669" spans="2:4" ht="12.75" customHeight="1" x14ac:dyDescent="0.2">
      <c r="B7669" s="236"/>
      <c r="C7669" s="236"/>
      <c r="D7669" s="236"/>
    </row>
    <row r="7670" spans="2:4" ht="12.75" customHeight="1" x14ac:dyDescent="0.2">
      <c r="B7670" s="236"/>
      <c r="C7670" s="236"/>
      <c r="D7670" s="236"/>
    </row>
    <row r="7671" spans="2:4" ht="12.75" customHeight="1" x14ac:dyDescent="0.2">
      <c r="B7671" s="236"/>
      <c r="C7671" s="236"/>
      <c r="D7671" s="236"/>
    </row>
    <row r="7672" spans="2:4" x14ac:dyDescent="0.2">
      <c r="B7672" s="236"/>
      <c r="C7672" s="236"/>
      <c r="D7672" s="236"/>
    </row>
    <row r="7673" spans="2:4" ht="12.75" customHeight="1" x14ac:dyDescent="0.2">
      <c r="B7673" s="236"/>
      <c r="C7673" s="236"/>
      <c r="D7673" s="236"/>
    </row>
    <row r="7674" spans="2:4" x14ac:dyDescent="0.2">
      <c r="B7674" s="236"/>
      <c r="C7674" s="236"/>
      <c r="D7674" s="236"/>
    </row>
    <row r="7675" spans="2:4" ht="12.75" customHeight="1" x14ac:dyDescent="0.2">
      <c r="B7675" s="236"/>
      <c r="C7675" s="236"/>
      <c r="D7675" s="236"/>
    </row>
    <row r="7676" spans="2:4" x14ac:dyDescent="0.2">
      <c r="B7676" s="236"/>
      <c r="C7676" s="236"/>
      <c r="D7676" s="236"/>
    </row>
    <row r="7677" spans="2:4" ht="12.75" customHeight="1" x14ac:dyDescent="0.2">
      <c r="B7677" s="236"/>
      <c r="C7677" s="236"/>
      <c r="D7677" s="236"/>
    </row>
    <row r="7678" spans="2:4" x14ac:dyDescent="0.2">
      <c r="B7678" s="236"/>
      <c r="C7678" s="236"/>
      <c r="D7678" s="236"/>
    </row>
    <row r="7679" spans="2:4" ht="12.75" customHeight="1" x14ac:dyDescent="0.2">
      <c r="B7679" s="236"/>
      <c r="C7679" s="236"/>
      <c r="D7679" s="236"/>
    </row>
    <row r="7680" spans="2:4" ht="12.75" customHeight="1" x14ac:dyDescent="0.2">
      <c r="B7680" s="236"/>
      <c r="C7680" s="236"/>
      <c r="D7680" s="236"/>
    </row>
    <row r="7681" spans="2:4" ht="12.75" customHeight="1" x14ac:dyDescent="0.2">
      <c r="B7681" s="236"/>
      <c r="C7681" s="236"/>
      <c r="D7681" s="236"/>
    </row>
    <row r="7682" spans="2:4" x14ac:dyDescent="0.2">
      <c r="B7682" s="236"/>
      <c r="C7682" s="236"/>
      <c r="D7682" s="236"/>
    </row>
    <row r="7683" spans="2:4" ht="12.75" customHeight="1" x14ac:dyDescent="0.2">
      <c r="B7683" s="236"/>
      <c r="C7683" s="236"/>
      <c r="D7683" s="236"/>
    </row>
    <row r="7684" spans="2:4" ht="12.75" customHeight="1" x14ac:dyDescent="0.2">
      <c r="B7684" s="236"/>
      <c r="C7684" s="236"/>
      <c r="D7684" s="236"/>
    </row>
    <row r="7685" spans="2:4" x14ac:dyDescent="0.2">
      <c r="B7685" s="236"/>
      <c r="C7685" s="236"/>
      <c r="D7685" s="236"/>
    </row>
    <row r="7686" spans="2:4" ht="12.75" customHeight="1" x14ac:dyDescent="0.2">
      <c r="B7686" s="236"/>
      <c r="C7686" s="236"/>
      <c r="D7686" s="236"/>
    </row>
    <row r="7687" spans="2:4" ht="12.75" customHeight="1" x14ac:dyDescent="0.2">
      <c r="B7687" s="236"/>
      <c r="C7687" s="236"/>
      <c r="D7687" s="236"/>
    </row>
    <row r="7688" spans="2:4" ht="12.75" customHeight="1" x14ac:dyDescent="0.2">
      <c r="B7688" s="236"/>
      <c r="C7688" s="236"/>
      <c r="D7688" s="236"/>
    </row>
    <row r="7689" spans="2:4" ht="12.75" customHeight="1" x14ac:dyDescent="0.2">
      <c r="B7689" s="236"/>
      <c r="C7689" s="236"/>
      <c r="D7689" s="236"/>
    </row>
    <row r="7690" spans="2:4" ht="12.75" customHeight="1" x14ac:dyDescent="0.2">
      <c r="B7690" s="236"/>
      <c r="C7690" s="236"/>
      <c r="D7690" s="236"/>
    </row>
    <row r="7691" spans="2:4" ht="12.75" customHeight="1" x14ac:dyDescent="0.2">
      <c r="B7691" s="236"/>
      <c r="C7691" s="236"/>
      <c r="D7691" s="236"/>
    </row>
    <row r="7692" spans="2:4" ht="12.75" customHeight="1" x14ac:dyDescent="0.2">
      <c r="B7692" s="236"/>
      <c r="C7692" s="236"/>
      <c r="D7692" s="236"/>
    </row>
    <row r="7693" spans="2:4" ht="12.75" customHeight="1" x14ac:dyDescent="0.2">
      <c r="B7693" s="236"/>
      <c r="C7693" s="236"/>
      <c r="D7693" s="236"/>
    </row>
    <row r="7694" spans="2:4" ht="12.75" customHeight="1" x14ac:dyDescent="0.2">
      <c r="B7694" s="236"/>
      <c r="C7694" s="236"/>
      <c r="D7694" s="236"/>
    </row>
    <row r="7695" spans="2:4" ht="12.75" customHeight="1" x14ac:dyDescent="0.2">
      <c r="B7695" s="236"/>
      <c r="C7695" s="236"/>
      <c r="D7695" s="236"/>
    </row>
    <row r="7696" spans="2:4" ht="12.75" customHeight="1" x14ac:dyDescent="0.2">
      <c r="B7696" s="236"/>
      <c r="C7696" s="236"/>
      <c r="D7696" s="236"/>
    </row>
    <row r="7697" spans="2:4" x14ac:dyDescent="0.2">
      <c r="B7697" s="236"/>
      <c r="C7697" s="236"/>
      <c r="D7697" s="236"/>
    </row>
    <row r="7698" spans="2:4" ht="12.75" customHeight="1" x14ac:dyDescent="0.2">
      <c r="B7698" s="236"/>
      <c r="C7698" s="236"/>
      <c r="D7698" s="236"/>
    </row>
    <row r="7699" spans="2:4" ht="12.75" customHeight="1" x14ac:dyDescent="0.2">
      <c r="B7699" s="236"/>
      <c r="C7699" s="236"/>
      <c r="D7699" s="236"/>
    </row>
    <row r="7700" spans="2:4" x14ac:dyDescent="0.2">
      <c r="B7700" s="236"/>
      <c r="C7700" s="236"/>
      <c r="D7700" s="236"/>
    </row>
    <row r="7701" spans="2:4" ht="12.75" customHeight="1" x14ac:dyDescent="0.2">
      <c r="B7701" s="236"/>
      <c r="C7701" s="236"/>
      <c r="D7701" s="236"/>
    </row>
    <row r="7702" spans="2:4" ht="12.75" customHeight="1" x14ac:dyDescent="0.2">
      <c r="B7702" s="236"/>
      <c r="C7702" s="236"/>
      <c r="D7702" s="236"/>
    </row>
    <row r="7703" spans="2:4" ht="12.75" customHeight="1" x14ac:dyDescent="0.2">
      <c r="B7703" s="236"/>
      <c r="C7703" s="236"/>
      <c r="D7703" s="236"/>
    </row>
    <row r="7704" spans="2:4" ht="12.75" customHeight="1" x14ac:dyDescent="0.2">
      <c r="B7704" s="236"/>
      <c r="C7704" s="236"/>
      <c r="D7704" s="236"/>
    </row>
    <row r="7705" spans="2:4" ht="12.75" customHeight="1" x14ac:dyDescent="0.2">
      <c r="B7705" s="236"/>
      <c r="C7705" s="236"/>
      <c r="D7705" s="236"/>
    </row>
    <row r="7706" spans="2:4" ht="12.75" customHeight="1" x14ac:dyDescent="0.2">
      <c r="B7706" s="236"/>
      <c r="C7706" s="236"/>
      <c r="D7706" s="236"/>
    </row>
    <row r="7707" spans="2:4" ht="12.75" customHeight="1" x14ac:dyDescent="0.2">
      <c r="B7707" s="236"/>
      <c r="C7707" s="236"/>
      <c r="D7707" s="236"/>
    </row>
    <row r="7708" spans="2:4" ht="12.75" customHeight="1" x14ac:dyDescent="0.2">
      <c r="B7708" s="236"/>
      <c r="C7708" s="236"/>
      <c r="D7708" s="236"/>
    </row>
    <row r="7709" spans="2:4" ht="12.75" customHeight="1" x14ac:dyDescent="0.2">
      <c r="B7709" s="236"/>
      <c r="C7709" s="236"/>
      <c r="D7709" s="236"/>
    </row>
    <row r="7710" spans="2:4" ht="12.75" customHeight="1" x14ac:dyDescent="0.2">
      <c r="B7710" s="236"/>
      <c r="C7710" s="236"/>
      <c r="D7710" s="236"/>
    </row>
    <row r="7711" spans="2:4" ht="12.75" customHeight="1" x14ac:dyDescent="0.2">
      <c r="B7711" s="236"/>
      <c r="C7711" s="236"/>
      <c r="D7711" s="236"/>
    </row>
    <row r="7712" spans="2:4" ht="12.75" customHeight="1" x14ac:dyDescent="0.2">
      <c r="B7712" s="236"/>
      <c r="C7712" s="236"/>
      <c r="D7712" s="236"/>
    </row>
    <row r="7713" spans="2:4" x14ac:dyDescent="0.2">
      <c r="B7713" s="236"/>
      <c r="C7713" s="236"/>
      <c r="D7713" s="236"/>
    </row>
    <row r="7714" spans="2:4" ht="12.75" customHeight="1" x14ac:dyDescent="0.2">
      <c r="B7714" s="236"/>
      <c r="C7714" s="236"/>
      <c r="D7714" s="236"/>
    </row>
    <row r="7715" spans="2:4" ht="12.75" customHeight="1" x14ac:dyDescent="0.2">
      <c r="B7715" s="236"/>
      <c r="C7715" s="236"/>
      <c r="D7715" s="236"/>
    </row>
    <row r="7716" spans="2:4" ht="12.75" customHeight="1" x14ac:dyDescent="0.2">
      <c r="B7716" s="236"/>
      <c r="C7716" s="236"/>
      <c r="D7716" s="236"/>
    </row>
    <row r="7717" spans="2:4" ht="12.75" customHeight="1" x14ac:dyDescent="0.2">
      <c r="B7717" s="236"/>
      <c r="C7717" s="236"/>
      <c r="D7717" s="236"/>
    </row>
    <row r="7718" spans="2:4" ht="12.75" customHeight="1" x14ac:dyDescent="0.2">
      <c r="B7718" s="236"/>
      <c r="C7718" s="236"/>
      <c r="D7718" s="236"/>
    </row>
    <row r="7719" spans="2:4" ht="12.75" customHeight="1" x14ac:dyDescent="0.2">
      <c r="B7719" s="236"/>
      <c r="C7719" s="236"/>
      <c r="D7719" s="236"/>
    </row>
    <row r="7720" spans="2:4" x14ac:dyDescent="0.2">
      <c r="B7720" s="236"/>
      <c r="C7720" s="236"/>
      <c r="D7720" s="236"/>
    </row>
    <row r="7721" spans="2:4" ht="12.75" customHeight="1" x14ac:dyDescent="0.2">
      <c r="B7721" s="236"/>
      <c r="C7721" s="236"/>
      <c r="D7721" s="236"/>
    </row>
    <row r="7722" spans="2:4" x14ac:dyDescent="0.2">
      <c r="B7722" s="236"/>
      <c r="C7722" s="236"/>
      <c r="D7722" s="236"/>
    </row>
    <row r="7723" spans="2:4" ht="12.75" customHeight="1" x14ac:dyDescent="0.2">
      <c r="B7723" s="236"/>
      <c r="C7723" s="236"/>
      <c r="D7723" s="236"/>
    </row>
    <row r="7724" spans="2:4" ht="12.75" customHeight="1" x14ac:dyDescent="0.2">
      <c r="B7724" s="236"/>
      <c r="C7724" s="236"/>
      <c r="D7724" s="236"/>
    </row>
    <row r="7725" spans="2:4" ht="12.75" customHeight="1" x14ac:dyDescent="0.2">
      <c r="B7725" s="236"/>
      <c r="C7725" s="236"/>
      <c r="D7725" s="236"/>
    </row>
    <row r="7726" spans="2:4" ht="12.75" customHeight="1" x14ac:dyDescent="0.2">
      <c r="B7726" s="236"/>
      <c r="C7726" s="236"/>
      <c r="D7726" s="236"/>
    </row>
    <row r="7727" spans="2:4" ht="12.75" customHeight="1" x14ac:dyDescent="0.2">
      <c r="B7727" s="236"/>
      <c r="C7727" s="236"/>
      <c r="D7727" s="236"/>
    </row>
    <row r="7728" spans="2:4" x14ac:dyDescent="0.2">
      <c r="B7728" s="236"/>
      <c r="C7728" s="236"/>
      <c r="D7728" s="236"/>
    </row>
    <row r="7729" spans="2:4" ht="12.75" customHeight="1" x14ac:dyDescent="0.2">
      <c r="B7729" s="236"/>
      <c r="C7729" s="236"/>
      <c r="D7729" s="236"/>
    </row>
    <row r="7730" spans="2:4" ht="12.75" customHeight="1" x14ac:dyDescent="0.2">
      <c r="B7730" s="236"/>
      <c r="C7730" s="236"/>
      <c r="D7730" s="236"/>
    </row>
    <row r="7731" spans="2:4" ht="12.75" customHeight="1" x14ac:dyDescent="0.2">
      <c r="B7731" s="236"/>
      <c r="C7731" s="236"/>
      <c r="D7731" s="236"/>
    </row>
    <row r="7732" spans="2:4" ht="12.75" customHeight="1" x14ac:dyDescent="0.2">
      <c r="B7732" s="236"/>
      <c r="C7732" s="236"/>
      <c r="D7732" s="236"/>
    </row>
    <row r="7733" spans="2:4" x14ac:dyDescent="0.2">
      <c r="B7733" s="236"/>
      <c r="C7733" s="236"/>
      <c r="D7733" s="236"/>
    </row>
    <row r="7734" spans="2:4" ht="12.75" customHeight="1" x14ac:dyDescent="0.2">
      <c r="B7734" s="236"/>
      <c r="C7734" s="236"/>
      <c r="D7734" s="236"/>
    </row>
    <row r="7735" spans="2:4" x14ac:dyDescent="0.2">
      <c r="B7735" s="236"/>
      <c r="C7735" s="236"/>
      <c r="D7735" s="236"/>
    </row>
    <row r="7736" spans="2:4" ht="12.75" customHeight="1" x14ac:dyDescent="0.2">
      <c r="B7736" s="236"/>
      <c r="C7736" s="236"/>
      <c r="D7736" s="236"/>
    </row>
    <row r="7737" spans="2:4" ht="12.75" customHeight="1" x14ac:dyDescent="0.2">
      <c r="B7737" s="236"/>
      <c r="C7737" s="236"/>
      <c r="D7737" s="236"/>
    </row>
    <row r="7738" spans="2:4" x14ac:dyDescent="0.2">
      <c r="B7738" s="236"/>
      <c r="C7738" s="236"/>
      <c r="D7738" s="236"/>
    </row>
    <row r="7739" spans="2:4" ht="12.75" customHeight="1" x14ac:dyDescent="0.2">
      <c r="B7739" s="236"/>
      <c r="C7739" s="236"/>
      <c r="D7739" s="236"/>
    </row>
    <row r="7740" spans="2:4" ht="12.75" customHeight="1" x14ac:dyDescent="0.2">
      <c r="B7740" s="236"/>
      <c r="C7740" s="236"/>
      <c r="D7740" s="236"/>
    </row>
    <row r="7741" spans="2:4" ht="12.75" customHeight="1" x14ac:dyDescent="0.2">
      <c r="B7741" s="236"/>
      <c r="C7741" s="236"/>
      <c r="D7741" s="236"/>
    </row>
    <row r="7742" spans="2:4" ht="12.75" customHeight="1" x14ac:dyDescent="0.2">
      <c r="B7742" s="236"/>
      <c r="C7742" s="236"/>
      <c r="D7742" s="236"/>
    </row>
    <row r="7743" spans="2:4" x14ac:dyDescent="0.2">
      <c r="B7743" s="236"/>
      <c r="C7743" s="236"/>
      <c r="D7743" s="236"/>
    </row>
    <row r="7744" spans="2:4" ht="12.75" customHeight="1" x14ac:dyDescent="0.2">
      <c r="B7744" s="236"/>
      <c r="C7744" s="236"/>
      <c r="D7744" s="236"/>
    </row>
    <row r="7745" spans="2:4" x14ac:dyDescent="0.2">
      <c r="B7745" s="236"/>
      <c r="C7745" s="236"/>
      <c r="D7745" s="236"/>
    </row>
    <row r="7746" spans="2:4" ht="12.75" customHeight="1" x14ac:dyDescent="0.2">
      <c r="B7746" s="236"/>
      <c r="C7746" s="236"/>
      <c r="D7746" s="236"/>
    </row>
    <row r="7747" spans="2:4" x14ac:dyDescent="0.2">
      <c r="B7747" s="236"/>
      <c r="C7747" s="236"/>
      <c r="D7747" s="236"/>
    </row>
    <row r="7748" spans="2:4" ht="12.75" customHeight="1" x14ac:dyDescent="0.2">
      <c r="B7748" s="236"/>
      <c r="C7748" s="236"/>
      <c r="D7748" s="236"/>
    </row>
    <row r="7749" spans="2:4" ht="12.75" customHeight="1" x14ac:dyDescent="0.2">
      <c r="B7749" s="236"/>
      <c r="C7749" s="236"/>
      <c r="D7749" s="236"/>
    </row>
    <row r="7750" spans="2:4" x14ac:dyDescent="0.2">
      <c r="B7750" s="236"/>
      <c r="C7750" s="236"/>
      <c r="D7750" s="236"/>
    </row>
    <row r="7751" spans="2:4" ht="12.75" customHeight="1" x14ac:dyDescent="0.2">
      <c r="B7751" s="236"/>
      <c r="C7751" s="236"/>
      <c r="D7751" s="236"/>
    </row>
    <row r="7752" spans="2:4" x14ac:dyDescent="0.2">
      <c r="B7752" s="236"/>
      <c r="C7752" s="236"/>
      <c r="D7752" s="236"/>
    </row>
    <row r="7753" spans="2:4" ht="12.75" customHeight="1" x14ac:dyDescent="0.2">
      <c r="B7753" s="236"/>
      <c r="C7753" s="236"/>
      <c r="D7753" s="236"/>
    </row>
    <row r="7754" spans="2:4" ht="12.75" customHeight="1" x14ac:dyDescent="0.2">
      <c r="B7754" s="236"/>
      <c r="C7754" s="236"/>
      <c r="D7754" s="236"/>
    </row>
    <row r="7755" spans="2:4" x14ac:dyDescent="0.2">
      <c r="B7755" s="236"/>
      <c r="C7755" s="236"/>
      <c r="D7755" s="236"/>
    </row>
    <row r="7756" spans="2:4" ht="12.75" customHeight="1" x14ac:dyDescent="0.2">
      <c r="B7756" s="236"/>
      <c r="C7756" s="236"/>
      <c r="D7756" s="236"/>
    </row>
    <row r="7757" spans="2:4" ht="12.75" customHeight="1" x14ac:dyDescent="0.2">
      <c r="B7757" s="236"/>
      <c r="C7757" s="236"/>
      <c r="D7757" s="236"/>
    </row>
    <row r="7758" spans="2:4" x14ac:dyDescent="0.2">
      <c r="B7758" s="236"/>
      <c r="C7758" s="236"/>
      <c r="D7758" s="236"/>
    </row>
    <row r="7759" spans="2:4" ht="12.75" customHeight="1" x14ac:dyDescent="0.2">
      <c r="B7759" s="236"/>
      <c r="C7759" s="236"/>
      <c r="D7759" s="236"/>
    </row>
    <row r="7760" spans="2:4" ht="12.75" customHeight="1" x14ac:dyDescent="0.2">
      <c r="B7760" s="236"/>
      <c r="C7760" s="236"/>
      <c r="D7760" s="236"/>
    </row>
    <row r="7761" spans="2:4" x14ac:dyDescent="0.2">
      <c r="B7761" s="236"/>
      <c r="C7761" s="236"/>
      <c r="D7761" s="236"/>
    </row>
    <row r="7762" spans="2:4" ht="12.75" customHeight="1" x14ac:dyDescent="0.2">
      <c r="B7762" s="236"/>
      <c r="C7762" s="236"/>
      <c r="D7762" s="236"/>
    </row>
    <row r="7763" spans="2:4" ht="12.75" customHeight="1" x14ac:dyDescent="0.2">
      <c r="B7763" s="236"/>
      <c r="C7763" s="236"/>
      <c r="D7763" s="236"/>
    </row>
    <row r="7764" spans="2:4" ht="12.75" customHeight="1" x14ac:dyDescent="0.2">
      <c r="B7764" s="236"/>
      <c r="C7764" s="236"/>
      <c r="D7764" s="236"/>
    </row>
    <row r="7765" spans="2:4" ht="12.75" customHeight="1" x14ac:dyDescent="0.2">
      <c r="B7765" s="236"/>
      <c r="C7765" s="236"/>
      <c r="D7765" s="236"/>
    </row>
    <row r="7766" spans="2:4" ht="12.75" customHeight="1" x14ac:dyDescent="0.2">
      <c r="B7766" s="236"/>
      <c r="C7766" s="236"/>
      <c r="D7766" s="236"/>
    </row>
    <row r="7767" spans="2:4" x14ac:dyDescent="0.2">
      <c r="B7767" s="236"/>
      <c r="C7767" s="236"/>
      <c r="D7767" s="236"/>
    </row>
    <row r="7768" spans="2:4" ht="12.75" customHeight="1" x14ac:dyDescent="0.2">
      <c r="B7768" s="236"/>
      <c r="C7768" s="236"/>
      <c r="D7768" s="236"/>
    </row>
    <row r="7769" spans="2:4" x14ac:dyDescent="0.2">
      <c r="B7769" s="236"/>
      <c r="C7769" s="236"/>
      <c r="D7769" s="236"/>
    </row>
    <row r="7770" spans="2:4" ht="12.75" customHeight="1" x14ac:dyDescent="0.2">
      <c r="B7770" s="236"/>
      <c r="C7770" s="236"/>
      <c r="D7770" s="236"/>
    </row>
    <row r="7771" spans="2:4" ht="12.75" customHeight="1" x14ac:dyDescent="0.2">
      <c r="B7771" s="236"/>
      <c r="C7771" s="236"/>
      <c r="D7771" s="236"/>
    </row>
    <row r="7772" spans="2:4" ht="12.75" customHeight="1" x14ac:dyDescent="0.2">
      <c r="B7772" s="236"/>
      <c r="C7772" s="236"/>
      <c r="D7772" s="236"/>
    </row>
    <row r="7773" spans="2:4" ht="12.75" customHeight="1" x14ac:dyDescent="0.2">
      <c r="B7773" s="236"/>
      <c r="C7773" s="236"/>
      <c r="D7773" s="236"/>
    </row>
    <row r="7774" spans="2:4" x14ac:dyDescent="0.2">
      <c r="B7774" s="236"/>
      <c r="C7774" s="236"/>
      <c r="D7774" s="236"/>
    </row>
    <row r="7775" spans="2:4" ht="12.75" customHeight="1" x14ac:dyDescent="0.2">
      <c r="B7775" s="236"/>
      <c r="C7775" s="236"/>
      <c r="D7775" s="236"/>
    </row>
    <row r="7776" spans="2:4" x14ac:dyDescent="0.2">
      <c r="B7776" s="236"/>
      <c r="C7776" s="236"/>
      <c r="D7776" s="236"/>
    </row>
    <row r="7777" spans="2:4" ht="12.75" customHeight="1" x14ac:dyDescent="0.2">
      <c r="B7777" s="236"/>
      <c r="C7777" s="236"/>
      <c r="D7777" s="236"/>
    </row>
    <row r="7778" spans="2:4" x14ac:dyDescent="0.2">
      <c r="B7778" s="236"/>
      <c r="C7778" s="236"/>
      <c r="D7778" s="236"/>
    </row>
    <row r="7779" spans="2:4" ht="12.75" customHeight="1" x14ac:dyDescent="0.2">
      <c r="B7779" s="236"/>
      <c r="C7779" s="236"/>
      <c r="D7779" s="236"/>
    </row>
    <row r="7780" spans="2:4" ht="12.75" customHeight="1" x14ac:dyDescent="0.2">
      <c r="B7780" s="236"/>
      <c r="C7780" s="236"/>
      <c r="D7780" s="236"/>
    </row>
    <row r="7781" spans="2:4" ht="12.75" customHeight="1" x14ac:dyDescent="0.2">
      <c r="B7781" s="236"/>
      <c r="C7781" s="236"/>
      <c r="D7781" s="236"/>
    </row>
    <row r="7782" spans="2:4" x14ac:dyDescent="0.2">
      <c r="B7782" s="236"/>
      <c r="C7782" s="236"/>
      <c r="D7782" s="236"/>
    </row>
    <row r="7783" spans="2:4" ht="12.75" customHeight="1" x14ac:dyDescent="0.2">
      <c r="B7783" s="236"/>
      <c r="C7783" s="236"/>
      <c r="D7783" s="236"/>
    </row>
    <row r="7784" spans="2:4" x14ac:dyDescent="0.2">
      <c r="B7784" s="236"/>
      <c r="C7784" s="236"/>
      <c r="D7784" s="236"/>
    </row>
    <row r="7785" spans="2:4" ht="12.75" customHeight="1" x14ac:dyDescent="0.2">
      <c r="B7785" s="236"/>
      <c r="C7785" s="236"/>
      <c r="D7785" s="236"/>
    </row>
    <row r="7786" spans="2:4" ht="12.75" customHeight="1" x14ac:dyDescent="0.2">
      <c r="B7786" s="236"/>
      <c r="C7786" s="236"/>
      <c r="D7786" s="236"/>
    </row>
    <row r="7787" spans="2:4" ht="12.75" customHeight="1" x14ac:dyDescent="0.2">
      <c r="B7787" s="236"/>
      <c r="C7787" s="236"/>
      <c r="D7787" s="236"/>
    </row>
    <row r="7788" spans="2:4" ht="12.75" customHeight="1" x14ac:dyDescent="0.2">
      <c r="B7788" s="236"/>
      <c r="C7788" s="236"/>
      <c r="D7788" s="236"/>
    </row>
    <row r="7789" spans="2:4" x14ac:dyDescent="0.2">
      <c r="B7789" s="236"/>
      <c r="C7789" s="236"/>
      <c r="D7789" s="236"/>
    </row>
    <row r="7790" spans="2:4" ht="12.75" customHeight="1" x14ac:dyDescent="0.2">
      <c r="B7790" s="236"/>
      <c r="C7790" s="236"/>
      <c r="D7790" s="236"/>
    </row>
    <row r="7791" spans="2:4" ht="12.75" customHeight="1" x14ac:dyDescent="0.2">
      <c r="B7791" s="236"/>
      <c r="C7791" s="236"/>
      <c r="D7791" s="236"/>
    </row>
    <row r="7792" spans="2:4" x14ac:dyDescent="0.2">
      <c r="B7792" s="236"/>
      <c r="C7792" s="236"/>
      <c r="D7792" s="236"/>
    </row>
    <row r="7793" spans="2:4" ht="12.75" customHeight="1" x14ac:dyDescent="0.2">
      <c r="B7793" s="236"/>
      <c r="C7793" s="236"/>
      <c r="D7793" s="236"/>
    </row>
    <row r="7794" spans="2:4" x14ac:dyDescent="0.2">
      <c r="B7794" s="236"/>
      <c r="C7794" s="236"/>
      <c r="D7794" s="236"/>
    </row>
    <row r="7795" spans="2:4" ht="12.75" customHeight="1" x14ac:dyDescent="0.2">
      <c r="B7795" s="236"/>
      <c r="C7795" s="236"/>
      <c r="D7795" s="236"/>
    </row>
    <row r="7796" spans="2:4" x14ac:dyDescent="0.2">
      <c r="B7796" s="236"/>
      <c r="C7796" s="236"/>
      <c r="D7796" s="236"/>
    </row>
    <row r="7797" spans="2:4" x14ac:dyDescent="0.2">
      <c r="B7797" s="236"/>
      <c r="C7797" s="236"/>
      <c r="D7797" s="236"/>
    </row>
    <row r="7798" spans="2:4" ht="12.75" customHeight="1" x14ac:dyDescent="0.2">
      <c r="B7798" s="236"/>
      <c r="C7798" s="236"/>
      <c r="D7798" s="236"/>
    </row>
    <row r="7799" spans="2:4" ht="12.75" customHeight="1" x14ac:dyDescent="0.2">
      <c r="B7799" s="236"/>
      <c r="C7799" s="236"/>
      <c r="D7799" s="236"/>
    </row>
    <row r="7800" spans="2:4" x14ac:dyDescent="0.2">
      <c r="B7800" s="236"/>
      <c r="C7800" s="236"/>
      <c r="D7800" s="236"/>
    </row>
    <row r="7801" spans="2:4" ht="12.75" customHeight="1" x14ac:dyDescent="0.2">
      <c r="B7801" s="236"/>
      <c r="C7801" s="236"/>
      <c r="D7801" s="236"/>
    </row>
    <row r="7802" spans="2:4" ht="12.75" customHeight="1" x14ac:dyDescent="0.2">
      <c r="B7802" s="236"/>
      <c r="C7802" s="236"/>
      <c r="D7802" s="236"/>
    </row>
    <row r="7803" spans="2:4" ht="12.75" customHeight="1" x14ac:dyDescent="0.2">
      <c r="B7803" s="236"/>
      <c r="C7803" s="236"/>
      <c r="D7803" s="236"/>
    </row>
    <row r="7804" spans="2:4" ht="12.75" customHeight="1" x14ac:dyDescent="0.2">
      <c r="B7804" s="236"/>
      <c r="C7804" s="236"/>
      <c r="D7804" s="236"/>
    </row>
    <row r="7805" spans="2:4" ht="12.75" customHeight="1" x14ac:dyDescent="0.2">
      <c r="B7805" s="236"/>
      <c r="C7805" s="236"/>
      <c r="D7805" s="236"/>
    </row>
    <row r="7806" spans="2:4" ht="12.75" customHeight="1" x14ac:dyDescent="0.2">
      <c r="B7806" s="236"/>
      <c r="C7806" s="236"/>
      <c r="D7806" s="236"/>
    </row>
    <row r="7807" spans="2:4" ht="12.75" customHeight="1" x14ac:dyDescent="0.2">
      <c r="B7807" s="236"/>
      <c r="C7807" s="236"/>
      <c r="D7807" s="236"/>
    </row>
    <row r="7808" spans="2:4" x14ac:dyDescent="0.2">
      <c r="B7808" s="236"/>
      <c r="C7808" s="236"/>
      <c r="D7808" s="236"/>
    </row>
    <row r="7809" spans="2:4" ht="12.75" customHeight="1" x14ac:dyDescent="0.2">
      <c r="B7809" s="236"/>
      <c r="C7809" s="236"/>
      <c r="D7809" s="236"/>
    </row>
    <row r="7810" spans="2:4" x14ac:dyDescent="0.2">
      <c r="B7810" s="236"/>
      <c r="C7810" s="236"/>
      <c r="D7810" s="236"/>
    </row>
    <row r="7811" spans="2:4" ht="12.75" customHeight="1" x14ac:dyDescent="0.2">
      <c r="B7811" s="236"/>
      <c r="C7811" s="236"/>
      <c r="D7811" s="236"/>
    </row>
    <row r="7812" spans="2:4" ht="12.75" customHeight="1" x14ac:dyDescent="0.2">
      <c r="B7812" s="236"/>
      <c r="C7812" s="236"/>
      <c r="D7812" s="236"/>
    </row>
    <row r="7813" spans="2:4" ht="12.75" customHeight="1" x14ac:dyDescent="0.2">
      <c r="B7813" s="236"/>
      <c r="C7813" s="236"/>
      <c r="D7813" s="236"/>
    </row>
    <row r="7814" spans="2:4" x14ac:dyDescent="0.2">
      <c r="B7814" s="236"/>
      <c r="C7814" s="236"/>
      <c r="D7814" s="236"/>
    </row>
    <row r="7815" spans="2:4" ht="12.75" customHeight="1" x14ac:dyDescent="0.2">
      <c r="B7815" s="236"/>
      <c r="C7815" s="236"/>
      <c r="D7815" s="236"/>
    </row>
    <row r="7816" spans="2:4" ht="12.75" customHeight="1" x14ac:dyDescent="0.2">
      <c r="B7816" s="236"/>
      <c r="C7816" s="236"/>
      <c r="D7816" s="236"/>
    </row>
    <row r="7817" spans="2:4" ht="12.75" customHeight="1" x14ac:dyDescent="0.2">
      <c r="B7817" s="236"/>
      <c r="C7817" s="236"/>
      <c r="D7817" s="236"/>
    </row>
    <row r="7818" spans="2:4" ht="12.75" customHeight="1" x14ac:dyDescent="0.2">
      <c r="B7818" s="236"/>
      <c r="C7818" s="236"/>
      <c r="D7818" s="236"/>
    </row>
    <row r="7819" spans="2:4" ht="12.75" customHeight="1" x14ac:dyDescent="0.2">
      <c r="B7819" s="236"/>
      <c r="C7819" s="236"/>
      <c r="D7819" s="236"/>
    </row>
    <row r="7820" spans="2:4" x14ac:dyDescent="0.2">
      <c r="B7820" s="236"/>
      <c r="C7820" s="236"/>
      <c r="D7820" s="236"/>
    </row>
    <row r="7821" spans="2:4" ht="12.75" customHeight="1" x14ac:dyDescent="0.2">
      <c r="B7821" s="236"/>
      <c r="C7821" s="236"/>
      <c r="D7821" s="236"/>
    </row>
    <row r="7822" spans="2:4" ht="12.75" customHeight="1" x14ac:dyDescent="0.2">
      <c r="B7822" s="236"/>
      <c r="C7822" s="236"/>
      <c r="D7822" s="236"/>
    </row>
    <row r="7823" spans="2:4" ht="12.75" customHeight="1" x14ac:dyDescent="0.2">
      <c r="B7823" s="236"/>
      <c r="C7823" s="236"/>
      <c r="D7823" s="236"/>
    </row>
    <row r="7824" spans="2:4" ht="12.75" customHeight="1" x14ac:dyDescent="0.2">
      <c r="B7824" s="236"/>
      <c r="C7824" s="236"/>
      <c r="D7824" s="236"/>
    </row>
    <row r="7825" spans="2:4" ht="12.75" customHeight="1" x14ac:dyDescent="0.2">
      <c r="B7825" s="236"/>
      <c r="C7825" s="236"/>
      <c r="D7825" s="236"/>
    </row>
    <row r="7826" spans="2:4" ht="12.75" customHeight="1" x14ac:dyDescent="0.2">
      <c r="B7826" s="236"/>
      <c r="C7826" s="236"/>
      <c r="D7826" s="236"/>
    </row>
    <row r="7827" spans="2:4" x14ac:dyDescent="0.2">
      <c r="B7827" s="236"/>
      <c r="C7827" s="236"/>
      <c r="D7827" s="236"/>
    </row>
    <row r="7828" spans="2:4" ht="12.75" customHeight="1" x14ac:dyDescent="0.2">
      <c r="B7828" s="236"/>
      <c r="C7828" s="236"/>
      <c r="D7828" s="236"/>
    </row>
    <row r="7829" spans="2:4" x14ac:dyDescent="0.2">
      <c r="B7829" s="236"/>
      <c r="C7829" s="236"/>
      <c r="D7829" s="236"/>
    </row>
    <row r="7830" spans="2:4" ht="12.75" customHeight="1" x14ac:dyDescent="0.2">
      <c r="B7830" s="236"/>
      <c r="C7830" s="236"/>
      <c r="D7830" s="236"/>
    </row>
    <row r="7831" spans="2:4" ht="12.75" customHeight="1" x14ac:dyDescent="0.2">
      <c r="B7831" s="236"/>
      <c r="C7831" s="236"/>
      <c r="D7831" s="236"/>
    </row>
    <row r="7832" spans="2:4" x14ac:dyDescent="0.2">
      <c r="B7832" s="236"/>
      <c r="C7832" s="236"/>
      <c r="D7832" s="236"/>
    </row>
    <row r="7833" spans="2:4" ht="12.75" customHeight="1" x14ac:dyDescent="0.2">
      <c r="B7833" s="236"/>
      <c r="C7833" s="236"/>
      <c r="D7833" s="236"/>
    </row>
    <row r="7834" spans="2:4" ht="12.75" customHeight="1" x14ac:dyDescent="0.2">
      <c r="B7834" s="236"/>
      <c r="C7834" s="236"/>
      <c r="D7834" s="236"/>
    </row>
    <row r="7835" spans="2:4" ht="12.75" customHeight="1" x14ac:dyDescent="0.2">
      <c r="B7835" s="236"/>
      <c r="C7835" s="236"/>
      <c r="D7835" s="236"/>
    </row>
    <row r="7836" spans="2:4" ht="12.75" customHeight="1" x14ac:dyDescent="0.2">
      <c r="B7836" s="236"/>
      <c r="C7836" s="236"/>
      <c r="D7836" s="236"/>
    </row>
    <row r="7837" spans="2:4" ht="12.75" customHeight="1" x14ac:dyDescent="0.2">
      <c r="B7837" s="236"/>
      <c r="C7837" s="236"/>
      <c r="D7837" s="236"/>
    </row>
    <row r="7838" spans="2:4" ht="12.75" customHeight="1" x14ac:dyDescent="0.2">
      <c r="B7838" s="236"/>
      <c r="C7838" s="236"/>
      <c r="D7838" s="236"/>
    </row>
    <row r="7839" spans="2:4" x14ac:dyDescent="0.2">
      <c r="B7839" s="236"/>
      <c r="C7839" s="236"/>
      <c r="D7839" s="236"/>
    </row>
    <row r="7840" spans="2:4" ht="12.75" customHeight="1" x14ac:dyDescent="0.2">
      <c r="B7840" s="236"/>
      <c r="C7840" s="236"/>
      <c r="D7840" s="236"/>
    </row>
    <row r="7841" spans="2:4" ht="12.75" customHeight="1" x14ac:dyDescent="0.2">
      <c r="B7841" s="236"/>
      <c r="C7841" s="236"/>
      <c r="D7841" s="236"/>
    </row>
    <row r="7842" spans="2:4" ht="12.75" customHeight="1" x14ac:dyDescent="0.2">
      <c r="B7842" s="236"/>
      <c r="C7842" s="236"/>
      <c r="D7842" s="236"/>
    </row>
    <row r="7843" spans="2:4" ht="12.75" customHeight="1" x14ac:dyDescent="0.2">
      <c r="B7843" s="236"/>
      <c r="C7843" s="236"/>
      <c r="D7843" s="236"/>
    </row>
    <row r="7844" spans="2:4" ht="12.75" customHeight="1" x14ac:dyDescent="0.2">
      <c r="B7844" s="236"/>
      <c r="C7844" s="236"/>
      <c r="D7844" s="236"/>
    </row>
    <row r="7845" spans="2:4" ht="12.75" customHeight="1" x14ac:dyDescent="0.2">
      <c r="B7845" s="236"/>
      <c r="C7845" s="236"/>
      <c r="D7845" s="236"/>
    </row>
    <row r="7846" spans="2:4" ht="12.75" customHeight="1" x14ac:dyDescent="0.2">
      <c r="B7846" s="236"/>
      <c r="C7846" s="236"/>
      <c r="D7846" s="236"/>
    </row>
    <row r="7847" spans="2:4" ht="12.75" customHeight="1" x14ac:dyDescent="0.2">
      <c r="B7847" s="236"/>
      <c r="C7847" s="236"/>
      <c r="D7847" s="236"/>
    </row>
    <row r="7848" spans="2:4" ht="12.75" customHeight="1" x14ac:dyDescent="0.2">
      <c r="B7848" s="236"/>
      <c r="C7848" s="236"/>
      <c r="D7848" s="236"/>
    </row>
    <row r="7849" spans="2:4" ht="12.75" customHeight="1" x14ac:dyDescent="0.2">
      <c r="B7849" s="236"/>
      <c r="C7849" s="236"/>
      <c r="D7849" s="236"/>
    </row>
    <row r="7850" spans="2:4" ht="12.75" customHeight="1" x14ac:dyDescent="0.2">
      <c r="B7850" s="236"/>
      <c r="C7850" s="236"/>
      <c r="D7850" s="236"/>
    </row>
    <row r="7851" spans="2:4" ht="12.75" customHeight="1" x14ac:dyDescent="0.2">
      <c r="B7851" s="236"/>
      <c r="C7851" s="236"/>
      <c r="D7851" s="236"/>
    </row>
    <row r="7852" spans="2:4" ht="12.75" customHeight="1" x14ac:dyDescent="0.2">
      <c r="B7852" s="236"/>
      <c r="C7852" s="236"/>
      <c r="D7852" s="236"/>
    </row>
    <row r="7853" spans="2:4" ht="12.75" customHeight="1" x14ac:dyDescent="0.2">
      <c r="B7853" s="236"/>
      <c r="C7853" s="236"/>
      <c r="D7853" s="236"/>
    </row>
    <row r="7854" spans="2:4" x14ac:dyDescent="0.2">
      <c r="B7854" s="236"/>
      <c r="C7854" s="236"/>
      <c r="D7854" s="236"/>
    </row>
    <row r="7855" spans="2:4" ht="12.75" customHeight="1" x14ac:dyDescent="0.2">
      <c r="B7855" s="236"/>
      <c r="C7855" s="236"/>
      <c r="D7855" s="236"/>
    </row>
    <row r="7856" spans="2:4" x14ac:dyDescent="0.2">
      <c r="B7856" s="236"/>
      <c r="C7856" s="236"/>
      <c r="D7856" s="236"/>
    </row>
    <row r="7857" spans="2:4" ht="12.75" customHeight="1" x14ac:dyDescent="0.2">
      <c r="B7857" s="236"/>
      <c r="C7857" s="236"/>
      <c r="D7857" s="236"/>
    </row>
    <row r="7858" spans="2:4" x14ac:dyDescent="0.2">
      <c r="B7858" s="236"/>
      <c r="C7858" s="236"/>
      <c r="D7858" s="236"/>
    </row>
    <row r="7859" spans="2:4" ht="12.75" customHeight="1" x14ac:dyDescent="0.2">
      <c r="B7859" s="236"/>
      <c r="C7859" s="236"/>
      <c r="D7859" s="236"/>
    </row>
    <row r="7860" spans="2:4" x14ac:dyDescent="0.2">
      <c r="B7860" s="236"/>
      <c r="C7860" s="236"/>
      <c r="D7860" s="236"/>
    </row>
    <row r="7861" spans="2:4" ht="12.75" customHeight="1" x14ac:dyDescent="0.2">
      <c r="B7861" s="236"/>
      <c r="C7861" s="236"/>
      <c r="D7861" s="236"/>
    </row>
    <row r="7862" spans="2:4" ht="12.75" customHeight="1" x14ac:dyDescent="0.2">
      <c r="B7862" s="236"/>
      <c r="C7862" s="236"/>
      <c r="D7862" s="236"/>
    </row>
    <row r="7863" spans="2:4" ht="12.75" customHeight="1" x14ac:dyDescent="0.2">
      <c r="B7863" s="236"/>
      <c r="C7863" s="236"/>
      <c r="D7863" s="236"/>
    </row>
    <row r="7864" spans="2:4" ht="12.75" customHeight="1" x14ac:dyDescent="0.2">
      <c r="B7864" s="236"/>
      <c r="C7864" s="236"/>
      <c r="D7864" s="236"/>
    </row>
    <row r="7865" spans="2:4" ht="12.75" customHeight="1" x14ac:dyDescent="0.2">
      <c r="B7865" s="236"/>
      <c r="C7865" s="236"/>
      <c r="D7865" s="236"/>
    </row>
    <row r="7866" spans="2:4" x14ac:dyDescent="0.2">
      <c r="B7866" s="236"/>
      <c r="C7866" s="236"/>
      <c r="D7866" s="236"/>
    </row>
    <row r="7867" spans="2:4" ht="12.75" customHeight="1" x14ac:dyDescent="0.2">
      <c r="B7867" s="236"/>
      <c r="C7867" s="236"/>
      <c r="D7867" s="236"/>
    </row>
    <row r="7868" spans="2:4" ht="12.75" customHeight="1" x14ac:dyDescent="0.2">
      <c r="B7868" s="236"/>
      <c r="C7868" s="236"/>
      <c r="D7868" s="236"/>
    </row>
    <row r="7869" spans="2:4" ht="12.75" customHeight="1" x14ac:dyDescent="0.2">
      <c r="B7869" s="236"/>
      <c r="C7869" s="236"/>
      <c r="D7869" s="236"/>
    </row>
    <row r="7870" spans="2:4" ht="12.75" customHeight="1" x14ac:dyDescent="0.2">
      <c r="B7870" s="236"/>
      <c r="C7870" s="236"/>
      <c r="D7870" s="236"/>
    </row>
    <row r="7871" spans="2:4" x14ac:dyDescent="0.2">
      <c r="B7871" s="236"/>
      <c r="C7871" s="236"/>
      <c r="D7871" s="236"/>
    </row>
    <row r="7872" spans="2:4" ht="12.75" customHeight="1" x14ac:dyDescent="0.2">
      <c r="B7872" s="236"/>
      <c r="C7872" s="236"/>
      <c r="D7872" s="236"/>
    </row>
    <row r="7873" spans="2:4" ht="12.75" customHeight="1" x14ac:dyDescent="0.2">
      <c r="B7873" s="236"/>
      <c r="C7873" s="236"/>
      <c r="D7873" s="236"/>
    </row>
    <row r="7874" spans="2:4" ht="12.75" customHeight="1" x14ac:dyDescent="0.2">
      <c r="B7874" s="236"/>
      <c r="C7874" s="236"/>
      <c r="D7874" s="236"/>
    </row>
    <row r="7875" spans="2:4" ht="12.75" customHeight="1" x14ac:dyDescent="0.2">
      <c r="B7875" s="236"/>
      <c r="C7875" s="236"/>
      <c r="D7875" s="236"/>
    </row>
    <row r="7876" spans="2:4" ht="12.75" customHeight="1" x14ac:dyDescent="0.2">
      <c r="B7876" s="236"/>
      <c r="C7876" s="236"/>
      <c r="D7876" s="236"/>
    </row>
    <row r="7877" spans="2:4" ht="12.75" customHeight="1" x14ac:dyDescent="0.2">
      <c r="B7877" s="236"/>
      <c r="C7877" s="236"/>
      <c r="D7877" s="236"/>
    </row>
    <row r="7878" spans="2:4" ht="12.75" customHeight="1" x14ac:dyDescent="0.2">
      <c r="B7878" s="236"/>
      <c r="C7878" s="236"/>
      <c r="D7878" s="236"/>
    </row>
    <row r="7879" spans="2:4" ht="12.75" customHeight="1" x14ac:dyDescent="0.2">
      <c r="B7879" s="236"/>
      <c r="C7879" s="236"/>
      <c r="D7879" s="236"/>
    </row>
    <row r="7880" spans="2:4" ht="12.75" customHeight="1" x14ac:dyDescent="0.2">
      <c r="B7880" s="236"/>
      <c r="C7880" s="236"/>
      <c r="D7880" s="236"/>
    </row>
    <row r="7881" spans="2:4" ht="12.75" customHeight="1" x14ac:dyDescent="0.2">
      <c r="B7881" s="236"/>
      <c r="C7881" s="236"/>
      <c r="D7881" s="236"/>
    </row>
    <row r="7882" spans="2:4" ht="12.75" customHeight="1" x14ac:dyDescent="0.2">
      <c r="B7882" s="236"/>
      <c r="C7882" s="236"/>
      <c r="D7882" s="236"/>
    </row>
    <row r="7883" spans="2:4" ht="12.75" customHeight="1" x14ac:dyDescent="0.2">
      <c r="B7883" s="236"/>
      <c r="C7883" s="236"/>
      <c r="D7883" s="236"/>
    </row>
    <row r="7884" spans="2:4" ht="12.75" customHeight="1" x14ac:dyDescent="0.2">
      <c r="B7884" s="236"/>
      <c r="C7884" s="236"/>
      <c r="D7884" s="236"/>
    </row>
    <row r="7885" spans="2:4" ht="12.75" customHeight="1" x14ac:dyDescent="0.2">
      <c r="B7885" s="236"/>
      <c r="C7885" s="236"/>
      <c r="D7885" s="236"/>
    </row>
    <row r="7886" spans="2:4" ht="12.75" customHeight="1" x14ac:dyDescent="0.2">
      <c r="B7886" s="236"/>
      <c r="C7886" s="236"/>
      <c r="D7886" s="236"/>
    </row>
    <row r="7887" spans="2:4" ht="12.75" customHeight="1" x14ac:dyDescent="0.2">
      <c r="B7887" s="236"/>
      <c r="C7887" s="236"/>
      <c r="D7887" s="236"/>
    </row>
    <row r="7888" spans="2:4" ht="12.75" customHeight="1" x14ac:dyDescent="0.2">
      <c r="B7888" s="236"/>
      <c r="C7888" s="236"/>
      <c r="D7888" s="236"/>
    </row>
    <row r="7889" spans="2:4" ht="12.75" customHeight="1" x14ac:dyDescent="0.2">
      <c r="B7889" s="236"/>
      <c r="C7889" s="236"/>
      <c r="D7889" s="236"/>
    </row>
    <row r="7890" spans="2:4" ht="12.75" customHeight="1" x14ac:dyDescent="0.2">
      <c r="B7890" s="236"/>
      <c r="C7890" s="236"/>
      <c r="D7890" s="236"/>
    </row>
    <row r="7891" spans="2:4" ht="12.75" customHeight="1" x14ac:dyDescent="0.2">
      <c r="B7891" s="236"/>
      <c r="C7891" s="236"/>
      <c r="D7891" s="236"/>
    </row>
    <row r="7892" spans="2:4" ht="12.75" customHeight="1" x14ac:dyDescent="0.2">
      <c r="B7892" s="236"/>
      <c r="C7892" s="236"/>
      <c r="D7892" s="236"/>
    </row>
    <row r="7893" spans="2:4" ht="12.75" customHeight="1" x14ac:dyDescent="0.2">
      <c r="B7893" s="236"/>
      <c r="C7893" s="236"/>
      <c r="D7893" s="236"/>
    </row>
    <row r="7894" spans="2:4" x14ac:dyDescent="0.2">
      <c r="B7894" s="236"/>
      <c r="C7894" s="236"/>
      <c r="D7894" s="236"/>
    </row>
    <row r="7895" spans="2:4" ht="12.75" customHeight="1" x14ac:dyDescent="0.2">
      <c r="B7895" s="236"/>
      <c r="C7895" s="236"/>
      <c r="D7895" s="236"/>
    </row>
    <row r="7896" spans="2:4" ht="12.75" customHeight="1" x14ac:dyDescent="0.2">
      <c r="B7896" s="236"/>
      <c r="C7896" s="236"/>
      <c r="D7896" s="236"/>
    </row>
    <row r="7897" spans="2:4" x14ac:dyDescent="0.2">
      <c r="B7897" s="236"/>
      <c r="C7897" s="236"/>
      <c r="D7897" s="236"/>
    </row>
    <row r="7898" spans="2:4" ht="12.75" customHeight="1" x14ac:dyDescent="0.2">
      <c r="B7898" s="236"/>
      <c r="C7898" s="236"/>
      <c r="D7898" s="236"/>
    </row>
    <row r="7899" spans="2:4" x14ac:dyDescent="0.2">
      <c r="B7899" s="236"/>
      <c r="C7899" s="236"/>
      <c r="D7899" s="236"/>
    </row>
    <row r="7900" spans="2:4" ht="12.75" customHeight="1" x14ac:dyDescent="0.2">
      <c r="B7900" s="236"/>
      <c r="C7900" s="236"/>
      <c r="D7900" s="236"/>
    </row>
    <row r="7901" spans="2:4" x14ac:dyDescent="0.2">
      <c r="B7901" s="236"/>
      <c r="C7901" s="236"/>
      <c r="D7901" s="236"/>
    </row>
    <row r="7902" spans="2:4" ht="12.75" customHeight="1" x14ac:dyDescent="0.2">
      <c r="B7902" s="236"/>
      <c r="C7902" s="236"/>
      <c r="D7902" s="236"/>
    </row>
    <row r="7903" spans="2:4" ht="12.75" customHeight="1" x14ac:dyDescent="0.2">
      <c r="B7903" s="236"/>
      <c r="C7903" s="236"/>
      <c r="D7903" s="236"/>
    </row>
    <row r="7904" spans="2:4" ht="12.75" customHeight="1" x14ac:dyDescent="0.2">
      <c r="B7904" s="236"/>
      <c r="C7904" s="236"/>
      <c r="D7904" s="236"/>
    </row>
    <row r="7905" spans="2:4" ht="12.75" customHeight="1" x14ac:dyDescent="0.2">
      <c r="B7905" s="236"/>
      <c r="C7905" s="236"/>
      <c r="D7905" s="236"/>
    </row>
    <row r="7906" spans="2:4" ht="12.75" customHeight="1" x14ac:dyDescent="0.2">
      <c r="B7906" s="236"/>
      <c r="C7906" s="236"/>
      <c r="D7906" s="236"/>
    </row>
    <row r="7907" spans="2:4" ht="12.75" customHeight="1" x14ac:dyDescent="0.2">
      <c r="B7907" s="236"/>
      <c r="C7907" s="236"/>
      <c r="D7907" s="236"/>
    </row>
    <row r="7908" spans="2:4" ht="12.75" customHeight="1" x14ac:dyDescent="0.2">
      <c r="B7908" s="236"/>
      <c r="C7908" s="236"/>
      <c r="D7908" s="236"/>
    </row>
    <row r="7909" spans="2:4" ht="12.75" customHeight="1" x14ac:dyDescent="0.2">
      <c r="B7909" s="236"/>
      <c r="C7909" s="236"/>
      <c r="D7909" s="236"/>
    </row>
    <row r="7910" spans="2:4" ht="12.75" customHeight="1" x14ac:dyDescent="0.2">
      <c r="B7910" s="236"/>
      <c r="C7910" s="236"/>
      <c r="D7910" s="236"/>
    </row>
    <row r="7911" spans="2:4" ht="12.75" customHeight="1" x14ac:dyDescent="0.2">
      <c r="B7911" s="236"/>
      <c r="C7911" s="236"/>
      <c r="D7911" s="236"/>
    </row>
    <row r="7912" spans="2:4" x14ac:dyDescent="0.2">
      <c r="B7912" s="236"/>
      <c r="C7912" s="236"/>
      <c r="D7912" s="236"/>
    </row>
    <row r="7913" spans="2:4" ht="12.75" customHeight="1" x14ac:dyDescent="0.2">
      <c r="B7913" s="236"/>
      <c r="C7913" s="236"/>
      <c r="D7913" s="236"/>
    </row>
    <row r="7914" spans="2:4" x14ac:dyDescent="0.2">
      <c r="B7914" s="236"/>
      <c r="C7914" s="236"/>
      <c r="D7914" s="236"/>
    </row>
    <row r="7915" spans="2:4" ht="12.75" customHeight="1" x14ac:dyDescent="0.2">
      <c r="B7915" s="236"/>
      <c r="C7915" s="236"/>
      <c r="D7915" s="236"/>
    </row>
    <row r="7916" spans="2:4" x14ac:dyDescent="0.2">
      <c r="B7916" s="236"/>
      <c r="C7916" s="236"/>
      <c r="D7916" s="236"/>
    </row>
    <row r="7917" spans="2:4" ht="12.75" customHeight="1" x14ac:dyDescent="0.2">
      <c r="B7917" s="236"/>
      <c r="C7917" s="236"/>
      <c r="D7917" s="236"/>
    </row>
    <row r="7918" spans="2:4" ht="12.75" customHeight="1" x14ac:dyDescent="0.2">
      <c r="B7918" s="236"/>
      <c r="C7918" s="236"/>
      <c r="D7918" s="236"/>
    </row>
    <row r="7919" spans="2:4" x14ac:dyDescent="0.2">
      <c r="B7919" s="236"/>
      <c r="C7919" s="236"/>
      <c r="D7919" s="236"/>
    </row>
    <row r="7920" spans="2:4" ht="12.75" customHeight="1" x14ac:dyDescent="0.2">
      <c r="B7920" s="236"/>
      <c r="C7920" s="236"/>
      <c r="D7920" s="236"/>
    </row>
    <row r="7921" spans="2:4" ht="12.75" customHeight="1" x14ac:dyDescent="0.2">
      <c r="B7921" s="236"/>
      <c r="C7921" s="236"/>
      <c r="D7921" s="236"/>
    </row>
    <row r="7922" spans="2:4" ht="12.75" customHeight="1" x14ac:dyDescent="0.2">
      <c r="B7922" s="236"/>
      <c r="C7922" s="236"/>
      <c r="D7922" s="236"/>
    </row>
    <row r="7923" spans="2:4" ht="12.75" customHeight="1" x14ac:dyDescent="0.2">
      <c r="B7923" s="236"/>
      <c r="C7923" s="236"/>
      <c r="D7923" s="236"/>
    </row>
    <row r="7924" spans="2:4" ht="12.75" customHeight="1" x14ac:dyDescent="0.2">
      <c r="B7924" s="236"/>
      <c r="C7924" s="236"/>
      <c r="D7924" s="236"/>
    </row>
    <row r="7925" spans="2:4" x14ac:dyDescent="0.2">
      <c r="B7925" s="236"/>
      <c r="C7925" s="236"/>
      <c r="D7925" s="236"/>
    </row>
    <row r="7926" spans="2:4" ht="12.75" customHeight="1" x14ac:dyDescent="0.2">
      <c r="B7926" s="236"/>
      <c r="C7926" s="236"/>
      <c r="D7926" s="236"/>
    </row>
    <row r="7927" spans="2:4" ht="12.75" customHeight="1" x14ac:dyDescent="0.2">
      <c r="B7927" s="236"/>
      <c r="C7927" s="236"/>
      <c r="D7927" s="236"/>
    </row>
    <row r="7928" spans="2:4" ht="12.75" customHeight="1" x14ac:dyDescent="0.2">
      <c r="B7928" s="236"/>
      <c r="C7928" s="236"/>
      <c r="D7928" s="236"/>
    </row>
    <row r="7929" spans="2:4" ht="12.75" customHeight="1" x14ac:dyDescent="0.2">
      <c r="B7929" s="236"/>
      <c r="C7929" s="236"/>
      <c r="D7929" s="236"/>
    </row>
    <row r="7930" spans="2:4" ht="12.75" customHeight="1" x14ac:dyDescent="0.2">
      <c r="B7930" s="236"/>
      <c r="C7930" s="236"/>
      <c r="D7930" s="236"/>
    </row>
    <row r="7931" spans="2:4" ht="12.75" customHeight="1" x14ac:dyDescent="0.2">
      <c r="B7931" s="236"/>
      <c r="C7931" s="236"/>
      <c r="D7931" s="236"/>
    </row>
    <row r="7932" spans="2:4" ht="12.75" customHeight="1" x14ac:dyDescent="0.2">
      <c r="B7932" s="236"/>
      <c r="C7932" s="236"/>
      <c r="D7932" s="236"/>
    </row>
    <row r="7933" spans="2:4" x14ac:dyDescent="0.2">
      <c r="B7933" s="236"/>
      <c r="C7933" s="236"/>
      <c r="D7933" s="236"/>
    </row>
    <row r="7934" spans="2:4" ht="12.75" customHeight="1" x14ac:dyDescent="0.2">
      <c r="B7934" s="236"/>
      <c r="C7934" s="236"/>
      <c r="D7934" s="236"/>
    </row>
    <row r="7935" spans="2:4" ht="12.75" customHeight="1" x14ac:dyDescent="0.2">
      <c r="B7935" s="236"/>
      <c r="C7935" s="236"/>
      <c r="D7935" s="236"/>
    </row>
    <row r="7936" spans="2:4" ht="12.75" customHeight="1" x14ac:dyDescent="0.2">
      <c r="B7936" s="236"/>
      <c r="C7936" s="236"/>
      <c r="D7936" s="236"/>
    </row>
    <row r="7937" spans="2:4" ht="12.75" customHeight="1" x14ac:dyDescent="0.2">
      <c r="B7937" s="236"/>
      <c r="C7937" s="236"/>
      <c r="D7937" s="236"/>
    </row>
    <row r="7938" spans="2:4" ht="12.75" customHeight="1" x14ac:dyDescent="0.2">
      <c r="B7938" s="236"/>
      <c r="C7938" s="236"/>
      <c r="D7938" s="236"/>
    </row>
    <row r="7939" spans="2:4" ht="12.75" customHeight="1" x14ac:dyDescent="0.2">
      <c r="B7939" s="236"/>
      <c r="C7939" s="236"/>
      <c r="D7939" s="236"/>
    </row>
    <row r="7940" spans="2:4" ht="12.75" customHeight="1" x14ac:dyDescent="0.2">
      <c r="B7940" s="236"/>
      <c r="C7940" s="236"/>
      <c r="D7940" s="236"/>
    </row>
    <row r="7941" spans="2:4" x14ac:dyDescent="0.2">
      <c r="B7941" s="236"/>
      <c r="C7941" s="236"/>
      <c r="D7941" s="236"/>
    </row>
    <row r="7942" spans="2:4" ht="12.75" customHeight="1" x14ac:dyDescent="0.2">
      <c r="B7942" s="236"/>
      <c r="C7942" s="236"/>
      <c r="D7942" s="236"/>
    </row>
    <row r="7943" spans="2:4" x14ac:dyDescent="0.2">
      <c r="B7943" s="236"/>
      <c r="C7943" s="236"/>
      <c r="D7943" s="236"/>
    </row>
    <row r="7944" spans="2:4" ht="12.75" customHeight="1" x14ac:dyDescent="0.2">
      <c r="B7944" s="236"/>
      <c r="C7944" s="236"/>
      <c r="D7944" s="236"/>
    </row>
    <row r="7945" spans="2:4" x14ac:dyDescent="0.2">
      <c r="B7945" s="236"/>
      <c r="C7945" s="236"/>
      <c r="D7945" s="236"/>
    </row>
    <row r="7946" spans="2:4" ht="12.75" customHeight="1" x14ac:dyDescent="0.2">
      <c r="B7946" s="236"/>
      <c r="C7946" s="236"/>
      <c r="D7946" s="236"/>
    </row>
    <row r="7947" spans="2:4" ht="12.75" customHeight="1" x14ac:dyDescent="0.2">
      <c r="B7947" s="236"/>
      <c r="C7947" s="236"/>
      <c r="D7947" s="236"/>
    </row>
    <row r="7948" spans="2:4" ht="12.75" customHeight="1" x14ac:dyDescent="0.2">
      <c r="B7948" s="236"/>
      <c r="C7948" s="236"/>
      <c r="D7948" s="236"/>
    </row>
    <row r="7949" spans="2:4" ht="12.75" customHeight="1" x14ac:dyDescent="0.2">
      <c r="B7949" s="236"/>
      <c r="C7949" s="236"/>
      <c r="D7949" s="236"/>
    </row>
    <row r="7950" spans="2:4" ht="12.75" customHeight="1" x14ac:dyDescent="0.2">
      <c r="B7950" s="236"/>
      <c r="C7950" s="236"/>
      <c r="D7950" s="236"/>
    </row>
    <row r="7951" spans="2:4" ht="12.75" customHeight="1" x14ac:dyDescent="0.2">
      <c r="B7951" s="236"/>
      <c r="C7951" s="236"/>
      <c r="D7951" s="236"/>
    </row>
    <row r="7952" spans="2:4" ht="12.75" customHeight="1" x14ac:dyDescent="0.2">
      <c r="B7952" s="236"/>
      <c r="C7952" s="236"/>
      <c r="D7952" s="236"/>
    </row>
    <row r="7953" spans="2:4" ht="12.75" customHeight="1" x14ac:dyDescent="0.2">
      <c r="B7953" s="236"/>
      <c r="C7953" s="236"/>
      <c r="D7953" s="236"/>
    </row>
    <row r="7954" spans="2:4" ht="12.75" customHeight="1" x14ac:dyDescent="0.2">
      <c r="B7954" s="236"/>
      <c r="C7954" s="236"/>
      <c r="D7954" s="236"/>
    </row>
    <row r="7955" spans="2:4" ht="12.75" customHeight="1" x14ac:dyDescent="0.2">
      <c r="B7955" s="236"/>
      <c r="C7955" s="236"/>
      <c r="D7955" s="236"/>
    </row>
    <row r="7956" spans="2:4" ht="12.75" customHeight="1" x14ac:dyDescent="0.2">
      <c r="B7956" s="236"/>
      <c r="C7956" s="236"/>
      <c r="D7956" s="236"/>
    </row>
    <row r="7957" spans="2:4" ht="12.75" customHeight="1" x14ac:dyDescent="0.2">
      <c r="B7957" s="236"/>
      <c r="C7957" s="236"/>
      <c r="D7957" s="236"/>
    </row>
    <row r="7958" spans="2:4" ht="12.75" customHeight="1" x14ac:dyDescent="0.2">
      <c r="B7958" s="236"/>
      <c r="C7958" s="236"/>
      <c r="D7958" s="236"/>
    </row>
    <row r="7959" spans="2:4" ht="12.75" customHeight="1" x14ac:dyDescent="0.2">
      <c r="B7959" s="236"/>
      <c r="C7959" s="236"/>
      <c r="D7959" s="236"/>
    </row>
    <row r="7960" spans="2:4" ht="12.75" customHeight="1" x14ac:dyDescent="0.2">
      <c r="B7960" s="236"/>
      <c r="C7960" s="236"/>
      <c r="D7960" s="236"/>
    </row>
    <row r="7961" spans="2:4" ht="12.75" customHeight="1" x14ac:dyDescent="0.2">
      <c r="B7961" s="236"/>
      <c r="C7961" s="236"/>
      <c r="D7961" s="236"/>
    </row>
    <row r="7962" spans="2:4" ht="12.75" customHeight="1" x14ac:dyDescent="0.2">
      <c r="B7962" s="236"/>
      <c r="C7962" s="236"/>
      <c r="D7962" s="236"/>
    </row>
    <row r="7963" spans="2:4" ht="12.75" customHeight="1" x14ac:dyDescent="0.2">
      <c r="B7963" s="236"/>
      <c r="C7963" s="236"/>
      <c r="D7963" s="236"/>
    </row>
    <row r="7964" spans="2:4" ht="12.75" customHeight="1" x14ac:dyDescent="0.2">
      <c r="B7964" s="236"/>
      <c r="C7964" s="236"/>
      <c r="D7964" s="236"/>
    </row>
    <row r="7965" spans="2:4" ht="12.75" customHeight="1" x14ac:dyDescent="0.2">
      <c r="B7965" s="236"/>
      <c r="C7965" s="236"/>
      <c r="D7965" s="236"/>
    </row>
    <row r="7966" spans="2:4" ht="12.75" customHeight="1" x14ac:dyDescent="0.2">
      <c r="B7966" s="236"/>
      <c r="C7966" s="236"/>
      <c r="D7966" s="236"/>
    </row>
    <row r="7967" spans="2:4" ht="12.75" customHeight="1" x14ac:dyDescent="0.2">
      <c r="B7967" s="236"/>
      <c r="C7967" s="236"/>
      <c r="D7967" s="236"/>
    </row>
    <row r="7968" spans="2:4" ht="12.75" customHeight="1" x14ac:dyDescent="0.2">
      <c r="B7968" s="236"/>
      <c r="C7968" s="236"/>
      <c r="D7968" s="236"/>
    </row>
    <row r="7969" spans="2:4" x14ac:dyDescent="0.2">
      <c r="B7969" s="236"/>
      <c r="C7969" s="236"/>
      <c r="D7969" s="236"/>
    </row>
    <row r="7970" spans="2:4" ht="12.75" customHeight="1" x14ac:dyDescent="0.2">
      <c r="B7970" s="236"/>
      <c r="C7970" s="236"/>
      <c r="D7970" s="236"/>
    </row>
    <row r="7971" spans="2:4" x14ac:dyDescent="0.2">
      <c r="B7971" s="236"/>
      <c r="C7971" s="236"/>
      <c r="D7971" s="236"/>
    </row>
    <row r="7972" spans="2:4" ht="12.75" customHeight="1" x14ac:dyDescent="0.2">
      <c r="B7972" s="236"/>
      <c r="C7972" s="236"/>
      <c r="D7972" s="236"/>
    </row>
    <row r="7973" spans="2:4" ht="12.75" customHeight="1" x14ac:dyDescent="0.2">
      <c r="B7973" s="236"/>
      <c r="C7973" s="236"/>
      <c r="D7973" s="236"/>
    </row>
    <row r="7974" spans="2:4" ht="12.75" customHeight="1" x14ac:dyDescent="0.2">
      <c r="B7974" s="236"/>
      <c r="C7974" s="236"/>
      <c r="D7974" s="236"/>
    </row>
    <row r="7975" spans="2:4" ht="12.75" customHeight="1" x14ac:dyDescent="0.2">
      <c r="B7975" s="236"/>
      <c r="C7975" s="236"/>
      <c r="D7975" s="236"/>
    </row>
    <row r="7976" spans="2:4" ht="12.75" customHeight="1" x14ac:dyDescent="0.2">
      <c r="B7976" s="236"/>
      <c r="C7976" s="236"/>
      <c r="D7976" s="236"/>
    </row>
    <row r="7977" spans="2:4" ht="12.75" customHeight="1" x14ac:dyDescent="0.2">
      <c r="B7977" s="236"/>
      <c r="C7977" s="236"/>
      <c r="D7977" s="236"/>
    </row>
    <row r="7978" spans="2:4" ht="12.75" customHeight="1" x14ac:dyDescent="0.2">
      <c r="B7978" s="236"/>
      <c r="C7978" s="236"/>
      <c r="D7978" s="236"/>
    </row>
    <row r="7979" spans="2:4" ht="12.75" customHeight="1" x14ac:dyDescent="0.2">
      <c r="B7979" s="236"/>
      <c r="C7979" s="236"/>
      <c r="D7979" s="236"/>
    </row>
    <row r="7980" spans="2:4" ht="12.75" customHeight="1" x14ac:dyDescent="0.2">
      <c r="B7980" s="236"/>
      <c r="C7980" s="236"/>
      <c r="D7980" s="236"/>
    </row>
    <row r="7981" spans="2:4" ht="12.75" customHeight="1" x14ac:dyDescent="0.2">
      <c r="B7981" s="236"/>
      <c r="C7981" s="236"/>
      <c r="D7981" s="236"/>
    </row>
    <row r="7982" spans="2:4" ht="12.75" customHeight="1" x14ac:dyDescent="0.2">
      <c r="B7982" s="236"/>
      <c r="C7982" s="236"/>
      <c r="D7982" s="236"/>
    </row>
    <row r="7983" spans="2:4" ht="12.75" customHeight="1" x14ac:dyDescent="0.2">
      <c r="B7983" s="236"/>
      <c r="C7983" s="236"/>
      <c r="D7983" s="236"/>
    </row>
    <row r="7984" spans="2:4" ht="12.75" customHeight="1" x14ac:dyDescent="0.2">
      <c r="B7984" s="236"/>
      <c r="C7984" s="236"/>
      <c r="D7984" s="236"/>
    </row>
    <row r="7985" spans="2:4" ht="12.75" customHeight="1" x14ac:dyDescent="0.2">
      <c r="B7985" s="236"/>
      <c r="C7985" s="236"/>
      <c r="D7985" s="236"/>
    </row>
    <row r="7986" spans="2:4" ht="12.75" customHeight="1" x14ac:dyDescent="0.2">
      <c r="B7986" s="236"/>
      <c r="C7986" s="236"/>
      <c r="D7986" s="236"/>
    </row>
    <row r="7987" spans="2:4" ht="12.75" customHeight="1" x14ac:dyDescent="0.2">
      <c r="B7987" s="236"/>
      <c r="C7987" s="236"/>
      <c r="D7987" s="236"/>
    </row>
    <row r="7988" spans="2:4" ht="12.75" customHeight="1" x14ac:dyDescent="0.2">
      <c r="B7988" s="236"/>
      <c r="C7988" s="236"/>
      <c r="D7988" s="236"/>
    </row>
    <row r="7989" spans="2:4" ht="12.75" customHeight="1" x14ac:dyDescent="0.2">
      <c r="B7989" s="236"/>
      <c r="C7989" s="236"/>
      <c r="D7989" s="236"/>
    </row>
    <row r="7990" spans="2:4" ht="12.75" customHeight="1" x14ac:dyDescent="0.2">
      <c r="B7990" s="236"/>
      <c r="C7990" s="236"/>
      <c r="D7990" s="236"/>
    </row>
    <row r="7991" spans="2:4" ht="12.75" customHeight="1" x14ac:dyDescent="0.2">
      <c r="B7991" s="236"/>
      <c r="C7991" s="236"/>
      <c r="D7991" s="236"/>
    </row>
    <row r="7992" spans="2:4" ht="12.75" customHeight="1" x14ac:dyDescent="0.2">
      <c r="B7992" s="236"/>
      <c r="C7992" s="236"/>
      <c r="D7992" s="236"/>
    </row>
    <row r="7993" spans="2:4" x14ac:dyDescent="0.2">
      <c r="B7993" s="236"/>
      <c r="C7993" s="236"/>
      <c r="D7993" s="236"/>
    </row>
    <row r="7994" spans="2:4" ht="12.75" customHeight="1" x14ac:dyDescent="0.2">
      <c r="B7994" s="236"/>
      <c r="C7994" s="236"/>
      <c r="D7994" s="236"/>
    </row>
    <row r="7995" spans="2:4" x14ac:dyDescent="0.2">
      <c r="B7995" s="236"/>
      <c r="C7995" s="236"/>
      <c r="D7995" s="236"/>
    </row>
    <row r="7996" spans="2:4" ht="12.75" customHeight="1" x14ac:dyDescent="0.2">
      <c r="B7996" s="236"/>
      <c r="C7996" s="236"/>
      <c r="D7996" s="236"/>
    </row>
    <row r="7997" spans="2:4" ht="12.75" customHeight="1" x14ac:dyDescent="0.2">
      <c r="B7997" s="236"/>
      <c r="C7997" s="236"/>
      <c r="D7997" s="236"/>
    </row>
    <row r="7998" spans="2:4" ht="12.75" customHeight="1" x14ac:dyDescent="0.2">
      <c r="B7998" s="236"/>
      <c r="C7998" s="236"/>
      <c r="D7998" s="236"/>
    </row>
    <row r="7999" spans="2:4" ht="12.75" customHeight="1" x14ac:dyDescent="0.2">
      <c r="B7999" s="236"/>
      <c r="C7999" s="236"/>
      <c r="D7999" s="236"/>
    </row>
    <row r="8000" spans="2:4" ht="12.75" customHeight="1" x14ac:dyDescent="0.2">
      <c r="B8000" s="236"/>
      <c r="C8000" s="236"/>
      <c r="D8000" s="236"/>
    </row>
    <row r="8001" spans="2:4" ht="12.75" customHeight="1" x14ac:dyDescent="0.2">
      <c r="B8001" s="236"/>
      <c r="C8001" s="236"/>
      <c r="D8001" s="236"/>
    </row>
    <row r="8002" spans="2:4" ht="12.75" customHeight="1" x14ac:dyDescent="0.2">
      <c r="B8002" s="236"/>
      <c r="C8002" s="236"/>
      <c r="D8002" s="236"/>
    </row>
    <row r="8003" spans="2:4" ht="12.75" customHeight="1" x14ac:dyDescent="0.2">
      <c r="B8003" s="236"/>
      <c r="C8003" s="236"/>
      <c r="D8003" s="236"/>
    </row>
    <row r="8004" spans="2:4" ht="12.75" customHeight="1" x14ac:dyDescent="0.2">
      <c r="B8004" s="236"/>
      <c r="C8004" s="236"/>
      <c r="D8004" s="236"/>
    </row>
    <row r="8005" spans="2:4" ht="12.75" customHeight="1" x14ac:dyDescent="0.2">
      <c r="B8005" s="236"/>
      <c r="C8005" s="236"/>
      <c r="D8005" s="236"/>
    </row>
    <row r="8006" spans="2:4" x14ac:dyDescent="0.2">
      <c r="B8006" s="236"/>
      <c r="C8006" s="236"/>
      <c r="D8006" s="236"/>
    </row>
    <row r="8007" spans="2:4" ht="12.75" customHeight="1" x14ac:dyDescent="0.2">
      <c r="B8007" s="236"/>
      <c r="C8007" s="236"/>
      <c r="D8007" s="236"/>
    </row>
    <row r="8008" spans="2:4" x14ac:dyDescent="0.2">
      <c r="B8008" s="236"/>
      <c r="C8008" s="236"/>
      <c r="D8008" s="236"/>
    </row>
    <row r="8009" spans="2:4" ht="12.75" customHeight="1" x14ac:dyDescent="0.2">
      <c r="B8009" s="236"/>
      <c r="C8009" s="236"/>
      <c r="D8009" s="236"/>
    </row>
    <row r="8010" spans="2:4" ht="12.75" customHeight="1" x14ac:dyDescent="0.2">
      <c r="B8010" s="236"/>
      <c r="C8010" s="236"/>
      <c r="D8010" s="236"/>
    </row>
    <row r="8011" spans="2:4" ht="12.75" customHeight="1" x14ac:dyDescent="0.2">
      <c r="B8011" s="236"/>
      <c r="C8011" s="236"/>
      <c r="D8011" s="236"/>
    </row>
    <row r="8012" spans="2:4" ht="12.75" customHeight="1" x14ac:dyDescent="0.2">
      <c r="B8012" s="236"/>
      <c r="C8012" s="236"/>
      <c r="D8012" s="236"/>
    </row>
    <row r="8013" spans="2:4" ht="12.75" customHeight="1" x14ac:dyDescent="0.2">
      <c r="B8013" s="236"/>
      <c r="C8013" s="236"/>
      <c r="D8013" s="236"/>
    </row>
    <row r="8014" spans="2:4" x14ac:dyDescent="0.2">
      <c r="B8014" s="236"/>
      <c r="C8014" s="236"/>
      <c r="D8014" s="236"/>
    </row>
    <row r="8015" spans="2:4" ht="12.75" customHeight="1" x14ac:dyDescent="0.2">
      <c r="B8015" s="236"/>
      <c r="C8015" s="236"/>
      <c r="D8015" s="236"/>
    </row>
    <row r="8016" spans="2:4" ht="12.75" customHeight="1" x14ac:dyDescent="0.2">
      <c r="B8016" s="236"/>
      <c r="C8016" s="236"/>
      <c r="D8016" s="236"/>
    </row>
    <row r="8017" spans="2:4" x14ac:dyDescent="0.2">
      <c r="B8017" s="236"/>
      <c r="C8017" s="236"/>
      <c r="D8017" s="236"/>
    </row>
    <row r="8018" spans="2:4" x14ac:dyDescent="0.2">
      <c r="B8018" s="236"/>
      <c r="C8018" s="236"/>
      <c r="D8018" s="236"/>
    </row>
    <row r="8019" spans="2:4" ht="12.75" customHeight="1" x14ac:dyDescent="0.2">
      <c r="B8019" s="236"/>
      <c r="C8019" s="236"/>
      <c r="D8019" s="236"/>
    </row>
    <row r="8020" spans="2:4" ht="12.75" customHeight="1" x14ac:dyDescent="0.2">
      <c r="B8020" s="236"/>
      <c r="C8020" s="236"/>
      <c r="D8020" s="236"/>
    </row>
    <row r="8021" spans="2:4" x14ac:dyDescent="0.2">
      <c r="B8021" s="236"/>
      <c r="C8021" s="236"/>
      <c r="D8021" s="236"/>
    </row>
    <row r="8022" spans="2:4" ht="12.75" customHeight="1" x14ac:dyDescent="0.2">
      <c r="B8022" s="236"/>
      <c r="C8022" s="236"/>
      <c r="D8022" s="236"/>
    </row>
    <row r="8023" spans="2:4" ht="12.75" customHeight="1" x14ac:dyDescent="0.2">
      <c r="B8023" s="236"/>
      <c r="C8023" s="236"/>
      <c r="D8023" s="236"/>
    </row>
    <row r="8024" spans="2:4" ht="12.75" customHeight="1" x14ac:dyDescent="0.2">
      <c r="B8024" s="236"/>
      <c r="C8024" s="236"/>
      <c r="D8024" s="236"/>
    </row>
    <row r="8025" spans="2:4" ht="12.75" customHeight="1" x14ac:dyDescent="0.2">
      <c r="B8025" s="236"/>
      <c r="C8025" s="236"/>
      <c r="D8025" s="236"/>
    </row>
    <row r="8026" spans="2:4" ht="12.75" customHeight="1" x14ac:dyDescent="0.2">
      <c r="B8026" s="236"/>
      <c r="C8026" s="236"/>
      <c r="D8026" s="236"/>
    </row>
    <row r="8027" spans="2:4" ht="12.75" customHeight="1" x14ac:dyDescent="0.2">
      <c r="B8027" s="236"/>
      <c r="C8027" s="236"/>
      <c r="D8027" s="236"/>
    </row>
    <row r="8028" spans="2:4" ht="12.75" customHeight="1" x14ac:dyDescent="0.2">
      <c r="B8028" s="236"/>
      <c r="C8028" s="236"/>
      <c r="D8028" s="236"/>
    </row>
    <row r="8029" spans="2:4" ht="12.75" customHeight="1" x14ac:dyDescent="0.2">
      <c r="B8029" s="236"/>
      <c r="C8029" s="236"/>
      <c r="D8029" s="236"/>
    </row>
    <row r="8030" spans="2:4" ht="12.75" customHeight="1" x14ac:dyDescent="0.2">
      <c r="B8030" s="236"/>
      <c r="C8030" s="236"/>
      <c r="D8030" s="236"/>
    </row>
    <row r="8031" spans="2:4" ht="12.75" customHeight="1" x14ac:dyDescent="0.2">
      <c r="B8031" s="236"/>
      <c r="C8031" s="236"/>
      <c r="D8031" s="236"/>
    </row>
    <row r="8032" spans="2:4" ht="12.75" customHeight="1" x14ac:dyDescent="0.2">
      <c r="B8032" s="236"/>
      <c r="C8032" s="236"/>
      <c r="D8032" s="236"/>
    </row>
    <row r="8033" spans="2:4" ht="12.75" customHeight="1" x14ac:dyDescent="0.2">
      <c r="B8033" s="236"/>
      <c r="C8033" s="236"/>
      <c r="D8033" s="236"/>
    </row>
    <row r="8034" spans="2:4" ht="12.75" customHeight="1" x14ac:dyDescent="0.2">
      <c r="B8034" s="236"/>
      <c r="C8034" s="236"/>
      <c r="D8034" s="236"/>
    </row>
    <row r="8035" spans="2:4" ht="12.75" customHeight="1" x14ac:dyDescent="0.2">
      <c r="B8035" s="236"/>
      <c r="C8035" s="236"/>
      <c r="D8035" s="236"/>
    </row>
    <row r="8036" spans="2:4" x14ac:dyDescent="0.2">
      <c r="B8036" s="236"/>
      <c r="C8036" s="236"/>
      <c r="D8036" s="236"/>
    </row>
    <row r="8037" spans="2:4" ht="12.75" customHeight="1" x14ac:dyDescent="0.2">
      <c r="B8037" s="236"/>
      <c r="C8037" s="236"/>
      <c r="D8037" s="236"/>
    </row>
    <row r="8038" spans="2:4" x14ac:dyDescent="0.2">
      <c r="B8038" s="236"/>
      <c r="C8038" s="236"/>
      <c r="D8038" s="236"/>
    </row>
    <row r="8039" spans="2:4" ht="12.75" customHeight="1" x14ac:dyDescent="0.2">
      <c r="B8039" s="236"/>
      <c r="C8039" s="236"/>
      <c r="D8039" s="236"/>
    </row>
    <row r="8040" spans="2:4" ht="12.75" customHeight="1" x14ac:dyDescent="0.2">
      <c r="B8040" s="236"/>
      <c r="C8040" s="236"/>
      <c r="D8040" s="236"/>
    </row>
    <row r="8041" spans="2:4" ht="12.75" customHeight="1" x14ac:dyDescent="0.2">
      <c r="B8041" s="236"/>
      <c r="C8041" s="236"/>
      <c r="D8041" s="236"/>
    </row>
    <row r="8042" spans="2:4" ht="12.75" customHeight="1" x14ac:dyDescent="0.2">
      <c r="B8042" s="236"/>
      <c r="C8042" s="236"/>
      <c r="D8042" s="236"/>
    </row>
    <row r="8043" spans="2:4" ht="12.75" customHeight="1" x14ac:dyDescent="0.2">
      <c r="B8043" s="236"/>
      <c r="C8043" s="236"/>
      <c r="D8043" s="236"/>
    </row>
    <row r="8044" spans="2:4" ht="12.75" customHeight="1" x14ac:dyDescent="0.2">
      <c r="B8044" s="236"/>
      <c r="C8044" s="236"/>
      <c r="D8044" s="236"/>
    </row>
    <row r="8045" spans="2:4" ht="12.75" customHeight="1" x14ac:dyDescent="0.2">
      <c r="B8045" s="236"/>
      <c r="C8045" s="236"/>
      <c r="D8045" s="236"/>
    </row>
    <row r="8046" spans="2:4" ht="12.75" customHeight="1" x14ac:dyDescent="0.2">
      <c r="B8046" s="236"/>
      <c r="C8046" s="236"/>
      <c r="D8046" s="236"/>
    </row>
    <row r="8047" spans="2:4" x14ac:dyDescent="0.2">
      <c r="B8047" s="236"/>
      <c r="C8047" s="236"/>
      <c r="D8047" s="236"/>
    </row>
    <row r="8048" spans="2:4" ht="12.75" customHeight="1" x14ac:dyDescent="0.2">
      <c r="B8048" s="236"/>
      <c r="C8048" s="236"/>
      <c r="D8048" s="236"/>
    </row>
    <row r="8049" spans="2:4" ht="12.75" customHeight="1" x14ac:dyDescent="0.2">
      <c r="B8049" s="236"/>
      <c r="C8049" s="236"/>
      <c r="D8049" s="236"/>
    </row>
    <row r="8050" spans="2:4" ht="12.75" customHeight="1" x14ac:dyDescent="0.2">
      <c r="B8050" s="236"/>
      <c r="C8050" s="236"/>
      <c r="D8050" s="236"/>
    </row>
    <row r="8051" spans="2:4" ht="12.75" customHeight="1" x14ac:dyDescent="0.2">
      <c r="B8051" s="236"/>
      <c r="C8051" s="236"/>
      <c r="D8051" s="236"/>
    </row>
    <row r="8052" spans="2:4" ht="12.75" customHeight="1" x14ac:dyDescent="0.2">
      <c r="B8052" s="236"/>
      <c r="C8052" s="236"/>
      <c r="D8052" s="236"/>
    </row>
    <row r="8053" spans="2:4" x14ac:dyDescent="0.2">
      <c r="B8053" s="236"/>
      <c r="C8053" s="236"/>
      <c r="D8053" s="236"/>
    </row>
    <row r="8054" spans="2:4" ht="12.75" customHeight="1" x14ac:dyDescent="0.2">
      <c r="B8054" s="236"/>
      <c r="C8054" s="236"/>
      <c r="D8054" s="236"/>
    </row>
    <row r="8055" spans="2:4" ht="12.75" customHeight="1" x14ac:dyDescent="0.2">
      <c r="B8055" s="236"/>
      <c r="C8055" s="236"/>
      <c r="D8055" s="236"/>
    </row>
    <row r="8056" spans="2:4" ht="12.75" customHeight="1" x14ac:dyDescent="0.2">
      <c r="B8056" s="236"/>
      <c r="C8056" s="236"/>
      <c r="D8056" s="236"/>
    </row>
    <row r="8057" spans="2:4" x14ac:dyDescent="0.2">
      <c r="B8057" s="236"/>
      <c r="C8057" s="236"/>
      <c r="D8057" s="236"/>
    </row>
    <row r="8058" spans="2:4" ht="12.75" customHeight="1" x14ac:dyDescent="0.2">
      <c r="B8058" s="236"/>
      <c r="C8058" s="236"/>
      <c r="D8058" s="236"/>
    </row>
    <row r="8059" spans="2:4" x14ac:dyDescent="0.2">
      <c r="B8059" s="236"/>
      <c r="C8059" s="236"/>
      <c r="D8059" s="236"/>
    </row>
    <row r="8060" spans="2:4" ht="12.75" customHeight="1" x14ac:dyDescent="0.2">
      <c r="B8060" s="236"/>
      <c r="C8060" s="236"/>
      <c r="D8060" s="236"/>
    </row>
    <row r="8061" spans="2:4" x14ac:dyDescent="0.2">
      <c r="B8061" s="236"/>
      <c r="C8061" s="236"/>
      <c r="D8061" s="236"/>
    </row>
    <row r="8062" spans="2:4" ht="12.75" customHeight="1" x14ac:dyDescent="0.2">
      <c r="B8062" s="236"/>
      <c r="C8062" s="236"/>
      <c r="D8062" s="236"/>
    </row>
    <row r="8063" spans="2:4" ht="12.75" customHeight="1" x14ac:dyDescent="0.2">
      <c r="B8063" s="236"/>
      <c r="C8063" s="236"/>
      <c r="D8063" s="236"/>
    </row>
    <row r="8064" spans="2:4" ht="12.75" customHeight="1" x14ac:dyDescent="0.2">
      <c r="B8064" s="236"/>
      <c r="C8064" s="236"/>
      <c r="D8064" s="236"/>
    </row>
    <row r="8065" spans="2:4" ht="12.75" customHeight="1" x14ac:dyDescent="0.2">
      <c r="B8065" s="236"/>
      <c r="C8065" s="236"/>
      <c r="D8065" s="236"/>
    </row>
    <row r="8066" spans="2:4" x14ac:dyDescent="0.2">
      <c r="B8066" s="236"/>
      <c r="C8066" s="236"/>
      <c r="D8066" s="236"/>
    </row>
    <row r="8067" spans="2:4" ht="12.75" customHeight="1" x14ac:dyDescent="0.2">
      <c r="B8067" s="236"/>
      <c r="C8067" s="236"/>
      <c r="D8067" s="236"/>
    </row>
    <row r="8068" spans="2:4" x14ac:dyDescent="0.2">
      <c r="B8068" s="236"/>
      <c r="C8068" s="236"/>
      <c r="D8068" s="236"/>
    </row>
    <row r="8069" spans="2:4" ht="12.75" customHeight="1" x14ac:dyDescent="0.2">
      <c r="B8069" s="236"/>
      <c r="C8069" s="236"/>
      <c r="D8069" s="236"/>
    </row>
    <row r="8070" spans="2:4" x14ac:dyDescent="0.2">
      <c r="B8070" s="236"/>
      <c r="C8070" s="236"/>
      <c r="D8070" s="236"/>
    </row>
    <row r="8071" spans="2:4" ht="12.75" customHeight="1" x14ac:dyDescent="0.2">
      <c r="B8071" s="236"/>
      <c r="C8071" s="236"/>
      <c r="D8071" s="236"/>
    </row>
    <row r="8072" spans="2:4" ht="12.75" customHeight="1" x14ac:dyDescent="0.2">
      <c r="B8072" s="236"/>
      <c r="C8072" s="236"/>
      <c r="D8072" s="236"/>
    </row>
    <row r="8073" spans="2:4" x14ac:dyDescent="0.2">
      <c r="B8073" s="236"/>
      <c r="C8073" s="236"/>
      <c r="D8073" s="236"/>
    </row>
    <row r="8074" spans="2:4" ht="12.75" customHeight="1" x14ac:dyDescent="0.2">
      <c r="B8074" s="236"/>
      <c r="C8074" s="236"/>
      <c r="D8074" s="236"/>
    </row>
    <row r="8075" spans="2:4" ht="12.75" customHeight="1" x14ac:dyDescent="0.2">
      <c r="B8075" s="236"/>
      <c r="C8075" s="236"/>
      <c r="D8075" s="236"/>
    </row>
    <row r="8076" spans="2:4" ht="12.75" customHeight="1" x14ac:dyDescent="0.2">
      <c r="B8076" s="236"/>
      <c r="C8076" s="236"/>
      <c r="D8076" s="236"/>
    </row>
    <row r="8077" spans="2:4" ht="12.75" customHeight="1" x14ac:dyDescent="0.2">
      <c r="B8077" s="236"/>
      <c r="C8077" s="236"/>
      <c r="D8077" s="236"/>
    </row>
    <row r="8078" spans="2:4" ht="12.75" customHeight="1" x14ac:dyDescent="0.2">
      <c r="B8078" s="236"/>
      <c r="C8078" s="236"/>
      <c r="D8078" s="236"/>
    </row>
    <row r="8079" spans="2:4" ht="12.75" customHeight="1" x14ac:dyDescent="0.2">
      <c r="B8079" s="236"/>
      <c r="C8079" s="236"/>
      <c r="D8079" s="236"/>
    </row>
    <row r="8080" spans="2:4" ht="12.75" customHeight="1" x14ac:dyDescent="0.2">
      <c r="B8080" s="236"/>
      <c r="C8080" s="236"/>
      <c r="D8080" s="236"/>
    </row>
    <row r="8081" spans="2:4" ht="12.75" customHeight="1" x14ac:dyDescent="0.2">
      <c r="B8081" s="236"/>
      <c r="C8081" s="236"/>
      <c r="D8081" s="236"/>
    </row>
    <row r="8082" spans="2:4" ht="12.75" customHeight="1" x14ac:dyDescent="0.2">
      <c r="B8082" s="236"/>
      <c r="C8082" s="236"/>
      <c r="D8082" s="236"/>
    </row>
    <row r="8083" spans="2:4" ht="12.75" customHeight="1" x14ac:dyDescent="0.2">
      <c r="B8083" s="236"/>
      <c r="C8083" s="236"/>
      <c r="D8083" s="236"/>
    </row>
    <row r="8084" spans="2:4" ht="12.75" customHeight="1" x14ac:dyDescent="0.2">
      <c r="B8084" s="236"/>
      <c r="C8084" s="236"/>
      <c r="D8084" s="236"/>
    </row>
    <row r="8085" spans="2:4" ht="12.75" customHeight="1" x14ac:dyDescent="0.2">
      <c r="B8085" s="236"/>
      <c r="C8085" s="236"/>
      <c r="D8085" s="236"/>
    </row>
    <row r="8086" spans="2:4" x14ac:dyDescent="0.2">
      <c r="B8086" s="236"/>
      <c r="C8086" s="236"/>
      <c r="D8086" s="236"/>
    </row>
    <row r="8087" spans="2:4" ht="12.75" customHeight="1" x14ac:dyDescent="0.2">
      <c r="B8087" s="236"/>
      <c r="C8087" s="236"/>
      <c r="D8087" s="236"/>
    </row>
    <row r="8088" spans="2:4" ht="12.75" customHeight="1" x14ac:dyDescent="0.2">
      <c r="B8088" s="236"/>
      <c r="C8088" s="236"/>
      <c r="D8088" s="236"/>
    </row>
    <row r="8089" spans="2:4" ht="12.75" customHeight="1" x14ac:dyDescent="0.2">
      <c r="B8089" s="236"/>
      <c r="C8089" s="236"/>
      <c r="D8089" s="236"/>
    </row>
    <row r="8090" spans="2:4" ht="12.75" customHeight="1" x14ac:dyDescent="0.2">
      <c r="B8090" s="236"/>
      <c r="C8090" s="236"/>
      <c r="D8090" s="236"/>
    </row>
    <row r="8091" spans="2:4" ht="12.75" customHeight="1" x14ac:dyDescent="0.2">
      <c r="B8091" s="236"/>
      <c r="C8091" s="236"/>
      <c r="D8091" s="236"/>
    </row>
    <row r="8092" spans="2:4" x14ac:dyDescent="0.2">
      <c r="B8092" s="236"/>
      <c r="C8092" s="236"/>
      <c r="D8092" s="236"/>
    </row>
    <row r="8093" spans="2:4" ht="12.75" customHeight="1" x14ac:dyDescent="0.2">
      <c r="B8093" s="236"/>
      <c r="C8093" s="236"/>
      <c r="D8093" s="236"/>
    </row>
    <row r="8094" spans="2:4" ht="12.75" customHeight="1" x14ac:dyDescent="0.2">
      <c r="B8094" s="236"/>
      <c r="C8094" s="236"/>
      <c r="D8094" s="236"/>
    </row>
    <row r="8095" spans="2:4" ht="12.75" customHeight="1" x14ac:dyDescent="0.2">
      <c r="B8095" s="236"/>
      <c r="C8095" s="236"/>
      <c r="D8095" s="236"/>
    </row>
    <row r="8096" spans="2:4" ht="12.75" customHeight="1" x14ac:dyDescent="0.2">
      <c r="B8096" s="236"/>
      <c r="C8096" s="236"/>
      <c r="D8096" s="236"/>
    </row>
    <row r="8097" spans="2:4" ht="12.75" customHeight="1" x14ac:dyDescent="0.2">
      <c r="B8097" s="236"/>
      <c r="C8097" s="236"/>
      <c r="D8097" s="236"/>
    </row>
    <row r="8098" spans="2:4" x14ac:dyDescent="0.2">
      <c r="B8098" s="236"/>
      <c r="C8098" s="236"/>
      <c r="D8098" s="236"/>
    </row>
    <row r="8099" spans="2:4" ht="12.75" customHeight="1" x14ac:dyDescent="0.2">
      <c r="B8099" s="236"/>
      <c r="C8099" s="236"/>
      <c r="D8099" s="236"/>
    </row>
    <row r="8100" spans="2:4" x14ac:dyDescent="0.2">
      <c r="B8100" s="236"/>
      <c r="C8100" s="236"/>
      <c r="D8100" s="236"/>
    </row>
    <row r="8101" spans="2:4" ht="12.75" customHeight="1" x14ac:dyDescent="0.2">
      <c r="B8101" s="236"/>
      <c r="C8101" s="236"/>
      <c r="D8101" s="236"/>
    </row>
    <row r="8102" spans="2:4" x14ac:dyDescent="0.2">
      <c r="B8102" s="236"/>
      <c r="C8102" s="236"/>
      <c r="D8102" s="236"/>
    </row>
    <row r="8103" spans="2:4" ht="12.75" customHeight="1" x14ac:dyDescent="0.2">
      <c r="B8103" s="236"/>
      <c r="C8103" s="236"/>
      <c r="D8103" s="236"/>
    </row>
    <row r="8104" spans="2:4" ht="12.75" customHeight="1" x14ac:dyDescent="0.2">
      <c r="B8104" s="236"/>
      <c r="C8104" s="236"/>
      <c r="D8104" s="236"/>
    </row>
    <row r="8105" spans="2:4" ht="12.75" customHeight="1" x14ac:dyDescent="0.2">
      <c r="B8105" s="236"/>
      <c r="C8105" s="236"/>
      <c r="D8105" s="236"/>
    </row>
    <row r="8106" spans="2:4" ht="12.75" customHeight="1" x14ac:dyDescent="0.2">
      <c r="B8106" s="236"/>
      <c r="C8106" s="236"/>
      <c r="D8106" s="236"/>
    </row>
    <row r="8107" spans="2:4" x14ac:dyDescent="0.2">
      <c r="B8107" s="236"/>
      <c r="C8107" s="236"/>
      <c r="D8107" s="236"/>
    </row>
    <row r="8108" spans="2:4" ht="12.75" customHeight="1" x14ac:dyDescent="0.2">
      <c r="B8108" s="236"/>
      <c r="C8108" s="236"/>
      <c r="D8108" s="236"/>
    </row>
    <row r="8109" spans="2:4" ht="12.75" customHeight="1" x14ac:dyDescent="0.2">
      <c r="B8109" s="236"/>
      <c r="C8109" s="236"/>
      <c r="D8109" s="236"/>
    </row>
    <row r="8110" spans="2:4" ht="12.75" customHeight="1" x14ac:dyDescent="0.2">
      <c r="B8110" s="236"/>
      <c r="C8110" s="236"/>
      <c r="D8110" s="236"/>
    </row>
    <row r="8111" spans="2:4" ht="12.75" customHeight="1" x14ac:dyDescent="0.2">
      <c r="B8111" s="236"/>
      <c r="C8111" s="236"/>
      <c r="D8111" s="236"/>
    </row>
    <row r="8112" spans="2:4" x14ac:dyDescent="0.2">
      <c r="B8112" s="236"/>
      <c r="C8112" s="236"/>
      <c r="D8112" s="236"/>
    </row>
    <row r="8113" spans="2:4" ht="12.75" customHeight="1" x14ac:dyDescent="0.2">
      <c r="B8113" s="236"/>
      <c r="C8113" s="236"/>
      <c r="D8113" s="236"/>
    </row>
    <row r="8114" spans="2:4" ht="12.75" customHeight="1" x14ac:dyDescent="0.2">
      <c r="B8114" s="236"/>
      <c r="C8114" s="236"/>
      <c r="D8114" s="236"/>
    </row>
    <row r="8115" spans="2:4" ht="12.75" customHeight="1" x14ac:dyDescent="0.2">
      <c r="B8115" s="236"/>
      <c r="C8115" s="236"/>
      <c r="D8115" s="236"/>
    </row>
    <row r="8116" spans="2:4" ht="12.75" customHeight="1" x14ac:dyDescent="0.2">
      <c r="B8116" s="236"/>
      <c r="C8116" s="236"/>
      <c r="D8116" s="236"/>
    </row>
    <row r="8117" spans="2:4" ht="12.75" customHeight="1" x14ac:dyDescent="0.2">
      <c r="B8117" s="236"/>
      <c r="C8117" s="236"/>
      <c r="D8117" s="236"/>
    </row>
    <row r="8118" spans="2:4" ht="12.75" customHeight="1" x14ac:dyDescent="0.2">
      <c r="B8118" s="236"/>
      <c r="C8118" s="236"/>
      <c r="D8118" s="236"/>
    </row>
    <row r="8119" spans="2:4" ht="12.75" customHeight="1" x14ac:dyDescent="0.2">
      <c r="B8119" s="236"/>
      <c r="C8119" s="236"/>
      <c r="D8119" s="236"/>
    </row>
    <row r="8120" spans="2:4" x14ac:dyDescent="0.2">
      <c r="B8120" s="236"/>
      <c r="C8120" s="236"/>
      <c r="D8120" s="236"/>
    </row>
    <row r="8121" spans="2:4" ht="12.75" customHeight="1" x14ac:dyDescent="0.2">
      <c r="B8121" s="236"/>
      <c r="C8121" s="236"/>
      <c r="D8121" s="236"/>
    </row>
    <row r="8122" spans="2:4" ht="12.75" customHeight="1" x14ac:dyDescent="0.2">
      <c r="B8122" s="236"/>
      <c r="C8122" s="236"/>
      <c r="D8122" s="236"/>
    </row>
    <row r="8123" spans="2:4" ht="12.75" customHeight="1" x14ac:dyDescent="0.2">
      <c r="B8123" s="236"/>
      <c r="C8123" s="236"/>
      <c r="D8123" s="236"/>
    </row>
    <row r="8124" spans="2:4" ht="12.75" customHeight="1" x14ac:dyDescent="0.2">
      <c r="B8124" s="236"/>
      <c r="C8124" s="236"/>
      <c r="D8124" s="236"/>
    </row>
    <row r="8125" spans="2:4" x14ac:dyDescent="0.2">
      <c r="B8125" s="236"/>
      <c r="C8125" s="236"/>
      <c r="D8125" s="236"/>
    </row>
    <row r="8126" spans="2:4" ht="12.75" customHeight="1" x14ac:dyDescent="0.2">
      <c r="B8126" s="236"/>
      <c r="C8126" s="236"/>
      <c r="D8126" s="236"/>
    </row>
    <row r="8127" spans="2:4" ht="12.75" customHeight="1" x14ac:dyDescent="0.2">
      <c r="B8127" s="236"/>
      <c r="C8127" s="236"/>
      <c r="D8127" s="236"/>
    </row>
    <row r="8128" spans="2:4" x14ac:dyDescent="0.2">
      <c r="B8128" s="236"/>
      <c r="C8128" s="236"/>
      <c r="D8128" s="236"/>
    </row>
    <row r="8129" spans="2:4" ht="12.75" customHeight="1" x14ac:dyDescent="0.2">
      <c r="B8129" s="236"/>
      <c r="C8129" s="236"/>
      <c r="D8129" s="236"/>
    </row>
    <row r="8130" spans="2:4" x14ac:dyDescent="0.2">
      <c r="B8130" s="236"/>
      <c r="C8130" s="236"/>
      <c r="D8130" s="236"/>
    </row>
    <row r="8131" spans="2:4" ht="12.75" customHeight="1" x14ac:dyDescent="0.2">
      <c r="B8131" s="236"/>
      <c r="C8131" s="236"/>
      <c r="D8131" s="236"/>
    </row>
    <row r="8132" spans="2:4" ht="12.75" customHeight="1" x14ac:dyDescent="0.2">
      <c r="B8132" s="236"/>
      <c r="C8132" s="236"/>
      <c r="D8132" s="236"/>
    </row>
    <row r="8133" spans="2:4" ht="12.75" customHeight="1" x14ac:dyDescent="0.2">
      <c r="B8133" s="236"/>
      <c r="C8133" s="236"/>
      <c r="D8133" s="236"/>
    </row>
    <row r="8134" spans="2:4" ht="12.75" customHeight="1" x14ac:dyDescent="0.2">
      <c r="B8134" s="236"/>
      <c r="C8134" s="236"/>
      <c r="D8134" s="236"/>
    </row>
    <row r="8135" spans="2:4" ht="12.75" customHeight="1" x14ac:dyDescent="0.2">
      <c r="B8135" s="236"/>
      <c r="C8135" s="236"/>
      <c r="D8135" s="236"/>
    </row>
    <row r="8136" spans="2:4" ht="12.75" customHeight="1" x14ac:dyDescent="0.2">
      <c r="B8136" s="236"/>
      <c r="C8136" s="236"/>
      <c r="D8136" s="236"/>
    </row>
    <row r="8137" spans="2:4" ht="12.75" customHeight="1" x14ac:dyDescent="0.2">
      <c r="B8137" s="236"/>
      <c r="C8137" s="236"/>
      <c r="D8137" s="236"/>
    </row>
    <row r="8138" spans="2:4" x14ac:dyDescent="0.2">
      <c r="B8138" s="236"/>
      <c r="C8138" s="236"/>
      <c r="D8138" s="236"/>
    </row>
    <row r="8139" spans="2:4" ht="12.75" customHeight="1" x14ac:dyDescent="0.2">
      <c r="B8139" s="236"/>
      <c r="C8139" s="236"/>
      <c r="D8139" s="236"/>
    </row>
    <row r="8140" spans="2:4" x14ac:dyDescent="0.2">
      <c r="B8140" s="236"/>
      <c r="C8140" s="236"/>
      <c r="D8140" s="236"/>
    </row>
    <row r="8141" spans="2:4" ht="12.75" customHeight="1" x14ac:dyDescent="0.2">
      <c r="B8141" s="236"/>
      <c r="C8141" s="236"/>
      <c r="D8141" s="236"/>
    </row>
    <row r="8142" spans="2:4" ht="12.75" customHeight="1" x14ac:dyDescent="0.2">
      <c r="B8142" s="236"/>
      <c r="C8142" s="236"/>
      <c r="D8142" s="236"/>
    </row>
    <row r="8143" spans="2:4" ht="12.75" customHeight="1" x14ac:dyDescent="0.2">
      <c r="B8143" s="236"/>
      <c r="C8143" s="236"/>
      <c r="D8143" s="236"/>
    </row>
    <row r="8144" spans="2:4" x14ac:dyDescent="0.2">
      <c r="B8144" s="236"/>
      <c r="C8144" s="236"/>
      <c r="D8144" s="236"/>
    </row>
    <row r="8145" spans="2:4" ht="12.75" customHeight="1" x14ac:dyDescent="0.2">
      <c r="B8145" s="236"/>
      <c r="C8145" s="236"/>
      <c r="D8145" s="236"/>
    </row>
    <row r="8146" spans="2:4" ht="12.75" customHeight="1" x14ac:dyDescent="0.2">
      <c r="B8146" s="236"/>
      <c r="C8146" s="236"/>
      <c r="D8146" s="236"/>
    </row>
    <row r="8147" spans="2:4" ht="12.75" customHeight="1" x14ac:dyDescent="0.2">
      <c r="B8147" s="236"/>
      <c r="C8147" s="236"/>
      <c r="D8147" s="236"/>
    </row>
    <row r="8148" spans="2:4" ht="12.75" customHeight="1" x14ac:dyDescent="0.2">
      <c r="B8148" s="236"/>
      <c r="C8148" s="236"/>
      <c r="D8148" s="236"/>
    </row>
    <row r="8149" spans="2:4" x14ac:dyDescent="0.2">
      <c r="B8149" s="236"/>
      <c r="C8149" s="236"/>
      <c r="D8149" s="236"/>
    </row>
    <row r="8150" spans="2:4" ht="12.75" customHeight="1" x14ac:dyDescent="0.2">
      <c r="B8150" s="236"/>
      <c r="C8150" s="236"/>
      <c r="D8150" s="236"/>
    </row>
    <row r="8151" spans="2:4" ht="12.75" customHeight="1" x14ac:dyDescent="0.2">
      <c r="B8151" s="236"/>
      <c r="C8151" s="236"/>
      <c r="D8151" s="236"/>
    </row>
    <row r="8152" spans="2:4" ht="12.75" customHeight="1" x14ac:dyDescent="0.2">
      <c r="B8152" s="236"/>
      <c r="C8152" s="236"/>
      <c r="D8152" s="236"/>
    </row>
    <row r="8153" spans="2:4" ht="12.75" customHeight="1" x14ac:dyDescent="0.2">
      <c r="B8153" s="236"/>
      <c r="C8153" s="236"/>
      <c r="D8153" s="236"/>
    </row>
    <row r="8154" spans="2:4" x14ac:dyDescent="0.2">
      <c r="B8154" s="236"/>
      <c r="C8154" s="236"/>
      <c r="D8154" s="236"/>
    </row>
    <row r="8155" spans="2:4" ht="12.75" customHeight="1" x14ac:dyDescent="0.2">
      <c r="B8155" s="236"/>
      <c r="C8155" s="236"/>
      <c r="D8155" s="236"/>
    </row>
    <row r="8156" spans="2:4" x14ac:dyDescent="0.2">
      <c r="B8156" s="236"/>
      <c r="C8156" s="236"/>
      <c r="D8156" s="236"/>
    </row>
    <row r="8157" spans="2:4" ht="12.75" customHeight="1" x14ac:dyDescent="0.2">
      <c r="B8157" s="236"/>
      <c r="C8157" s="236"/>
      <c r="D8157" s="236"/>
    </row>
    <row r="8158" spans="2:4" x14ac:dyDescent="0.2">
      <c r="B8158" s="236"/>
      <c r="C8158" s="236"/>
      <c r="D8158" s="236"/>
    </row>
    <row r="8159" spans="2:4" ht="12.75" customHeight="1" x14ac:dyDescent="0.2">
      <c r="B8159" s="236"/>
      <c r="C8159" s="236"/>
      <c r="D8159" s="236"/>
    </row>
    <row r="8160" spans="2:4" x14ac:dyDescent="0.2">
      <c r="B8160" s="236"/>
      <c r="C8160" s="236"/>
      <c r="D8160" s="236"/>
    </row>
    <row r="8161" spans="2:4" ht="12.75" customHeight="1" x14ac:dyDescent="0.2">
      <c r="B8161" s="236"/>
      <c r="C8161" s="236"/>
      <c r="D8161" s="236"/>
    </row>
    <row r="8162" spans="2:4" ht="12.75" customHeight="1" x14ac:dyDescent="0.2">
      <c r="B8162" s="236"/>
      <c r="C8162" s="236"/>
      <c r="D8162" s="236"/>
    </row>
    <row r="8163" spans="2:4" x14ac:dyDescent="0.2">
      <c r="B8163" s="236"/>
      <c r="C8163" s="236"/>
      <c r="D8163" s="236"/>
    </row>
    <row r="8164" spans="2:4" ht="12.75" customHeight="1" x14ac:dyDescent="0.2">
      <c r="B8164" s="236"/>
      <c r="C8164" s="236"/>
      <c r="D8164" s="236"/>
    </row>
    <row r="8165" spans="2:4" ht="12.75" customHeight="1" x14ac:dyDescent="0.2">
      <c r="B8165" s="236"/>
      <c r="C8165" s="236"/>
      <c r="D8165" s="236"/>
    </row>
    <row r="8166" spans="2:4" ht="12.75" customHeight="1" x14ac:dyDescent="0.2">
      <c r="B8166" s="236"/>
      <c r="C8166" s="236"/>
      <c r="D8166" s="236"/>
    </row>
    <row r="8167" spans="2:4" ht="12.75" customHeight="1" x14ac:dyDescent="0.2">
      <c r="B8167" s="236"/>
      <c r="C8167" s="236"/>
      <c r="D8167" s="236"/>
    </row>
    <row r="8168" spans="2:4" ht="12.75" customHeight="1" x14ac:dyDescent="0.2">
      <c r="B8168" s="236"/>
      <c r="C8168" s="236"/>
      <c r="D8168" s="236"/>
    </row>
    <row r="8169" spans="2:4" ht="12.75" customHeight="1" x14ac:dyDescent="0.2">
      <c r="B8169" s="236"/>
      <c r="C8169" s="236"/>
      <c r="D8169" s="236"/>
    </row>
    <row r="8170" spans="2:4" ht="12.75" customHeight="1" x14ac:dyDescent="0.2">
      <c r="B8170" s="236"/>
      <c r="C8170" s="236"/>
      <c r="D8170" s="236"/>
    </row>
    <row r="8171" spans="2:4" ht="12.75" customHeight="1" x14ac:dyDescent="0.2">
      <c r="B8171" s="236"/>
      <c r="C8171" s="236"/>
      <c r="D8171" s="236"/>
    </row>
    <row r="8172" spans="2:4" ht="12.75" customHeight="1" x14ac:dyDescent="0.2">
      <c r="B8172" s="236"/>
      <c r="C8172" s="236"/>
      <c r="D8172" s="236"/>
    </row>
    <row r="8173" spans="2:4" ht="12.75" customHeight="1" x14ac:dyDescent="0.2">
      <c r="B8173" s="236"/>
      <c r="C8173" s="236"/>
      <c r="D8173" s="236"/>
    </row>
    <row r="8174" spans="2:4" ht="12.75" customHeight="1" x14ac:dyDescent="0.2">
      <c r="B8174" s="236"/>
      <c r="C8174" s="236"/>
      <c r="D8174" s="236"/>
    </row>
    <row r="8175" spans="2:4" ht="12.75" customHeight="1" x14ac:dyDescent="0.2">
      <c r="B8175" s="236"/>
      <c r="C8175" s="236"/>
      <c r="D8175" s="236"/>
    </row>
    <row r="8176" spans="2:4" ht="12.75" customHeight="1" x14ac:dyDescent="0.2">
      <c r="B8176" s="236"/>
      <c r="C8176" s="236"/>
      <c r="D8176" s="236"/>
    </row>
    <row r="8177" spans="2:4" ht="12.75" customHeight="1" x14ac:dyDescent="0.2">
      <c r="B8177" s="236"/>
      <c r="C8177" s="236"/>
      <c r="D8177" s="236"/>
    </row>
    <row r="8178" spans="2:4" ht="12.75" customHeight="1" x14ac:dyDescent="0.2">
      <c r="B8178" s="236"/>
      <c r="C8178" s="236"/>
      <c r="D8178" s="236"/>
    </row>
    <row r="8179" spans="2:4" ht="12.75" customHeight="1" x14ac:dyDescent="0.2">
      <c r="B8179" s="236"/>
      <c r="C8179" s="236"/>
      <c r="D8179" s="236"/>
    </row>
    <row r="8180" spans="2:4" x14ac:dyDescent="0.2">
      <c r="B8180" s="236"/>
      <c r="C8180" s="236"/>
      <c r="D8180" s="236"/>
    </row>
    <row r="8181" spans="2:4" ht="12.75" customHeight="1" x14ac:dyDescent="0.2">
      <c r="B8181" s="236"/>
      <c r="C8181" s="236"/>
      <c r="D8181" s="236"/>
    </row>
    <row r="8182" spans="2:4" ht="12.75" customHeight="1" x14ac:dyDescent="0.2">
      <c r="B8182" s="236"/>
      <c r="C8182" s="236"/>
      <c r="D8182" s="236"/>
    </row>
    <row r="8183" spans="2:4" ht="12.75" customHeight="1" x14ac:dyDescent="0.2">
      <c r="B8183" s="236"/>
      <c r="C8183" s="236"/>
      <c r="D8183" s="236"/>
    </row>
    <row r="8184" spans="2:4" x14ac:dyDescent="0.2">
      <c r="B8184" s="236"/>
      <c r="C8184" s="236"/>
      <c r="D8184" s="236"/>
    </row>
    <row r="8185" spans="2:4" ht="12.75" customHeight="1" x14ac:dyDescent="0.2">
      <c r="B8185" s="236"/>
      <c r="C8185" s="236"/>
      <c r="D8185" s="236"/>
    </row>
    <row r="8186" spans="2:4" x14ac:dyDescent="0.2">
      <c r="B8186" s="236"/>
      <c r="C8186" s="236"/>
      <c r="D8186" s="236"/>
    </row>
    <row r="8187" spans="2:4" ht="12.75" customHeight="1" x14ac:dyDescent="0.2">
      <c r="B8187" s="236"/>
      <c r="C8187" s="236"/>
      <c r="D8187" s="236"/>
    </row>
    <row r="8188" spans="2:4" ht="12.75" customHeight="1" x14ac:dyDescent="0.2">
      <c r="B8188" s="236"/>
      <c r="C8188" s="236"/>
      <c r="D8188" s="236"/>
    </row>
    <row r="8189" spans="2:4" ht="12.75" customHeight="1" x14ac:dyDescent="0.2">
      <c r="B8189" s="236"/>
      <c r="C8189" s="236"/>
      <c r="D8189" s="236"/>
    </row>
    <row r="8190" spans="2:4" ht="12.75" customHeight="1" x14ac:dyDescent="0.2">
      <c r="B8190" s="236"/>
      <c r="C8190" s="236"/>
      <c r="D8190" s="236"/>
    </row>
    <row r="8191" spans="2:4" ht="12.75" customHeight="1" x14ac:dyDescent="0.2">
      <c r="B8191" s="236"/>
      <c r="C8191" s="236"/>
      <c r="D8191" s="236"/>
    </row>
    <row r="8192" spans="2:4" ht="12.75" customHeight="1" x14ac:dyDescent="0.2">
      <c r="B8192" s="236"/>
      <c r="C8192" s="236"/>
      <c r="D8192" s="236"/>
    </row>
    <row r="8193" spans="2:4" ht="12.75" customHeight="1" x14ac:dyDescent="0.2">
      <c r="B8193" s="236"/>
      <c r="C8193" s="236"/>
      <c r="D8193" s="236"/>
    </row>
    <row r="8194" spans="2:4" ht="12.75" customHeight="1" x14ac:dyDescent="0.2">
      <c r="B8194" s="236"/>
      <c r="C8194" s="236"/>
      <c r="D8194" s="236"/>
    </row>
    <row r="8195" spans="2:4" ht="12.75" customHeight="1" x14ac:dyDescent="0.2">
      <c r="B8195" s="236"/>
      <c r="C8195" s="236"/>
      <c r="D8195" s="236"/>
    </row>
    <row r="8196" spans="2:4" ht="12.75" customHeight="1" x14ac:dyDescent="0.2">
      <c r="B8196" s="236"/>
      <c r="C8196" s="236"/>
      <c r="D8196" s="236"/>
    </row>
    <row r="8197" spans="2:4" ht="12.75" customHeight="1" x14ac:dyDescent="0.2">
      <c r="B8197" s="236"/>
      <c r="C8197" s="236"/>
      <c r="D8197" s="236"/>
    </row>
    <row r="8198" spans="2:4" ht="12.75" customHeight="1" x14ac:dyDescent="0.2">
      <c r="B8198" s="236"/>
      <c r="C8198" s="236"/>
      <c r="D8198" s="236"/>
    </row>
    <row r="8199" spans="2:4" ht="12.75" customHeight="1" x14ac:dyDescent="0.2">
      <c r="B8199" s="236"/>
      <c r="C8199" s="236"/>
      <c r="D8199" s="236"/>
    </row>
    <row r="8200" spans="2:4" ht="12.75" customHeight="1" x14ac:dyDescent="0.2">
      <c r="B8200" s="236"/>
      <c r="C8200" s="236"/>
      <c r="D8200" s="236"/>
    </row>
    <row r="8201" spans="2:4" ht="12.75" customHeight="1" x14ac:dyDescent="0.2">
      <c r="B8201" s="236"/>
      <c r="C8201" s="236"/>
      <c r="D8201" s="236"/>
    </row>
    <row r="8202" spans="2:4" ht="12.75" customHeight="1" x14ac:dyDescent="0.2">
      <c r="B8202" s="236"/>
      <c r="C8202" s="236"/>
      <c r="D8202" s="236"/>
    </row>
    <row r="8203" spans="2:4" x14ac:dyDescent="0.2">
      <c r="B8203" s="236"/>
      <c r="C8203" s="236"/>
      <c r="D8203" s="236"/>
    </row>
    <row r="8204" spans="2:4" ht="12.75" customHeight="1" x14ac:dyDescent="0.2">
      <c r="B8204" s="236"/>
      <c r="C8204" s="236"/>
      <c r="D8204" s="236"/>
    </row>
    <row r="8205" spans="2:4" x14ac:dyDescent="0.2">
      <c r="B8205" s="236"/>
      <c r="C8205" s="236"/>
      <c r="D8205" s="236"/>
    </row>
    <row r="8206" spans="2:4" ht="12.75" customHeight="1" x14ac:dyDescent="0.2">
      <c r="B8206" s="236"/>
      <c r="C8206" s="236"/>
      <c r="D8206" s="236"/>
    </row>
    <row r="8207" spans="2:4" x14ac:dyDescent="0.2">
      <c r="B8207" s="236"/>
      <c r="C8207" s="236"/>
      <c r="D8207" s="236"/>
    </row>
    <row r="8208" spans="2:4" ht="12.75" customHeight="1" x14ac:dyDescent="0.2">
      <c r="B8208" s="236"/>
      <c r="C8208" s="236"/>
      <c r="D8208" s="236"/>
    </row>
    <row r="8209" spans="2:4" ht="12.75" customHeight="1" x14ac:dyDescent="0.2">
      <c r="B8209" s="236"/>
      <c r="C8209" s="236"/>
      <c r="D8209" s="236"/>
    </row>
    <row r="8210" spans="2:4" ht="12.75" customHeight="1" x14ac:dyDescent="0.2">
      <c r="B8210" s="236"/>
      <c r="C8210" s="236"/>
      <c r="D8210" s="236"/>
    </row>
    <row r="8211" spans="2:4" ht="12.75" customHeight="1" x14ac:dyDescent="0.2">
      <c r="B8211" s="236"/>
      <c r="C8211" s="236"/>
      <c r="D8211" s="236"/>
    </row>
    <row r="8212" spans="2:4" ht="12.75" customHeight="1" x14ac:dyDescent="0.2">
      <c r="B8212" s="236"/>
      <c r="C8212" s="236"/>
      <c r="D8212" s="236"/>
    </row>
    <row r="8213" spans="2:4" ht="12.75" customHeight="1" x14ac:dyDescent="0.2">
      <c r="B8213" s="236"/>
      <c r="C8213" s="236"/>
      <c r="D8213" s="236"/>
    </row>
    <row r="8214" spans="2:4" x14ac:dyDescent="0.2">
      <c r="B8214" s="236"/>
      <c r="C8214" s="236"/>
      <c r="D8214" s="236"/>
    </row>
    <row r="8215" spans="2:4" ht="12.75" customHeight="1" x14ac:dyDescent="0.2">
      <c r="B8215" s="236"/>
      <c r="C8215" s="236"/>
      <c r="D8215" s="236"/>
    </row>
    <row r="8216" spans="2:4" x14ac:dyDescent="0.2">
      <c r="B8216" s="236"/>
      <c r="C8216" s="236"/>
      <c r="D8216" s="236"/>
    </row>
    <row r="8217" spans="2:4" ht="12.75" customHeight="1" x14ac:dyDescent="0.2">
      <c r="B8217" s="236"/>
      <c r="C8217" s="236"/>
      <c r="D8217" s="236"/>
    </row>
    <row r="8218" spans="2:4" x14ac:dyDescent="0.2">
      <c r="B8218" s="236"/>
      <c r="C8218" s="236"/>
      <c r="D8218" s="236"/>
    </row>
    <row r="8219" spans="2:4" ht="12.75" customHeight="1" x14ac:dyDescent="0.2">
      <c r="B8219" s="236"/>
      <c r="C8219" s="236"/>
      <c r="D8219" s="236"/>
    </row>
    <row r="8220" spans="2:4" ht="12.75" customHeight="1" x14ac:dyDescent="0.2">
      <c r="B8220" s="236"/>
      <c r="C8220" s="236"/>
      <c r="D8220" s="236"/>
    </row>
    <row r="8221" spans="2:4" ht="12.75" customHeight="1" x14ac:dyDescent="0.2">
      <c r="B8221" s="236"/>
      <c r="C8221" s="236"/>
      <c r="D8221" s="236"/>
    </row>
    <row r="8222" spans="2:4" ht="12.75" customHeight="1" x14ac:dyDescent="0.2">
      <c r="B8222" s="236"/>
      <c r="C8222" s="236"/>
      <c r="D8222" s="236"/>
    </row>
    <row r="8223" spans="2:4" x14ac:dyDescent="0.2">
      <c r="B8223" s="236"/>
      <c r="C8223" s="236"/>
      <c r="D8223" s="236"/>
    </row>
    <row r="8224" spans="2:4" ht="12.75" customHeight="1" x14ac:dyDescent="0.2">
      <c r="B8224" s="236"/>
      <c r="C8224" s="236"/>
      <c r="D8224" s="236"/>
    </row>
    <row r="8225" spans="2:4" ht="12.75" customHeight="1" x14ac:dyDescent="0.2">
      <c r="B8225" s="236"/>
      <c r="C8225" s="236"/>
      <c r="D8225" s="236"/>
    </row>
    <row r="8226" spans="2:4" ht="12.75" customHeight="1" x14ac:dyDescent="0.2">
      <c r="B8226" s="236"/>
      <c r="C8226" s="236"/>
      <c r="D8226" s="236"/>
    </row>
    <row r="8227" spans="2:4" ht="12.75" customHeight="1" x14ac:dyDescent="0.2">
      <c r="B8227" s="236"/>
      <c r="C8227" s="236"/>
      <c r="D8227" s="236"/>
    </row>
    <row r="8228" spans="2:4" x14ac:dyDescent="0.2">
      <c r="B8228" s="236"/>
      <c r="C8228" s="236"/>
      <c r="D8228" s="236"/>
    </row>
    <row r="8229" spans="2:4" ht="12.75" customHeight="1" x14ac:dyDescent="0.2">
      <c r="B8229" s="236"/>
      <c r="C8229" s="236"/>
      <c r="D8229" s="236"/>
    </row>
    <row r="8230" spans="2:4" ht="12.75" customHeight="1" x14ac:dyDescent="0.2">
      <c r="B8230" s="236"/>
      <c r="C8230" s="236"/>
      <c r="D8230" s="236"/>
    </row>
    <row r="8231" spans="2:4" ht="12.75" customHeight="1" x14ac:dyDescent="0.2">
      <c r="B8231" s="236"/>
      <c r="C8231" s="236"/>
      <c r="D8231" s="236"/>
    </row>
    <row r="8232" spans="2:4" ht="12.75" customHeight="1" x14ac:dyDescent="0.2">
      <c r="B8232" s="236"/>
      <c r="C8232" s="236"/>
      <c r="D8232" s="236"/>
    </row>
    <row r="8233" spans="2:4" ht="12.75" customHeight="1" x14ac:dyDescent="0.2">
      <c r="B8233" s="236"/>
      <c r="C8233" s="236"/>
      <c r="D8233" s="236"/>
    </row>
    <row r="8234" spans="2:4" ht="12.75" customHeight="1" x14ac:dyDescent="0.2">
      <c r="B8234" s="236"/>
      <c r="C8234" s="236"/>
      <c r="D8234" s="236"/>
    </row>
    <row r="8235" spans="2:4" x14ac:dyDescent="0.2">
      <c r="B8235" s="236"/>
      <c r="C8235" s="236"/>
      <c r="D8235" s="236"/>
    </row>
    <row r="8236" spans="2:4" ht="12.75" customHeight="1" x14ac:dyDescent="0.2">
      <c r="B8236" s="236"/>
      <c r="C8236" s="236"/>
      <c r="D8236" s="236"/>
    </row>
    <row r="8237" spans="2:4" ht="12.75" customHeight="1" x14ac:dyDescent="0.2">
      <c r="B8237" s="236"/>
      <c r="C8237" s="236"/>
      <c r="D8237" s="236"/>
    </row>
    <row r="8238" spans="2:4" x14ac:dyDescent="0.2">
      <c r="B8238" s="236"/>
      <c r="C8238" s="236"/>
      <c r="D8238" s="236"/>
    </row>
    <row r="8239" spans="2:4" ht="12.75" customHeight="1" x14ac:dyDescent="0.2">
      <c r="B8239" s="236"/>
      <c r="C8239" s="236"/>
      <c r="D8239" s="236"/>
    </row>
    <row r="8240" spans="2:4" ht="12.75" customHeight="1" x14ac:dyDescent="0.2">
      <c r="B8240" s="236"/>
      <c r="C8240" s="236"/>
      <c r="D8240" s="236"/>
    </row>
    <row r="8241" spans="2:4" ht="12.75" customHeight="1" x14ac:dyDescent="0.2">
      <c r="B8241" s="236"/>
      <c r="C8241" s="236"/>
      <c r="D8241" s="236"/>
    </row>
    <row r="8242" spans="2:4" ht="12.75" customHeight="1" x14ac:dyDescent="0.2">
      <c r="B8242" s="236"/>
      <c r="C8242" s="236"/>
      <c r="D8242" s="236"/>
    </row>
    <row r="8243" spans="2:4" ht="12.75" customHeight="1" x14ac:dyDescent="0.2">
      <c r="B8243" s="236"/>
      <c r="C8243" s="236"/>
      <c r="D8243" s="236"/>
    </row>
    <row r="8244" spans="2:4" ht="12.75" customHeight="1" x14ac:dyDescent="0.2">
      <c r="B8244" s="236"/>
      <c r="C8244" s="236"/>
      <c r="D8244" s="236"/>
    </row>
    <row r="8245" spans="2:4" ht="12.75" customHeight="1" x14ac:dyDescent="0.2">
      <c r="B8245" s="236"/>
      <c r="C8245" s="236"/>
      <c r="D8245" s="236"/>
    </row>
    <row r="8246" spans="2:4" ht="12.75" customHeight="1" x14ac:dyDescent="0.2">
      <c r="B8246" s="236"/>
      <c r="C8246" s="236"/>
      <c r="D8246" s="236"/>
    </row>
    <row r="8247" spans="2:4" ht="12.75" customHeight="1" x14ac:dyDescent="0.2">
      <c r="B8247" s="236"/>
      <c r="C8247" s="236"/>
      <c r="D8247" s="236"/>
    </row>
    <row r="8248" spans="2:4" ht="12.75" customHeight="1" x14ac:dyDescent="0.2">
      <c r="B8248" s="236"/>
      <c r="C8248" s="236"/>
      <c r="D8248" s="236"/>
    </row>
    <row r="8249" spans="2:4" ht="12.75" customHeight="1" x14ac:dyDescent="0.2">
      <c r="B8249" s="236"/>
      <c r="C8249" s="236"/>
      <c r="D8249" s="236"/>
    </row>
    <row r="8250" spans="2:4" ht="12.75" customHeight="1" x14ac:dyDescent="0.2">
      <c r="B8250" s="236"/>
      <c r="C8250" s="236"/>
      <c r="D8250" s="236"/>
    </row>
    <row r="8251" spans="2:4" ht="12.75" customHeight="1" x14ac:dyDescent="0.2">
      <c r="B8251" s="236"/>
      <c r="C8251" s="236"/>
      <c r="D8251" s="236"/>
    </row>
    <row r="8252" spans="2:4" ht="12.75" customHeight="1" x14ac:dyDescent="0.2">
      <c r="B8252" s="236"/>
      <c r="C8252" s="236"/>
      <c r="D8252" s="236"/>
    </row>
    <row r="8253" spans="2:4" ht="12.75" customHeight="1" x14ac:dyDescent="0.2">
      <c r="B8253" s="236"/>
      <c r="C8253" s="236"/>
      <c r="D8253" s="236"/>
    </row>
    <row r="8254" spans="2:4" ht="12.75" customHeight="1" x14ac:dyDescent="0.2">
      <c r="B8254" s="236"/>
      <c r="C8254" s="236"/>
      <c r="D8254" s="236"/>
    </row>
    <row r="8255" spans="2:4" ht="12.75" customHeight="1" x14ac:dyDescent="0.2">
      <c r="B8255" s="236"/>
      <c r="C8255" s="236"/>
      <c r="D8255" s="236"/>
    </row>
    <row r="8256" spans="2:4" ht="12.75" customHeight="1" x14ac:dyDescent="0.2">
      <c r="B8256" s="236"/>
      <c r="C8256" s="236"/>
      <c r="D8256" s="236"/>
    </row>
    <row r="8257" spans="2:4" ht="12.75" customHeight="1" x14ac:dyDescent="0.2">
      <c r="B8257" s="236"/>
      <c r="C8257" s="236"/>
      <c r="D8257" s="236"/>
    </row>
    <row r="8258" spans="2:4" ht="12.75" customHeight="1" x14ac:dyDescent="0.2">
      <c r="B8258" s="236"/>
      <c r="C8258" s="236"/>
      <c r="D8258" s="236"/>
    </row>
    <row r="8259" spans="2:4" ht="12.75" customHeight="1" x14ac:dyDescent="0.2">
      <c r="B8259" s="236"/>
      <c r="C8259" s="236"/>
      <c r="D8259" s="236"/>
    </row>
    <row r="8260" spans="2:4" ht="12.75" customHeight="1" x14ac:dyDescent="0.2">
      <c r="B8260" s="236"/>
      <c r="C8260" s="236"/>
      <c r="D8260" s="236"/>
    </row>
    <row r="8261" spans="2:4" ht="12.75" customHeight="1" x14ac:dyDescent="0.2">
      <c r="B8261" s="236"/>
      <c r="C8261" s="236"/>
      <c r="D8261" s="236"/>
    </row>
    <row r="8262" spans="2:4" x14ac:dyDescent="0.2">
      <c r="B8262" s="236"/>
      <c r="C8262" s="236"/>
      <c r="D8262" s="236"/>
    </row>
    <row r="8263" spans="2:4" ht="12.75" customHeight="1" x14ac:dyDescent="0.2">
      <c r="B8263" s="236"/>
      <c r="C8263" s="236"/>
      <c r="D8263" s="236"/>
    </row>
    <row r="8264" spans="2:4" x14ac:dyDescent="0.2">
      <c r="B8264" s="236"/>
      <c r="C8264" s="236"/>
      <c r="D8264" s="236"/>
    </row>
    <row r="8265" spans="2:4" ht="12.75" customHeight="1" x14ac:dyDescent="0.2">
      <c r="B8265" s="236"/>
      <c r="C8265" s="236"/>
      <c r="D8265" s="236"/>
    </row>
    <row r="8266" spans="2:4" ht="12.75" customHeight="1" x14ac:dyDescent="0.2">
      <c r="B8266" s="236"/>
      <c r="C8266" s="236"/>
      <c r="D8266" s="236"/>
    </row>
    <row r="8267" spans="2:4" ht="12.75" customHeight="1" x14ac:dyDescent="0.2">
      <c r="B8267" s="236"/>
      <c r="C8267" s="236"/>
      <c r="D8267" s="236"/>
    </row>
    <row r="8268" spans="2:4" ht="12.75" customHeight="1" x14ac:dyDescent="0.2">
      <c r="B8268" s="236"/>
      <c r="C8268" s="236"/>
      <c r="D8268" s="236"/>
    </row>
    <row r="8269" spans="2:4" x14ac:dyDescent="0.2">
      <c r="B8269" s="236"/>
      <c r="C8269" s="236"/>
      <c r="D8269" s="236"/>
    </row>
    <row r="8270" spans="2:4" ht="12.75" customHeight="1" x14ac:dyDescent="0.2">
      <c r="B8270" s="236"/>
      <c r="C8270" s="236"/>
      <c r="D8270" s="236"/>
    </row>
    <row r="8271" spans="2:4" ht="12.75" customHeight="1" x14ac:dyDescent="0.2">
      <c r="B8271" s="236"/>
      <c r="C8271" s="236"/>
      <c r="D8271" s="236"/>
    </row>
    <row r="8272" spans="2:4" ht="12.75" customHeight="1" x14ac:dyDescent="0.2">
      <c r="B8272" s="236"/>
      <c r="C8272" s="236"/>
      <c r="D8272" s="236"/>
    </row>
    <row r="8273" spans="2:4" ht="12.75" customHeight="1" x14ac:dyDescent="0.2">
      <c r="B8273" s="236"/>
      <c r="C8273" s="236"/>
      <c r="D8273" s="236"/>
    </row>
    <row r="8274" spans="2:4" ht="12.75" customHeight="1" x14ac:dyDescent="0.2">
      <c r="B8274" s="236"/>
      <c r="C8274" s="236"/>
      <c r="D8274" s="236"/>
    </row>
    <row r="8275" spans="2:4" x14ac:dyDescent="0.2">
      <c r="B8275" s="236"/>
      <c r="C8275" s="236"/>
      <c r="D8275" s="236"/>
    </row>
    <row r="8276" spans="2:4" ht="12.75" customHeight="1" x14ac:dyDescent="0.2">
      <c r="B8276" s="236"/>
      <c r="C8276" s="236"/>
      <c r="D8276" s="236"/>
    </row>
    <row r="8277" spans="2:4" x14ac:dyDescent="0.2">
      <c r="B8277" s="236"/>
      <c r="C8277" s="236"/>
      <c r="D8277" s="236"/>
    </row>
    <row r="8278" spans="2:4" ht="12.75" customHeight="1" x14ac:dyDescent="0.2">
      <c r="B8278" s="236"/>
      <c r="C8278" s="236"/>
      <c r="D8278" s="236"/>
    </row>
    <row r="8279" spans="2:4" ht="12.75" customHeight="1" x14ac:dyDescent="0.2">
      <c r="B8279" s="236"/>
      <c r="C8279" s="236"/>
      <c r="D8279" s="236"/>
    </row>
    <row r="8280" spans="2:4" ht="12.75" customHeight="1" x14ac:dyDescent="0.2">
      <c r="B8280" s="236"/>
      <c r="C8280" s="236"/>
      <c r="D8280" s="236"/>
    </row>
    <row r="8281" spans="2:4" ht="12.75" customHeight="1" x14ac:dyDescent="0.2">
      <c r="B8281" s="236"/>
      <c r="C8281" s="236"/>
      <c r="D8281" s="236"/>
    </row>
    <row r="8282" spans="2:4" ht="12.75" customHeight="1" x14ac:dyDescent="0.2">
      <c r="B8282" s="236"/>
      <c r="C8282" s="236"/>
      <c r="D8282" s="236"/>
    </row>
    <row r="8283" spans="2:4" ht="12.75" customHeight="1" x14ac:dyDescent="0.2">
      <c r="B8283" s="236"/>
      <c r="C8283" s="236"/>
      <c r="D8283" s="236"/>
    </row>
    <row r="8284" spans="2:4" x14ac:dyDescent="0.2">
      <c r="B8284" s="236"/>
      <c r="C8284" s="236"/>
      <c r="D8284" s="236"/>
    </row>
    <row r="8285" spans="2:4" ht="12.75" customHeight="1" x14ac:dyDescent="0.2">
      <c r="B8285" s="236"/>
      <c r="C8285" s="236"/>
      <c r="D8285" s="236"/>
    </row>
    <row r="8286" spans="2:4" ht="12.75" customHeight="1" x14ac:dyDescent="0.2">
      <c r="B8286" s="236"/>
      <c r="C8286" s="236"/>
      <c r="D8286" s="236"/>
    </row>
    <row r="8287" spans="2:4" ht="12.75" customHeight="1" x14ac:dyDescent="0.2">
      <c r="B8287" s="236"/>
      <c r="C8287" s="236"/>
      <c r="D8287" s="236"/>
    </row>
    <row r="8288" spans="2:4" ht="12.75" customHeight="1" x14ac:dyDescent="0.2">
      <c r="B8288" s="236"/>
      <c r="C8288" s="236"/>
      <c r="D8288" s="236"/>
    </row>
    <row r="8289" spans="2:4" ht="12.75" customHeight="1" x14ac:dyDescent="0.2">
      <c r="B8289" s="236"/>
      <c r="C8289" s="236"/>
      <c r="D8289" s="236"/>
    </row>
    <row r="8290" spans="2:4" ht="12.75" customHeight="1" x14ac:dyDescent="0.2">
      <c r="B8290" s="236"/>
      <c r="C8290" s="236"/>
      <c r="D8290" s="236"/>
    </row>
    <row r="8291" spans="2:4" x14ac:dyDescent="0.2">
      <c r="B8291" s="236"/>
      <c r="C8291" s="236"/>
      <c r="D8291" s="236"/>
    </row>
    <row r="8292" spans="2:4" ht="12.75" customHeight="1" x14ac:dyDescent="0.2">
      <c r="B8292" s="236"/>
      <c r="C8292" s="236"/>
      <c r="D8292" s="236"/>
    </row>
    <row r="8293" spans="2:4" ht="12.75" customHeight="1" x14ac:dyDescent="0.2">
      <c r="B8293" s="236"/>
      <c r="C8293" s="236"/>
      <c r="D8293" s="236"/>
    </row>
    <row r="8294" spans="2:4" x14ac:dyDescent="0.2">
      <c r="B8294" s="236"/>
      <c r="C8294" s="236"/>
      <c r="D8294" s="236"/>
    </row>
    <row r="8295" spans="2:4" ht="12.75" customHeight="1" x14ac:dyDescent="0.2">
      <c r="B8295" s="236"/>
      <c r="C8295" s="236"/>
      <c r="D8295" s="236"/>
    </row>
    <row r="8296" spans="2:4" ht="12.75" customHeight="1" x14ac:dyDescent="0.2">
      <c r="B8296" s="236"/>
      <c r="C8296" s="236"/>
      <c r="D8296" s="236"/>
    </row>
    <row r="8297" spans="2:4" ht="12.75" customHeight="1" x14ac:dyDescent="0.2">
      <c r="B8297" s="236"/>
      <c r="C8297" s="236"/>
      <c r="D8297" s="236"/>
    </row>
    <row r="8298" spans="2:4" ht="12.75" customHeight="1" x14ac:dyDescent="0.2">
      <c r="B8298" s="236"/>
      <c r="C8298" s="236"/>
      <c r="D8298" s="236"/>
    </row>
    <row r="8299" spans="2:4" ht="12.75" customHeight="1" x14ac:dyDescent="0.2">
      <c r="B8299" s="236"/>
      <c r="C8299" s="236"/>
      <c r="D8299" s="236"/>
    </row>
    <row r="8300" spans="2:4" x14ac:dyDescent="0.2">
      <c r="B8300" s="236"/>
      <c r="C8300" s="236"/>
      <c r="D8300" s="236"/>
    </row>
    <row r="8301" spans="2:4" ht="12.75" customHeight="1" x14ac:dyDescent="0.2">
      <c r="B8301" s="236"/>
      <c r="C8301" s="236"/>
      <c r="D8301" s="236"/>
    </row>
    <row r="8302" spans="2:4" ht="12.75" customHeight="1" x14ac:dyDescent="0.2">
      <c r="B8302" s="236"/>
      <c r="C8302" s="236"/>
      <c r="D8302" s="236"/>
    </row>
    <row r="8303" spans="2:4" ht="12.75" customHeight="1" x14ac:dyDescent="0.2">
      <c r="B8303" s="236"/>
      <c r="C8303" s="236"/>
      <c r="D8303" s="236"/>
    </row>
    <row r="8304" spans="2:4" ht="12.75" customHeight="1" x14ac:dyDescent="0.2">
      <c r="B8304" s="236"/>
      <c r="C8304" s="236"/>
      <c r="D8304" s="236"/>
    </row>
    <row r="8305" spans="2:4" x14ac:dyDescent="0.2">
      <c r="B8305" s="236"/>
      <c r="C8305" s="236"/>
      <c r="D8305" s="236"/>
    </row>
    <row r="8306" spans="2:4" ht="12.75" customHeight="1" x14ac:dyDescent="0.2">
      <c r="B8306" s="236"/>
      <c r="C8306" s="236"/>
      <c r="D8306" s="236"/>
    </row>
    <row r="8307" spans="2:4" x14ac:dyDescent="0.2">
      <c r="B8307" s="236"/>
      <c r="C8307" s="236"/>
      <c r="D8307" s="236"/>
    </row>
    <row r="8308" spans="2:4" ht="12.75" customHeight="1" x14ac:dyDescent="0.2">
      <c r="B8308" s="236"/>
      <c r="C8308" s="236"/>
      <c r="D8308" s="236"/>
    </row>
    <row r="8309" spans="2:4" ht="12.75" customHeight="1" x14ac:dyDescent="0.2">
      <c r="B8309" s="236"/>
      <c r="C8309" s="236"/>
      <c r="D8309" s="236"/>
    </row>
    <row r="8310" spans="2:4" x14ac:dyDescent="0.2">
      <c r="B8310" s="236"/>
      <c r="C8310" s="236"/>
      <c r="D8310" s="236"/>
    </row>
    <row r="8311" spans="2:4" ht="12.75" customHeight="1" x14ac:dyDescent="0.2">
      <c r="B8311" s="236"/>
      <c r="C8311" s="236"/>
      <c r="D8311" s="236"/>
    </row>
    <row r="8312" spans="2:4" ht="12.75" customHeight="1" x14ac:dyDescent="0.2">
      <c r="B8312" s="236"/>
      <c r="C8312" s="236"/>
      <c r="D8312" s="236"/>
    </row>
    <row r="8313" spans="2:4" x14ac:dyDescent="0.2">
      <c r="B8313" s="236"/>
      <c r="C8313" s="236"/>
      <c r="D8313" s="236"/>
    </row>
    <row r="8314" spans="2:4" ht="12.75" customHeight="1" x14ac:dyDescent="0.2">
      <c r="B8314" s="236"/>
      <c r="C8314" s="236"/>
      <c r="D8314" s="236"/>
    </row>
    <row r="8315" spans="2:4" x14ac:dyDescent="0.2">
      <c r="B8315" s="236"/>
      <c r="C8315" s="236"/>
      <c r="D8315" s="236"/>
    </row>
    <row r="8316" spans="2:4" ht="12.75" customHeight="1" x14ac:dyDescent="0.2">
      <c r="B8316" s="236"/>
      <c r="C8316" s="236"/>
      <c r="D8316" s="236"/>
    </row>
    <row r="8317" spans="2:4" ht="12.75" customHeight="1" x14ac:dyDescent="0.2">
      <c r="B8317" s="236"/>
      <c r="C8317" s="236"/>
      <c r="D8317" s="236"/>
    </row>
    <row r="8318" spans="2:4" ht="12.75" customHeight="1" x14ac:dyDescent="0.2">
      <c r="B8318" s="236"/>
      <c r="C8318" s="236"/>
      <c r="D8318" s="236"/>
    </row>
    <row r="8319" spans="2:4" ht="12.75" customHeight="1" x14ac:dyDescent="0.2">
      <c r="B8319" s="236"/>
      <c r="C8319" s="236"/>
      <c r="D8319" s="236"/>
    </row>
    <row r="8320" spans="2:4" ht="12.75" customHeight="1" x14ac:dyDescent="0.2">
      <c r="B8320" s="236"/>
      <c r="C8320" s="236"/>
      <c r="D8320" s="236"/>
    </row>
    <row r="8321" spans="2:4" ht="12.75" customHeight="1" x14ac:dyDescent="0.2">
      <c r="B8321" s="236"/>
      <c r="C8321" s="236"/>
      <c r="D8321" s="236"/>
    </row>
    <row r="8322" spans="2:4" ht="12.75" customHeight="1" x14ac:dyDescent="0.2">
      <c r="B8322" s="236"/>
      <c r="C8322" s="236"/>
      <c r="D8322" s="236"/>
    </row>
    <row r="8323" spans="2:4" ht="12.75" customHeight="1" x14ac:dyDescent="0.2">
      <c r="B8323" s="236"/>
      <c r="C8323" s="236"/>
      <c r="D8323" s="236"/>
    </row>
    <row r="8324" spans="2:4" ht="12.75" customHeight="1" x14ac:dyDescent="0.2">
      <c r="B8324" s="236"/>
      <c r="C8324" s="236"/>
      <c r="D8324" s="236"/>
    </row>
    <row r="8325" spans="2:4" ht="12.75" customHeight="1" x14ac:dyDescent="0.2">
      <c r="B8325" s="236"/>
      <c r="C8325" s="236"/>
      <c r="D8325" s="236"/>
    </row>
    <row r="8326" spans="2:4" ht="12.75" customHeight="1" x14ac:dyDescent="0.2">
      <c r="B8326" s="236"/>
      <c r="C8326" s="236"/>
      <c r="D8326" s="236"/>
    </row>
    <row r="8327" spans="2:4" ht="12.75" customHeight="1" x14ac:dyDescent="0.2">
      <c r="B8327" s="236"/>
      <c r="C8327" s="236"/>
      <c r="D8327" s="236"/>
    </row>
    <row r="8328" spans="2:4" ht="12.75" customHeight="1" x14ac:dyDescent="0.2">
      <c r="B8328" s="236"/>
      <c r="C8328" s="236"/>
      <c r="D8328" s="236"/>
    </row>
    <row r="8329" spans="2:4" ht="12.75" customHeight="1" x14ac:dyDescent="0.2">
      <c r="B8329" s="236"/>
      <c r="C8329" s="236"/>
      <c r="D8329" s="236"/>
    </row>
    <row r="8330" spans="2:4" ht="12.75" customHeight="1" x14ac:dyDescent="0.2">
      <c r="B8330" s="236"/>
      <c r="C8330" s="236"/>
      <c r="D8330" s="236"/>
    </row>
    <row r="8331" spans="2:4" x14ac:dyDescent="0.2">
      <c r="B8331" s="236"/>
      <c r="C8331" s="236"/>
      <c r="D8331" s="236"/>
    </row>
    <row r="8332" spans="2:4" ht="12.75" customHeight="1" x14ac:dyDescent="0.2">
      <c r="B8332" s="236"/>
      <c r="C8332" s="236"/>
      <c r="D8332" s="236"/>
    </row>
    <row r="8333" spans="2:4" ht="12.75" customHeight="1" x14ac:dyDescent="0.2">
      <c r="B8333" s="236"/>
      <c r="C8333" s="236"/>
      <c r="D8333" s="236"/>
    </row>
    <row r="8334" spans="2:4" x14ac:dyDescent="0.2">
      <c r="B8334" s="236"/>
      <c r="C8334" s="236"/>
      <c r="D8334" s="236"/>
    </row>
    <row r="8335" spans="2:4" x14ac:dyDescent="0.2">
      <c r="B8335" s="236"/>
      <c r="C8335" s="236"/>
      <c r="D8335" s="236"/>
    </row>
    <row r="8336" spans="2:4" ht="12.75" customHeight="1" x14ac:dyDescent="0.2">
      <c r="B8336" s="236"/>
      <c r="C8336" s="236"/>
      <c r="D8336" s="236"/>
    </row>
    <row r="8337" spans="2:4" x14ac:dyDescent="0.2">
      <c r="B8337" s="236"/>
      <c r="C8337" s="236"/>
      <c r="D8337" s="236"/>
    </row>
    <row r="8338" spans="2:4" ht="12.75" customHeight="1" x14ac:dyDescent="0.2">
      <c r="B8338" s="236"/>
      <c r="C8338" s="236"/>
      <c r="D8338" s="236"/>
    </row>
    <row r="8339" spans="2:4" x14ac:dyDescent="0.2">
      <c r="B8339" s="236"/>
      <c r="C8339" s="236"/>
      <c r="D8339" s="236"/>
    </row>
    <row r="8340" spans="2:4" ht="12.75" customHeight="1" x14ac:dyDescent="0.2">
      <c r="B8340" s="236"/>
      <c r="C8340" s="236"/>
      <c r="D8340" s="236"/>
    </row>
    <row r="8341" spans="2:4" ht="12.75" customHeight="1" x14ac:dyDescent="0.2">
      <c r="B8341" s="236"/>
      <c r="C8341" s="236"/>
      <c r="D8341" s="236"/>
    </row>
    <row r="8342" spans="2:4" x14ac:dyDescent="0.2">
      <c r="B8342" s="236"/>
      <c r="C8342" s="236"/>
      <c r="D8342" s="236"/>
    </row>
    <row r="8343" spans="2:4" ht="12.75" customHeight="1" x14ac:dyDescent="0.2">
      <c r="B8343" s="236"/>
      <c r="C8343" s="236"/>
      <c r="D8343" s="236"/>
    </row>
    <row r="8344" spans="2:4" x14ac:dyDescent="0.2">
      <c r="B8344" s="236"/>
      <c r="C8344" s="236"/>
      <c r="D8344" s="236"/>
    </row>
    <row r="8345" spans="2:4" ht="12.75" customHeight="1" x14ac:dyDescent="0.2">
      <c r="B8345" s="236"/>
      <c r="C8345" s="236"/>
      <c r="D8345" s="236"/>
    </row>
    <row r="8346" spans="2:4" ht="12.75" customHeight="1" x14ac:dyDescent="0.2">
      <c r="B8346" s="236"/>
      <c r="C8346" s="236"/>
      <c r="D8346" s="236"/>
    </row>
    <row r="8347" spans="2:4" x14ac:dyDescent="0.2">
      <c r="B8347" s="236"/>
      <c r="C8347" s="236"/>
      <c r="D8347" s="236"/>
    </row>
    <row r="8348" spans="2:4" ht="12.75" customHeight="1" x14ac:dyDescent="0.2">
      <c r="B8348" s="236"/>
      <c r="C8348" s="236"/>
      <c r="D8348" s="236"/>
    </row>
    <row r="8349" spans="2:4" ht="12.75" customHeight="1" x14ac:dyDescent="0.2">
      <c r="B8349" s="236"/>
      <c r="C8349" s="236"/>
      <c r="D8349" s="236"/>
    </row>
    <row r="8350" spans="2:4" ht="12.75" customHeight="1" x14ac:dyDescent="0.2">
      <c r="B8350" s="236"/>
      <c r="C8350" s="236"/>
      <c r="D8350" s="236"/>
    </row>
    <row r="8351" spans="2:4" ht="12.75" customHeight="1" x14ac:dyDescent="0.2">
      <c r="B8351" s="236"/>
      <c r="C8351" s="236"/>
      <c r="D8351" s="236"/>
    </row>
    <row r="8352" spans="2:4" ht="12.75" customHeight="1" x14ac:dyDescent="0.2">
      <c r="B8352" s="236"/>
      <c r="C8352" s="236"/>
      <c r="D8352" s="236"/>
    </row>
    <row r="8353" spans="2:4" ht="12.75" customHeight="1" x14ac:dyDescent="0.2">
      <c r="B8353" s="236"/>
      <c r="C8353" s="236"/>
      <c r="D8353" s="236"/>
    </row>
    <row r="8354" spans="2:4" ht="12.75" customHeight="1" x14ac:dyDescent="0.2">
      <c r="B8354" s="236"/>
      <c r="C8354" s="236"/>
      <c r="D8354" s="236"/>
    </row>
    <row r="8355" spans="2:4" ht="12.75" customHeight="1" x14ac:dyDescent="0.2">
      <c r="B8355" s="236"/>
      <c r="C8355" s="236"/>
      <c r="D8355" s="236"/>
    </row>
    <row r="8356" spans="2:4" x14ac:dyDescent="0.2">
      <c r="B8356" s="236"/>
      <c r="C8356" s="236"/>
      <c r="D8356" s="236"/>
    </row>
    <row r="8357" spans="2:4" ht="12.75" customHeight="1" x14ac:dyDescent="0.2">
      <c r="B8357" s="236"/>
      <c r="C8357" s="236"/>
      <c r="D8357" s="236"/>
    </row>
    <row r="8358" spans="2:4" x14ac:dyDescent="0.2">
      <c r="B8358" s="236"/>
      <c r="C8358" s="236"/>
      <c r="D8358" s="236"/>
    </row>
    <row r="8359" spans="2:4" ht="12.75" customHeight="1" x14ac:dyDescent="0.2">
      <c r="B8359" s="236"/>
      <c r="C8359" s="236"/>
      <c r="D8359" s="236"/>
    </row>
    <row r="8360" spans="2:4" ht="12.75" customHeight="1" x14ac:dyDescent="0.2">
      <c r="B8360" s="236"/>
      <c r="C8360" s="236"/>
      <c r="D8360" s="236"/>
    </row>
    <row r="8361" spans="2:4" x14ac:dyDescent="0.2">
      <c r="B8361" s="236"/>
      <c r="C8361" s="236"/>
      <c r="D8361" s="236"/>
    </row>
    <row r="8362" spans="2:4" x14ac:dyDescent="0.2">
      <c r="B8362" s="236"/>
      <c r="C8362" s="236"/>
      <c r="D8362" s="236"/>
    </row>
    <row r="8363" spans="2:4" ht="12.75" customHeight="1" x14ac:dyDescent="0.2">
      <c r="B8363" s="236"/>
      <c r="C8363" s="236"/>
      <c r="D8363" s="236"/>
    </row>
    <row r="8364" spans="2:4" x14ac:dyDescent="0.2">
      <c r="B8364" s="236"/>
      <c r="C8364" s="236"/>
      <c r="D8364" s="236"/>
    </row>
    <row r="8365" spans="2:4" ht="12.75" customHeight="1" x14ac:dyDescent="0.2">
      <c r="B8365" s="236"/>
      <c r="C8365" s="236"/>
      <c r="D8365" s="236"/>
    </row>
    <row r="8366" spans="2:4" ht="12.75" customHeight="1" x14ac:dyDescent="0.2">
      <c r="B8366" s="236"/>
      <c r="C8366" s="236"/>
      <c r="D8366" s="236"/>
    </row>
    <row r="8367" spans="2:4" x14ac:dyDescent="0.2">
      <c r="B8367" s="236"/>
      <c r="C8367" s="236"/>
      <c r="D8367" s="236"/>
    </row>
    <row r="8368" spans="2:4" ht="12.75" customHeight="1" x14ac:dyDescent="0.2">
      <c r="B8368" s="236"/>
      <c r="C8368" s="236"/>
      <c r="D8368" s="236"/>
    </row>
    <row r="8369" spans="2:4" x14ac:dyDescent="0.2">
      <c r="B8369" s="236"/>
      <c r="C8369" s="236"/>
      <c r="D8369" s="236"/>
    </row>
    <row r="8370" spans="2:4" ht="12.75" customHeight="1" x14ac:dyDescent="0.2">
      <c r="B8370" s="236"/>
      <c r="C8370" s="236"/>
      <c r="D8370" s="236"/>
    </row>
    <row r="8371" spans="2:4" ht="12.75" customHeight="1" x14ac:dyDescent="0.2">
      <c r="B8371" s="236"/>
      <c r="C8371" s="236"/>
      <c r="D8371" s="236"/>
    </row>
    <row r="8372" spans="2:4" ht="12.75" customHeight="1" x14ac:dyDescent="0.2">
      <c r="B8372" s="236"/>
      <c r="C8372" s="236"/>
      <c r="D8372" s="236"/>
    </row>
    <row r="8373" spans="2:4" ht="12.75" customHeight="1" x14ac:dyDescent="0.2">
      <c r="B8373" s="236"/>
      <c r="C8373" s="236"/>
      <c r="D8373" s="236"/>
    </row>
    <row r="8374" spans="2:4" ht="12.75" customHeight="1" x14ac:dyDescent="0.2">
      <c r="B8374" s="236"/>
      <c r="C8374" s="236"/>
      <c r="D8374" s="236"/>
    </row>
    <row r="8375" spans="2:4" ht="12.75" customHeight="1" x14ac:dyDescent="0.2">
      <c r="B8375" s="236"/>
      <c r="C8375" s="236"/>
      <c r="D8375" s="236"/>
    </row>
    <row r="8376" spans="2:4" x14ac:dyDescent="0.2">
      <c r="B8376" s="236"/>
      <c r="C8376" s="236"/>
      <c r="D8376" s="236"/>
    </row>
    <row r="8377" spans="2:4" x14ac:dyDescent="0.2">
      <c r="B8377" s="236"/>
      <c r="C8377" s="236"/>
      <c r="D8377" s="236"/>
    </row>
    <row r="8378" spans="2:4" ht="12.75" customHeight="1" x14ac:dyDescent="0.2">
      <c r="B8378" s="236"/>
      <c r="C8378" s="236"/>
      <c r="D8378" s="236"/>
    </row>
    <row r="8379" spans="2:4" x14ac:dyDescent="0.2">
      <c r="B8379" s="236"/>
      <c r="C8379" s="236"/>
      <c r="D8379" s="236"/>
    </row>
    <row r="8380" spans="2:4" ht="12.75" customHeight="1" x14ac:dyDescent="0.2">
      <c r="B8380" s="236"/>
      <c r="C8380" s="236"/>
      <c r="D8380" s="236"/>
    </row>
    <row r="8381" spans="2:4" ht="12.75" customHeight="1" x14ac:dyDescent="0.2">
      <c r="B8381" s="236"/>
      <c r="C8381" s="236"/>
      <c r="D8381" s="236"/>
    </row>
    <row r="8382" spans="2:4" x14ac:dyDescent="0.2">
      <c r="B8382" s="236"/>
      <c r="C8382" s="236"/>
      <c r="D8382" s="236"/>
    </row>
    <row r="8383" spans="2:4" ht="12.75" customHeight="1" x14ac:dyDescent="0.2">
      <c r="B8383" s="236"/>
      <c r="C8383" s="236"/>
      <c r="D8383" s="236"/>
    </row>
    <row r="8384" spans="2:4" ht="12.75" customHeight="1" x14ac:dyDescent="0.2">
      <c r="B8384" s="236"/>
      <c r="C8384" s="236"/>
      <c r="D8384" s="236"/>
    </row>
    <row r="8385" spans="2:4" ht="12.75" customHeight="1" x14ac:dyDescent="0.2">
      <c r="B8385" s="236"/>
      <c r="C8385" s="236"/>
      <c r="D8385" s="236"/>
    </row>
    <row r="8386" spans="2:4" ht="12.75" customHeight="1" x14ac:dyDescent="0.2">
      <c r="B8386" s="236"/>
      <c r="C8386" s="236"/>
      <c r="D8386" s="236"/>
    </row>
    <row r="8387" spans="2:4" ht="12.75" customHeight="1" x14ac:dyDescent="0.2">
      <c r="B8387" s="236"/>
      <c r="C8387" s="236"/>
      <c r="D8387" s="236"/>
    </row>
    <row r="8388" spans="2:4" ht="12.75" customHeight="1" x14ac:dyDescent="0.2">
      <c r="B8388" s="236"/>
      <c r="C8388" s="236"/>
      <c r="D8388" s="236"/>
    </row>
    <row r="8389" spans="2:4" ht="12.75" customHeight="1" x14ac:dyDescent="0.2">
      <c r="B8389" s="236"/>
      <c r="C8389" s="236"/>
      <c r="D8389" s="236"/>
    </row>
    <row r="8390" spans="2:4" x14ac:dyDescent="0.2">
      <c r="B8390" s="236"/>
      <c r="C8390" s="236"/>
      <c r="D8390" s="236"/>
    </row>
    <row r="8391" spans="2:4" ht="12.75" customHeight="1" x14ac:dyDescent="0.2">
      <c r="B8391" s="236"/>
      <c r="C8391" s="236"/>
      <c r="D8391" s="236"/>
    </row>
    <row r="8392" spans="2:4" x14ac:dyDescent="0.2">
      <c r="B8392" s="236"/>
      <c r="C8392" s="236"/>
      <c r="D8392" s="236"/>
    </row>
    <row r="8393" spans="2:4" ht="12.75" customHeight="1" x14ac:dyDescent="0.2">
      <c r="B8393" s="236"/>
      <c r="C8393" s="236"/>
      <c r="D8393" s="236"/>
    </row>
    <row r="8394" spans="2:4" ht="12.75" customHeight="1" x14ac:dyDescent="0.2">
      <c r="B8394" s="236"/>
      <c r="C8394" s="236"/>
      <c r="D8394" s="236"/>
    </row>
    <row r="8395" spans="2:4" ht="12.75" customHeight="1" x14ac:dyDescent="0.2">
      <c r="B8395" s="236"/>
      <c r="C8395" s="236"/>
      <c r="D8395" s="236"/>
    </row>
    <row r="8396" spans="2:4" ht="12.75" customHeight="1" x14ac:dyDescent="0.2">
      <c r="B8396" s="236"/>
      <c r="C8396" s="236"/>
      <c r="D8396" s="236"/>
    </row>
    <row r="8397" spans="2:4" ht="12.75" customHeight="1" x14ac:dyDescent="0.2">
      <c r="B8397" s="236"/>
      <c r="C8397" s="236"/>
      <c r="D8397" s="236"/>
    </row>
    <row r="8398" spans="2:4" ht="12.75" customHeight="1" x14ac:dyDescent="0.2">
      <c r="B8398" s="236"/>
      <c r="C8398" s="236"/>
      <c r="D8398" s="236"/>
    </row>
    <row r="8399" spans="2:4" x14ac:dyDescent="0.2">
      <c r="B8399" s="236"/>
      <c r="C8399" s="236"/>
      <c r="D8399" s="236"/>
    </row>
    <row r="8400" spans="2:4" ht="12.75" customHeight="1" x14ac:dyDescent="0.2">
      <c r="B8400" s="236"/>
      <c r="C8400" s="236"/>
      <c r="D8400" s="236"/>
    </row>
    <row r="8401" spans="2:4" ht="12.75" customHeight="1" x14ac:dyDescent="0.2">
      <c r="B8401" s="236"/>
      <c r="C8401" s="236"/>
      <c r="D8401" s="236"/>
    </row>
    <row r="8402" spans="2:4" ht="12.75" customHeight="1" x14ac:dyDescent="0.2">
      <c r="B8402" s="236"/>
      <c r="C8402" s="236"/>
      <c r="D8402" s="236"/>
    </row>
    <row r="8403" spans="2:4" ht="12.75" customHeight="1" x14ac:dyDescent="0.2">
      <c r="B8403" s="236"/>
      <c r="C8403" s="236"/>
      <c r="D8403" s="236"/>
    </row>
    <row r="8404" spans="2:4" x14ac:dyDescent="0.2">
      <c r="B8404" s="236"/>
      <c r="C8404" s="236"/>
      <c r="D8404" s="236"/>
    </row>
    <row r="8405" spans="2:4" ht="12.75" customHeight="1" x14ac:dyDescent="0.2">
      <c r="B8405" s="236"/>
      <c r="C8405" s="236"/>
      <c r="D8405" s="236"/>
    </row>
    <row r="8406" spans="2:4" x14ac:dyDescent="0.2">
      <c r="B8406" s="236"/>
      <c r="C8406" s="236"/>
      <c r="D8406" s="236"/>
    </row>
    <row r="8407" spans="2:4" ht="12.75" customHeight="1" x14ac:dyDescent="0.2">
      <c r="B8407" s="236"/>
      <c r="C8407" s="236"/>
      <c r="D8407" s="236"/>
    </row>
    <row r="8408" spans="2:4" ht="12.75" customHeight="1" x14ac:dyDescent="0.2">
      <c r="B8408" s="236"/>
      <c r="C8408" s="236"/>
      <c r="D8408" s="236"/>
    </row>
    <row r="8409" spans="2:4" x14ac:dyDescent="0.2">
      <c r="B8409" s="236"/>
      <c r="C8409" s="236"/>
      <c r="D8409" s="236"/>
    </row>
    <row r="8410" spans="2:4" ht="12.75" customHeight="1" x14ac:dyDescent="0.2">
      <c r="B8410" s="236"/>
      <c r="C8410" s="236"/>
      <c r="D8410" s="236"/>
    </row>
    <row r="8411" spans="2:4" ht="12.75" customHeight="1" x14ac:dyDescent="0.2">
      <c r="B8411" s="236"/>
      <c r="C8411" s="236"/>
      <c r="D8411" s="236"/>
    </row>
    <row r="8412" spans="2:4" ht="12.75" customHeight="1" x14ac:dyDescent="0.2">
      <c r="B8412" s="236"/>
      <c r="C8412" s="236"/>
      <c r="D8412" s="236"/>
    </row>
    <row r="8413" spans="2:4" x14ac:dyDescent="0.2">
      <c r="B8413" s="236"/>
      <c r="C8413" s="236"/>
      <c r="D8413" s="236"/>
    </row>
    <row r="8414" spans="2:4" ht="12.75" customHeight="1" x14ac:dyDescent="0.2">
      <c r="B8414" s="236"/>
      <c r="C8414" s="236"/>
      <c r="D8414" s="236"/>
    </row>
    <row r="8415" spans="2:4" ht="12.75" customHeight="1" x14ac:dyDescent="0.2">
      <c r="B8415" s="236"/>
      <c r="C8415" s="236"/>
      <c r="D8415" s="236"/>
    </row>
    <row r="8416" spans="2:4" ht="12.75" customHeight="1" x14ac:dyDescent="0.2">
      <c r="B8416" s="236"/>
      <c r="C8416" s="236"/>
      <c r="D8416" s="236"/>
    </row>
    <row r="8417" spans="2:4" ht="12.75" customHeight="1" x14ac:dyDescent="0.2">
      <c r="B8417" s="236"/>
      <c r="C8417" s="236"/>
      <c r="D8417" s="236"/>
    </row>
    <row r="8418" spans="2:4" x14ac:dyDescent="0.2">
      <c r="B8418" s="236"/>
      <c r="C8418" s="236"/>
      <c r="D8418" s="236"/>
    </row>
    <row r="8419" spans="2:4" ht="12.75" customHeight="1" x14ac:dyDescent="0.2">
      <c r="B8419" s="236"/>
      <c r="C8419" s="236"/>
      <c r="D8419" s="236"/>
    </row>
    <row r="8420" spans="2:4" ht="12.75" customHeight="1" x14ac:dyDescent="0.2">
      <c r="B8420" s="236"/>
      <c r="C8420" s="236"/>
      <c r="D8420" s="236"/>
    </row>
    <row r="8421" spans="2:4" x14ac:dyDescent="0.2">
      <c r="B8421" s="236"/>
      <c r="C8421" s="236"/>
      <c r="D8421" s="236"/>
    </row>
    <row r="8422" spans="2:4" ht="12.75" customHeight="1" x14ac:dyDescent="0.2">
      <c r="B8422" s="236"/>
      <c r="C8422" s="236"/>
      <c r="D8422" s="236"/>
    </row>
    <row r="8423" spans="2:4" ht="12.75" customHeight="1" x14ac:dyDescent="0.2">
      <c r="B8423" s="236"/>
      <c r="C8423" s="236"/>
      <c r="D8423" s="236"/>
    </row>
    <row r="8424" spans="2:4" x14ac:dyDescent="0.2">
      <c r="B8424" s="236"/>
      <c r="C8424" s="236"/>
      <c r="D8424" s="236"/>
    </row>
    <row r="8425" spans="2:4" ht="12.75" customHeight="1" x14ac:dyDescent="0.2">
      <c r="B8425" s="236"/>
      <c r="C8425" s="236"/>
      <c r="D8425" s="236"/>
    </row>
    <row r="8426" spans="2:4" x14ac:dyDescent="0.2">
      <c r="B8426" s="236"/>
      <c r="C8426" s="236"/>
      <c r="D8426" s="236"/>
    </row>
    <row r="8427" spans="2:4" ht="12.75" customHeight="1" x14ac:dyDescent="0.2">
      <c r="B8427" s="236"/>
      <c r="C8427" s="236"/>
      <c r="D8427" s="236"/>
    </row>
    <row r="8428" spans="2:4" ht="12.75" customHeight="1" x14ac:dyDescent="0.2">
      <c r="B8428" s="236"/>
      <c r="C8428" s="236"/>
      <c r="D8428" s="236"/>
    </row>
    <row r="8429" spans="2:4" ht="12.75" customHeight="1" x14ac:dyDescent="0.2">
      <c r="B8429" s="236"/>
      <c r="C8429" s="236"/>
      <c r="D8429" s="236"/>
    </row>
    <row r="8430" spans="2:4" ht="12.75" customHeight="1" x14ac:dyDescent="0.2">
      <c r="B8430" s="236"/>
      <c r="C8430" s="236"/>
      <c r="D8430" s="236"/>
    </row>
    <row r="8431" spans="2:4" x14ac:dyDescent="0.2">
      <c r="B8431" s="236"/>
      <c r="C8431" s="236"/>
      <c r="D8431" s="236"/>
    </row>
    <row r="8432" spans="2:4" ht="12.75" customHeight="1" x14ac:dyDescent="0.2">
      <c r="B8432" s="236"/>
      <c r="C8432" s="236"/>
      <c r="D8432" s="236"/>
    </row>
    <row r="8433" spans="2:4" ht="12.75" customHeight="1" x14ac:dyDescent="0.2">
      <c r="B8433" s="236"/>
      <c r="C8433" s="236"/>
      <c r="D8433" s="236"/>
    </row>
    <row r="8434" spans="2:4" ht="12.75" customHeight="1" x14ac:dyDescent="0.2">
      <c r="B8434" s="236"/>
      <c r="C8434" s="236"/>
      <c r="D8434" s="236"/>
    </row>
    <row r="8435" spans="2:4" ht="12.75" customHeight="1" x14ac:dyDescent="0.2">
      <c r="B8435" s="236"/>
      <c r="C8435" s="236"/>
      <c r="D8435" s="236"/>
    </row>
    <row r="8436" spans="2:4" ht="12.75" customHeight="1" x14ac:dyDescent="0.2">
      <c r="B8436" s="236"/>
      <c r="C8436" s="236"/>
      <c r="D8436" s="236"/>
    </row>
    <row r="8437" spans="2:4" ht="12.75" customHeight="1" x14ac:dyDescent="0.2">
      <c r="B8437" s="236"/>
      <c r="C8437" s="236"/>
      <c r="D8437" s="236"/>
    </row>
    <row r="8438" spans="2:4" ht="12.75" customHeight="1" x14ac:dyDescent="0.2">
      <c r="B8438" s="236"/>
      <c r="C8438" s="236"/>
      <c r="D8438" s="236"/>
    </row>
    <row r="8439" spans="2:4" ht="12.75" customHeight="1" x14ac:dyDescent="0.2">
      <c r="B8439" s="236"/>
      <c r="C8439" s="236"/>
      <c r="D8439" s="236"/>
    </row>
    <row r="8440" spans="2:4" ht="12.75" customHeight="1" x14ac:dyDescent="0.2">
      <c r="B8440" s="236"/>
      <c r="C8440" s="236"/>
      <c r="D8440" s="236"/>
    </row>
    <row r="8441" spans="2:4" ht="12.75" customHeight="1" x14ac:dyDescent="0.2">
      <c r="B8441" s="236"/>
      <c r="C8441" s="236"/>
      <c r="D8441" s="236"/>
    </row>
    <row r="8442" spans="2:4" ht="12.75" customHeight="1" x14ac:dyDescent="0.2">
      <c r="B8442" s="236"/>
      <c r="C8442" s="236"/>
      <c r="D8442" s="236"/>
    </row>
    <row r="8443" spans="2:4" ht="12.75" customHeight="1" x14ac:dyDescent="0.2">
      <c r="B8443" s="236"/>
      <c r="C8443" s="236"/>
      <c r="D8443" s="236"/>
    </row>
    <row r="8444" spans="2:4" ht="12.75" customHeight="1" x14ac:dyDescent="0.2">
      <c r="B8444" s="236"/>
      <c r="C8444" s="236"/>
      <c r="D8444" s="236"/>
    </row>
    <row r="8445" spans="2:4" ht="12.75" customHeight="1" x14ac:dyDescent="0.2">
      <c r="B8445" s="236"/>
      <c r="C8445" s="236"/>
      <c r="D8445" s="236"/>
    </row>
    <row r="8446" spans="2:4" ht="12.75" customHeight="1" x14ac:dyDescent="0.2">
      <c r="B8446" s="236"/>
      <c r="C8446" s="236"/>
      <c r="D8446" s="236"/>
    </row>
    <row r="8447" spans="2:4" ht="12.75" customHeight="1" x14ac:dyDescent="0.2">
      <c r="B8447" s="236"/>
      <c r="C8447" s="236"/>
      <c r="D8447" s="236"/>
    </row>
    <row r="8448" spans="2:4" ht="12.75" customHeight="1" x14ac:dyDescent="0.2">
      <c r="B8448" s="236"/>
      <c r="C8448" s="236"/>
      <c r="D8448" s="236"/>
    </row>
    <row r="8449" spans="2:4" ht="12.75" customHeight="1" x14ac:dyDescent="0.2">
      <c r="B8449" s="236"/>
      <c r="C8449" s="236"/>
      <c r="D8449" s="236"/>
    </row>
    <row r="8450" spans="2:4" ht="12.75" customHeight="1" x14ac:dyDescent="0.2">
      <c r="B8450" s="236"/>
      <c r="C8450" s="236"/>
      <c r="D8450" s="236"/>
    </row>
    <row r="8451" spans="2:4" ht="12.75" customHeight="1" x14ac:dyDescent="0.2">
      <c r="B8451" s="236"/>
      <c r="C8451" s="236"/>
      <c r="D8451" s="236"/>
    </row>
    <row r="8452" spans="2:4" ht="12.75" customHeight="1" x14ac:dyDescent="0.2">
      <c r="B8452" s="236"/>
      <c r="C8452" s="236"/>
      <c r="D8452" s="236"/>
    </row>
    <row r="8453" spans="2:4" ht="12.75" customHeight="1" x14ac:dyDescent="0.2">
      <c r="B8453" s="236"/>
      <c r="C8453" s="236"/>
      <c r="D8453" s="236"/>
    </row>
    <row r="8454" spans="2:4" ht="12.75" customHeight="1" x14ac:dyDescent="0.2">
      <c r="B8454" s="236"/>
      <c r="C8454" s="236"/>
      <c r="D8454" s="236"/>
    </row>
    <row r="8455" spans="2:4" x14ac:dyDescent="0.2">
      <c r="B8455" s="236"/>
      <c r="C8455" s="236"/>
      <c r="D8455" s="236"/>
    </row>
    <row r="8456" spans="2:4" ht="12.75" customHeight="1" x14ac:dyDescent="0.2">
      <c r="B8456" s="236"/>
      <c r="C8456" s="236"/>
      <c r="D8456" s="236"/>
    </row>
    <row r="8457" spans="2:4" x14ac:dyDescent="0.2">
      <c r="B8457" s="236"/>
      <c r="C8457" s="236"/>
      <c r="D8457" s="236"/>
    </row>
    <row r="8458" spans="2:4" ht="12.75" customHeight="1" x14ac:dyDescent="0.2">
      <c r="B8458" s="236"/>
      <c r="C8458" s="236"/>
      <c r="D8458" s="236"/>
    </row>
    <row r="8459" spans="2:4" ht="12.75" customHeight="1" x14ac:dyDescent="0.2">
      <c r="B8459" s="236"/>
      <c r="C8459" s="236"/>
      <c r="D8459" s="236"/>
    </row>
    <row r="8460" spans="2:4" x14ac:dyDescent="0.2">
      <c r="B8460" s="236"/>
      <c r="C8460" s="236"/>
      <c r="D8460" s="236"/>
    </row>
    <row r="8461" spans="2:4" ht="12.75" customHeight="1" x14ac:dyDescent="0.2">
      <c r="B8461" s="236"/>
      <c r="C8461" s="236"/>
      <c r="D8461" s="236"/>
    </row>
    <row r="8462" spans="2:4" x14ac:dyDescent="0.2">
      <c r="B8462" s="236"/>
      <c r="C8462" s="236"/>
      <c r="D8462" s="236"/>
    </row>
    <row r="8463" spans="2:4" ht="12.75" customHeight="1" x14ac:dyDescent="0.2">
      <c r="B8463" s="236"/>
      <c r="C8463" s="236"/>
      <c r="D8463" s="236"/>
    </row>
    <row r="8464" spans="2:4" x14ac:dyDescent="0.2">
      <c r="B8464" s="236"/>
      <c r="C8464" s="236"/>
      <c r="D8464" s="236"/>
    </row>
    <row r="8465" spans="2:4" ht="12.75" customHeight="1" x14ac:dyDescent="0.2">
      <c r="B8465" s="236"/>
      <c r="C8465" s="236"/>
      <c r="D8465" s="236"/>
    </row>
    <row r="8466" spans="2:4" x14ac:dyDescent="0.2">
      <c r="B8466" s="236"/>
      <c r="C8466" s="236"/>
      <c r="D8466" s="236"/>
    </row>
    <row r="8467" spans="2:4" ht="12.75" customHeight="1" x14ac:dyDescent="0.2">
      <c r="B8467" s="236"/>
      <c r="C8467" s="236"/>
      <c r="D8467" s="236"/>
    </row>
    <row r="8468" spans="2:4" ht="12.75" customHeight="1" x14ac:dyDescent="0.2">
      <c r="B8468" s="236"/>
      <c r="C8468" s="236"/>
      <c r="D8468" s="236"/>
    </row>
    <row r="8469" spans="2:4" ht="12.75" customHeight="1" x14ac:dyDescent="0.2">
      <c r="B8469" s="236"/>
      <c r="C8469" s="236"/>
      <c r="D8469" s="236"/>
    </row>
    <row r="8470" spans="2:4" ht="12.75" customHeight="1" x14ac:dyDescent="0.2">
      <c r="B8470" s="236"/>
      <c r="C8470" s="236"/>
      <c r="D8470" s="236"/>
    </row>
    <row r="8471" spans="2:4" ht="12.75" customHeight="1" x14ac:dyDescent="0.2">
      <c r="B8471" s="236"/>
      <c r="C8471" s="236"/>
      <c r="D8471" s="236"/>
    </row>
    <row r="8472" spans="2:4" ht="12.75" customHeight="1" x14ac:dyDescent="0.2">
      <c r="B8472" s="236"/>
      <c r="C8472" s="236"/>
      <c r="D8472" s="236"/>
    </row>
    <row r="8473" spans="2:4" ht="12.75" customHeight="1" x14ac:dyDescent="0.2">
      <c r="B8473" s="236"/>
      <c r="C8473" s="236"/>
      <c r="D8473" s="236"/>
    </row>
    <row r="8474" spans="2:4" ht="12.75" customHeight="1" x14ac:dyDescent="0.2">
      <c r="B8474" s="236"/>
      <c r="C8474" s="236"/>
      <c r="D8474" s="236"/>
    </row>
    <row r="8475" spans="2:4" ht="12.75" customHeight="1" x14ac:dyDescent="0.2">
      <c r="B8475" s="236"/>
      <c r="C8475" s="236"/>
      <c r="D8475" s="236"/>
    </row>
    <row r="8476" spans="2:4" ht="12.75" customHeight="1" x14ac:dyDescent="0.2">
      <c r="B8476" s="236"/>
      <c r="C8476" s="236"/>
      <c r="D8476" s="236"/>
    </row>
    <row r="8477" spans="2:4" x14ac:dyDescent="0.2">
      <c r="B8477" s="236"/>
      <c r="C8477" s="236"/>
      <c r="D8477" s="236"/>
    </row>
    <row r="8478" spans="2:4" ht="12.75" customHeight="1" x14ac:dyDescent="0.2">
      <c r="B8478" s="236"/>
      <c r="C8478" s="236"/>
      <c r="D8478" s="236"/>
    </row>
    <row r="8479" spans="2:4" x14ac:dyDescent="0.2">
      <c r="B8479" s="236"/>
      <c r="C8479" s="236"/>
      <c r="D8479" s="236"/>
    </row>
    <row r="8480" spans="2:4" ht="12.75" customHeight="1" x14ac:dyDescent="0.2">
      <c r="B8480" s="236"/>
      <c r="C8480" s="236"/>
      <c r="D8480" s="236"/>
    </row>
    <row r="8481" spans="2:4" ht="12.75" customHeight="1" x14ac:dyDescent="0.2">
      <c r="B8481" s="236"/>
      <c r="C8481" s="236"/>
      <c r="D8481" s="236"/>
    </row>
    <row r="8482" spans="2:4" x14ac:dyDescent="0.2">
      <c r="B8482" s="236"/>
      <c r="C8482" s="236"/>
      <c r="D8482" s="236"/>
    </row>
    <row r="8483" spans="2:4" ht="12.75" customHeight="1" x14ac:dyDescent="0.2">
      <c r="B8483" s="236"/>
      <c r="C8483" s="236"/>
      <c r="D8483" s="236"/>
    </row>
    <row r="8484" spans="2:4" ht="12.75" customHeight="1" x14ac:dyDescent="0.2">
      <c r="B8484" s="236"/>
      <c r="C8484" s="236"/>
      <c r="D8484" s="236"/>
    </row>
    <row r="8485" spans="2:4" ht="12.75" customHeight="1" x14ac:dyDescent="0.2">
      <c r="B8485" s="236"/>
      <c r="C8485" s="236"/>
      <c r="D8485" s="236"/>
    </row>
    <row r="8486" spans="2:4" ht="12.75" customHeight="1" x14ac:dyDescent="0.2">
      <c r="B8486" s="236"/>
      <c r="C8486" s="236"/>
      <c r="D8486" s="236"/>
    </row>
    <row r="8487" spans="2:4" ht="12.75" customHeight="1" x14ac:dyDescent="0.2">
      <c r="B8487" s="236"/>
      <c r="C8487" s="236"/>
      <c r="D8487" s="236"/>
    </row>
    <row r="8488" spans="2:4" ht="12.75" customHeight="1" x14ac:dyDescent="0.2">
      <c r="B8488" s="236"/>
      <c r="C8488" s="236"/>
      <c r="D8488" s="236"/>
    </row>
    <row r="8489" spans="2:4" x14ac:dyDescent="0.2">
      <c r="B8489" s="236"/>
      <c r="C8489" s="236"/>
      <c r="D8489" s="236"/>
    </row>
    <row r="8490" spans="2:4" ht="12.75" customHeight="1" x14ac:dyDescent="0.2">
      <c r="B8490" s="236"/>
      <c r="C8490" s="236"/>
      <c r="D8490" s="236"/>
    </row>
    <row r="8491" spans="2:4" ht="12.75" customHeight="1" x14ac:dyDescent="0.2">
      <c r="B8491" s="236"/>
      <c r="C8491" s="236"/>
      <c r="D8491" s="236"/>
    </row>
    <row r="8492" spans="2:4" x14ac:dyDescent="0.2">
      <c r="B8492" s="236"/>
      <c r="C8492" s="236"/>
      <c r="D8492" s="236"/>
    </row>
    <row r="8493" spans="2:4" ht="12.75" customHeight="1" x14ac:dyDescent="0.2">
      <c r="B8493" s="236"/>
      <c r="C8493" s="236"/>
      <c r="D8493" s="236"/>
    </row>
    <row r="8494" spans="2:4" ht="12.75" customHeight="1" x14ac:dyDescent="0.2">
      <c r="B8494" s="236"/>
      <c r="C8494" s="236"/>
      <c r="D8494" s="236"/>
    </row>
    <row r="8495" spans="2:4" ht="12.75" customHeight="1" x14ac:dyDescent="0.2">
      <c r="B8495" s="236"/>
      <c r="C8495" s="236"/>
      <c r="D8495" s="236"/>
    </row>
    <row r="8496" spans="2:4" ht="12.75" customHeight="1" x14ac:dyDescent="0.2">
      <c r="B8496" s="236"/>
      <c r="C8496" s="236"/>
      <c r="D8496" s="236"/>
    </row>
    <row r="8497" spans="2:4" ht="12.75" customHeight="1" x14ac:dyDescent="0.2">
      <c r="B8497" s="236"/>
      <c r="C8497" s="236"/>
      <c r="D8497" s="236"/>
    </row>
    <row r="8498" spans="2:4" ht="12.75" customHeight="1" x14ac:dyDescent="0.2">
      <c r="B8498" s="236"/>
      <c r="C8498" s="236"/>
      <c r="D8498" s="236"/>
    </row>
    <row r="8499" spans="2:4" ht="12.75" customHeight="1" x14ac:dyDescent="0.2">
      <c r="B8499" s="236"/>
      <c r="C8499" s="236"/>
      <c r="D8499" s="236"/>
    </row>
    <row r="8500" spans="2:4" x14ac:dyDescent="0.2">
      <c r="B8500" s="236"/>
      <c r="C8500" s="236"/>
      <c r="D8500" s="236"/>
    </row>
    <row r="8501" spans="2:4" ht="12.75" customHeight="1" x14ac:dyDescent="0.2">
      <c r="B8501" s="236"/>
      <c r="C8501" s="236"/>
      <c r="D8501" s="236"/>
    </row>
    <row r="8502" spans="2:4" x14ac:dyDescent="0.2">
      <c r="B8502" s="236"/>
      <c r="C8502" s="236"/>
      <c r="D8502" s="236"/>
    </row>
    <row r="8503" spans="2:4" ht="12.75" customHeight="1" x14ac:dyDescent="0.2">
      <c r="B8503" s="236"/>
      <c r="C8503" s="236"/>
      <c r="D8503" s="236"/>
    </row>
    <row r="8504" spans="2:4" ht="12.75" customHeight="1" x14ac:dyDescent="0.2">
      <c r="B8504" s="236"/>
      <c r="C8504" s="236"/>
      <c r="D8504" s="236"/>
    </row>
    <row r="8505" spans="2:4" ht="12.75" customHeight="1" x14ac:dyDescent="0.2">
      <c r="B8505" s="236"/>
      <c r="C8505" s="236"/>
      <c r="D8505" s="236"/>
    </row>
    <row r="8506" spans="2:4" ht="12.75" customHeight="1" x14ac:dyDescent="0.2">
      <c r="B8506" s="236"/>
      <c r="C8506" s="236"/>
      <c r="D8506" s="236"/>
    </row>
    <row r="8507" spans="2:4" ht="12.75" customHeight="1" x14ac:dyDescent="0.2">
      <c r="B8507" s="236"/>
      <c r="C8507" s="236"/>
      <c r="D8507" s="236"/>
    </row>
    <row r="8508" spans="2:4" ht="12.75" customHeight="1" x14ac:dyDescent="0.2">
      <c r="B8508" s="236"/>
      <c r="C8508" s="236"/>
      <c r="D8508" s="236"/>
    </row>
    <row r="8509" spans="2:4" ht="12.75" customHeight="1" x14ac:dyDescent="0.2">
      <c r="B8509" s="236"/>
      <c r="C8509" s="236"/>
      <c r="D8509" s="236"/>
    </row>
    <row r="8510" spans="2:4" ht="12.75" customHeight="1" x14ac:dyDescent="0.2">
      <c r="B8510" s="236"/>
      <c r="C8510" s="236"/>
      <c r="D8510" s="236"/>
    </row>
    <row r="8511" spans="2:4" ht="12.75" customHeight="1" x14ac:dyDescent="0.2">
      <c r="B8511" s="236"/>
      <c r="C8511" s="236"/>
      <c r="D8511" s="236"/>
    </row>
    <row r="8512" spans="2:4" x14ac:dyDescent="0.2">
      <c r="B8512" s="236"/>
      <c r="C8512" s="236"/>
      <c r="D8512" s="236"/>
    </row>
    <row r="8513" spans="2:4" ht="12.75" customHeight="1" x14ac:dyDescent="0.2">
      <c r="B8513" s="236"/>
      <c r="C8513" s="236"/>
      <c r="D8513" s="236"/>
    </row>
    <row r="8514" spans="2:4" ht="12.75" customHeight="1" x14ac:dyDescent="0.2">
      <c r="B8514" s="236"/>
      <c r="C8514" s="236"/>
      <c r="D8514" s="236"/>
    </row>
    <row r="8515" spans="2:4" ht="12.75" customHeight="1" x14ac:dyDescent="0.2">
      <c r="B8515" s="236"/>
      <c r="C8515" s="236"/>
      <c r="D8515" s="236"/>
    </row>
    <row r="8516" spans="2:4" ht="12.75" customHeight="1" x14ac:dyDescent="0.2">
      <c r="B8516" s="236"/>
      <c r="C8516" s="236"/>
      <c r="D8516" s="236"/>
    </row>
    <row r="8517" spans="2:4" ht="12.75" customHeight="1" x14ac:dyDescent="0.2">
      <c r="B8517" s="236"/>
      <c r="C8517" s="236"/>
      <c r="D8517" s="236"/>
    </row>
    <row r="8518" spans="2:4" ht="12.75" customHeight="1" x14ac:dyDescent="0.2">
      <c r="B8518" s="236"/>
      <c r="C8518" s="236"/>
      <c r="D8518" s="236"/>
    </row>
    <row r="8519" spans="2:4" ht="12.75" customHeight="1" x14ac:dyDescent="0.2">
      <c r="B8519" s="236"/>
      <c r="C8519" s="236"/>
      <c r="D8519" s="236"/>
    </row>
    <row r="8520" spans="2:4" ht="12.75" customHeight="1" x14ac:dyDescent="0.2">
      <c r="B8520" s="236"/>
      <c r="C8520" s="236"/>
      <c r="D8520" s="236"/>
    </row>
    <row r="8521" spans="2:4" ht="12.75" customHeight="1" x14ac:dyDescent="0.2">
      <c r="B8521" s="236"/>
      <c r="C8521" s="236"/>
      <c r="D8521" s="236"/>
    </row>
    <row r="8522" spans="2:4" ht="12.75" customHeight="1" x14ac:dyDescent="0.2">
      <c r="B8522" s="236"/>
      <c r="C8522" s="236"/>
      <c r="D8522" s="236"/>
    </row>
    <row r="8523" spans="2:4" ht="12.75" customHeight="1" x14ac:dyDescent="0.2">
      <c r="B8523" s="236"/>
      <c r="C8523" s="236"/>
      <c r="D8523" s="236"/>
    </row>
    <row r="8524" spans="2:4" ht="12.75" customHeight="1" x14ac:dyDescent="0.2">
      <c r="B8524" s="236"/>
      <c r="C8524" s="236"/>
      <c r="D8524" s="236"/>
    </row>
    <row r="8525" spans="2:4" ht="12.75" customHeight="1" x14ac:dyDescent="0.2">
      <c r="B8525" s="236"/>
      <c r="C8525" s="236"/>
      <c r="D8525" s="236"/>
    </row>
    <row r="8526" spans="2:4" ht="12.75" customHeight="1" x14ac:dyDescent="0.2">
      <c r="B8526" s="236"/>
      <c r="C8526" s="236"/>
      <c r="D8526" s="236"/>
    </row>
    <row r="8527" spans="2:4" ht="12.75" customHeight="1" x14ac:dyDescent="0.2">
      <c r="B8527" s="236"/>
      <c r="C8527" s="236"/>
      <c r="D8527" s="236"/>
    </row>
    <row r="8528" spans="2:4" ht="12.75" customHeight="1" x14ac:dyDescent="0.2">
      <c r="B8528" s="236"/>
      <c r="C8528" s="236"/>
      <c r="D8528" s="236"/>
    </row>
    <row r="8529" spans="2:4" ht="12.75" customHeight="1" x14ac:dyDescent="0.2">
      <c r="B8529" s="236"/>
      <c r="C8529" s="236"/>
      <c r="D8529" s="236"/>
    </row>
    <row r="8530" spans="2:4" ht="12.75" customHeight="1" x14ac:dyDescent="0.2">
      <c r="B8530" s="236"/>
      <c r="C8530" s="236"/>
      <c r="D8530" s="236"/>
    </row>
    <row r="8531" spans="2:4" ht="12.75" customHeight="1" x14ac:dyDescent="0.2">
      <c r="B8531" s="236"/>
      <c r="C8531" s="236"/>
      <c r="D8531" s="236"/>
    </row>
    <row r="8532" spans="2:4" ht="12.75" customHeight="1" x14ac:dyDescent="0.2">
      <c r="B8532" s="236"/>
      <c r="C8532" s="236"/>
      <c r="D8532" s="236"/>
    </row>
    <row r="8533" spans="2:4" ht="12.75" customHeight="1" x14ac:dyDescent="0.2">
      <c r="B8533" s="236"/>
      <c r="C8533" s="236"/>
      <c r="D8533" s="236"/>
    </row>
    <row r="8534" spans="2:4" ht="12.75" customHeight="1" x14ac:dyDescent="0.2">
      <c r="B8534" s="236"/>
      <c r="C8534" s="236"/>
      <c r="D8534" s="236"/>
    </row>
    <row r="8535" spans="2:4" x14ac:dyDescent="0.2">
      <c r="B8535" s="236"/>
      <c r="C8535" s="236"/>
      <c r="D8535" s="236"/>
    </row>
    <row r="8536" spans="2:4" ht="12.75" customHeight="1" x14ac:dyDescent="0.2">
      <c r="B8536" s="236"/>
      <c r="C8536" s="236"/>
      <c r="D8536" s="236"/>
    </row>
    <row r="8537" spans="2:4" x14ac:dyDescent="0.2">
      <c r="B8537" s="236"/>
      <c r="C8537" s="236"/>
      <c r="D8537" s="236"/>
    </row>
    <row r="8538" spans="2:4" ht="12.75" customHeight="1" x14ac:dyDescent="0.2">
      <c r="B8538" s="236"/>
      <c r="C8538" s="236"/>
      <c r="D8538" s="236"/>
    </row>
    <row r="8539" spans="2:4" x14ac:dyDescent="0.2">
      <c r="B8539" s="236"/>
      <c r="C8539" s="236"/>
      <c r="D8539" s="236"/>
    </row>
    <row r="8540" spans="2:4" ht="12.75" customHeight="1" x14ac:dyDescent="0.2">
      <c r="B8540" s="236"/>
      <c r="C8540" s="236"/>
      <c r="D8540" s="236"/>
    </row>
    <row r="8541" spans="2:4" x14ac:dyDescent="0.2">
      <c r="B8541" s="236"/>
      <c r="C8541" s="236"/>
      <c r="D8541" s="236"/>
    </row>
    <row r="8542" spans="2:4" ht="12.75" customHeight="1" x14ac:dyDescent="0.2">
      <c r="B8542" s="236"/>
      <c r="C8542" s="236"/>
      <c r="D8542" s="236"/>
    </row>
    <row r="8543" spans="2:4" ht="12.75" customHeight="1" x14ac:dyDescent="0.2">
      <c r="B8543" s="236"/>
      <c r="C8543" s="236"/>
      <c r="D8543" s="236"/>
    </row>
    <row r="8544" spans="2:4" ht="12.75" customHeight="1" x14ac:dyDescent="0.2">
      <c r="B8544" s="236"/>
      <c r="C8544" s="236"/>
      <c r="D8544" s="236"/>
    </row>
    <row r="8545" spans="2:4" ht="12.75" customHeight="1" x14ac:dyDescent="0.2">
      <c r="B8545" s="236"/>
      <c r="C8545" s="236"/>
      <c r="D8545" s="236"/>
    </row>
    <row r="8546" spans="2:4" ht="12.75" customHeight="1" x14ac:dyDescent="0.2">
      <c r="B8546" s="236"/>
      <c r="C8546" s="236"/>
      <c r="D8546" s="236"/>
    </row>
    <row r="8547" spans="2:4" x14ac:dyDescent="0.2">
      <c r="B8547" s="236"/>
      <c r="C8547" s="236"/>
      <c r="D8547" s="236"/>
    </row>
    <row r="8548" spans="2:4" ht="12.75" customHeight="1" x14ac:dyDescent="0.2">
      <c r="B8548" s="236"/>
      <c r="C8548" s="236"/>
      <c r="D8548" s="236"/>
    </row>
    <row r="8549" spans="2:4" ht="12.75" customHeight="1" x14ac:dyDescent="0.2">
      <c r="B8549" s="236"/>
      <c r="C8549" s="236"/>
      <c r="D8549" s="236"/>
    </row>
    <row r="8550" spans="2:4" ht="12.75" customHeight="1" x14ac:dyDescent="0.2">
      <c r="B8550" s="236"/>
      <c r="C8550" s="236"/>
      <c r="D8550" s="236"/>
    </row>
    <row r="8551" spans="2:4" ht="12.75" customHeight="1" x14ac:dyDescent="0.2">
      <c r="B8551" s="236"/>
      <c r="C8551" s="236"/>
      <c r="D8551" s="236"/>
    </row>
    <row r="8552" spans="2:4" x14ac:dyDescent="0.2">
      <c r="B8552" s="236"/>
      <c r="C8552" s="236"/>
      <c r="D8552" s="236"/>
    </row>
    <row r="8553" spans="2:4" ht="12.75" customHeight="1" x14ac:dyDescent="0.2">
      <c r="B8553" s="236"/>
      <c r="C8553" s="236"/>
      <c r="D8553" s="236"/>
    </row>
    <row r="8554" spans="2:4" x14ac:dyDescent="0.2">
      <c r="B8554" s="236"/>
      <c r="C8554" s="236"/>
      <c r="D8554" s="236"/>
    </row>
    <row r="8555" spans="2:4" ht="12.75" customHeight="1" x14ac:dyDescent="0.2">
      <c r="B8555" s="236"/>
      <c r="C8555" s="236"/>
      <c r="D8555" s="236"/>
    </row>
    <row r="8556" spans="2:4" ht="12.75" customHeight="1" x14ac:dyDescent="0.2">
      <c r="B8556" s="236"/>
      <c r="C8556" s="236"/>
      <c r="D8556" s="236"/>
    </row>
    <row r="8557" spans="2:4" ht="12.75" customHeight="1" x14ac:dyDescent="0.2">
      <c r="B8557" s="236"/>
      <c r="C8557" s="236"/>
      <c r="D8557" s="236"/>
    </row>
    <row r="8558" spans="2:4" ht="12.75" customHeight="1" x14ac:dyDescent="0.2">
      <c r="B8558" s="236"/>
      <c r="C8558" s="236"/>
      <c r="D8558" s="236"/>
    </row>
    <row r="8559" spans="2:4" ht="12.75" customHeight="1" x14ac:dyDescent="0.2">
      <c r="B8559" s="236"/>
      <c r="C8559" s="236"/>
      <c r="D8559" s="236"/>
    </row>
    <row r="8560" spans="2:4" ht="12.75" customHeight="1" x14ac:dyDescent="0.2">
      <c r="B8560" s="236"/>
      <c r="C8560" s="236"/>
      <c r="D8560" s="236"/>
    </row>
    <row r="8561" spans="2:4" x14ac:dyDescent="0.2">
      <c r="B8561" s="236"/>
      <c r="C8561" s="236"/>
      <c r="D8561" s="236"/>
    </row>
    <row r="8562" spans="2:4" ht="12.75" customHeight="1" x14ac:dyDescent="0.2">
      <c r="B8562" s="236"/>
      <c r="C8562" s="236"/>
      <c r="D8562" s="236"/>
    </row>
    <row r="8563" spans="2:4" x14ac:dyDescent="0.2">
      <c r="B8563" s="236"/>
      <c r="C8563" s="236"/>
      <c r="D8563" s="236"/>
    </row>
    <row r="8564" spans="2:4" ht="12.75" customHeight="1" x14ac:dyDescent="0.2">
      <c r="B8564" s="236"/>
      <c r="C8564" s="236"/>
      <c r="D8564" s="236"/>
    </row>
    <row r="8565" spans="2:4" ht="12.75" customHeight="1" x14ac:dyDescent="0.2">
      <c r="B8565" s="236"/>
      <c r="C8565" s="236"/>
      <c r="D8565" s="236"/>
    </row>
    <row r="8566" spans="2:4" x14ac:dyDescent="0.2">
      <c r="B8566" s="236"/>
      <c r="C8566" s="236"/>
      <c r="D8566" s="236"/>
    </row>
    <row r="8567" spans="2:4" ht="12.75" customHeight="1" x14ac:dyDescent="0.2">
      <c r="B8567" s="236"/>
      <c r="C8567" s="236"/>
      <c r="D8567" s="236"/>
    </row>
    <row r="8568" spans="2:4" ht="12.75" customHeight="1" x14ac:dyDescent="0.2">
      <c r="B8568" s="236"/>
      <c r="C8568" s="236"/>
      <c r="D8568" s="236"/>
    </row>
    <row r="8569" spans="2:4" ht="12.75" customHeight="1" x14ac:dyDescent="0.2">
      <c r="B8569" s="236"/>
      <c r="C8569" s="236"/>
      <c r="D8569" s="236"/>
    </row>
    <row r="8570" spans="2:4" ht="12.75" customHeight="1" x14ac:dyDescent="0.2">
      <c r="B8570" s="236"/>
      <c r="C8570" s="236"/>
      <c r="D8570" s="236"/>
    </row>
    <row r="8571" spans="2:4" ht="12.75" customHeight="1" x14ac:dyDescent="0.2">
      <c r="B8571" s="236"/>
      <c r="C8571" s="236"/>
      <c r="D8571" s="236"/>
    </row>
    <row r="8572" spans="2:4" x14ac:dyDescent="0.2">
      <c r="B8572" s="236"/>
      <c r="C8572" s="236"/>
      <c r="D8572" s="236"/>
    </row>
    <row r="8573" spans="2:4" ht="12.75" customHeight="1" x14ac:dyDescent="0.2">
      <c r="B8573" s="236"/>
      <c r="C8573" s="236"/>
      <c r="D8573" s="236"/>
    </row>
    <row r="8574" spans="2:4" ht="12.75" customHeight="1" x14ac:dyDescent="0.2">
      <c r="B8574" s="236"/>
      <c r="C8574" s="236"/>
      <c r="D8574" s="236"/>
    </row>
    <row r="8575" spans="2:4" ht="12.75" customHeight="1" x14ac:dyDescent="0.2">
      <c r="B8575" s="236"/>
      <c r="C8575" s="236"/>
      <c r="D8575" s="236"/>
    </row>
    <row r="8576" spans="2:4" ht="12.75" customHeight="1" x14ac:dyDescent="0.2">
      <c r="B8576" s="236"/>
      <c r="C8576" s="236"/>
      <c r="D8576" s="236"/>
    </row>
    <row r="8577" spans="2:4" ht="12.75" customHeight="1" x14ac:dyDescent="0.2">
      <c r="B8577" s="236"/>
      <c r="C8577" s="236"/>
      <c r="D8577" s="236"/>
    </row>
    <row r="8578" spans="2:4" ht="12.75" customHeight="1" x14ac:dyDescent="0.2">
      <c r="B8578" s="236"/>
      <c r="C8578" s="236"/>
      <c r="D8578" s="236"/>
    </row>
    <row r="8579" spans="2:4" ht="12.75" customHeight="1" x14ac:dyDescent="0.2">
      <c r="B8579" s="236"/>
      <c r="C8579" s="236"/>
      <c r="D8579" s="236"/>
    </row>
    <row r="8580" spans="2:4" ht="12.75" customHeight="1" x14ac:dyDescent="0.2">
      <c r="B8580" s="236"/>
      <c r="C8580" s="236"/>
      <c r="D8580" s="236"/>
    </row>
    <row r="8581" spans="2:4" ht="12.75" customHeight="1" x14ac:dyDescent="0.2">
      <c r="B8581" s="236"/>
      <c r="C8581" s="236"/>
      <c r="D8581" s="236"/>
    </row>
    <row r="8582" spans="2:4" ht="12.75" customHeight="1" x14ac:dyDescent="0.2">
      <c r="B8582" s="236"/>
      <c r="C8582" s="236"/>
      <c r="D8582" s="236"/>
    </row>
    <row r="8583" spans="2:4" x14ac:dyDescent="0.2">
      <c r="B8583" s="236"/>
      <c r="C8583" s="236"/>
      <c r="D8583" s="236"/>
    </row>
    <row r="8584" spans="2:4" ht="12.75" customHeight="1" x14ac:dyDescent="0.2">
      <c r="B8584" s="236"/>
      <c r="C8584" s="236"/>
      <c r="D8584" s="236"/>
    </row>
    <row r="8585" spans="2:4" x14ac:dyDescent="0.2">
      <c r="B8585" s="236"/>
      <c r="C8585" s="236"/>
      <c r="D8585" s="236"/>
    </row>
    <row r="8586" spans="2:4" ht="12.75" customHeight="1" x14ac:dyDescent="0.2">
      <c r="B8586" s="236"/>
      <c r="C8586" s="236"/>
      <c r="D8586" s="236"/>
    </row>
    <row r="8587" spans="2:4" x14ac:dyDescent="0.2">
      <c r="B8587" s="236"/>
      <c r="C8587" s="236"/>
      <c r="D8587" s="236"/>
    </row>
    <row r="8588" spans="2:4" ht="12.75" customHeight="1" x14ac:dyDescent="0.2">
      <c r="B8588" s="236"/>
      <c r="C8588" s="236"/>
      <c r="D8588" s="236"/>
    </row>
    <row r="8589" spans="2:4" x14ac:dyDescent="0.2">
      <c r="B8589" s="236"/>
      <c r="C8589" s="236"/>
      <c r="D8589" s="236"/>
    </row>
    <row r="8590" spans="2:4" ht="12.75" customHeight="1" x14ac:dyDescent="0.2">
      <c r="B8590" s="236"/>
      <c r="C8590" s="236"/>
      <c r="D8590" s="236"/>
    </row>
    <row r="8591" spans="2:4" ht="12.75" customHeight="1" x14ac:dyDescent="0.2">
      <c r="B8591" s="236"/>
      <c r="C8591" s="236"/>
      <c r="D8591" s="236"/>
    </row>
    <row r="8592" spans="2:4" ht="12.75" customHeight="1" x14ac:dyDescent="0.2">
      <c r="B8592" s="236"/>
      <c r="C8592" s="236"/>
      <c r="D8592" s="236"/>
    </row>
    <row r="8593" spans="2:4" ht="12.75" customHeight="1" x14ac:dyDescent="0.2">
      <c r="B8593" s="236"/>
      <c r="C8593" s="236"/>
      <c r="D8593" s="236"/>
    </row>
    <row r="8594" spans="2:4" ht="12.75" customHeight="1" x14ac:dyDescent="0.2">
      <c r="B8594" s="236"/>
      <c r="C8594" s="236"/>
      <c r="D8594" s="236"/>
    </row>
    <row r="8595" spans="2:4" ht="12.75" customHeight="1" x14ac:dyDescent="0.2">
      <c r="B8595" s="236"/>
      <c r="C8595" s="236"/>
      <c r="D8595" s="236"/>
    </row>
    <row r="8596" spans="2:4" ht="12.75" customHeight="1" x14ac:dyDescent="0.2">
      <c r="B8596" s="236"/>
      <c r="C8596" s="236"/>
      <c r="D8596" s="236"/>
    </row>
    <row r="8597" spans="2:4" ht="12.75" customHeight="1" x14ac:dyDescent="0.2">
      <c r="B8597" s="236"/>
      <c r="C8597" s="236"/>
      <c r="D8597" s="236"/>
    </row>
    <row r="8598" spans="2:4" ht="12.75" customHeight="1" x14ac:dyDescent="0.2">
      <c r="B8598" s="236"/>
      <c r="C8598" s="236"/>
      <c r="D8598" s="236"/>
    </row>
    <row r="8599" spans="2:4" ht="12.75" customHeight="1" x14ac:dyDescent="0.2">
      <c r="B8599" s="236"/>
      <c r="C8599" s="236"/>
      <c r="D8599" s="236"/>
    </row>
    <row r="8600" spans="2:4" ht="12.75" customHeight="1" x14ac:dyDescent="0.2">
      <c r="B8600" s="236"/>
      <c r="C8600" s="236"/>
      <c r="D8600" s="236"/>
    </row>
    <row r="8601" spans="2:4" ht="12.75" customHeight="1" x14ac:dyDescent="0.2">
      <c r="B8601" s="236"/>
      <c r="C8601" s="236"/>
      <c r="D8601" s="236"/>
    </row>
    <row r="8602" spans="2:4" ht="12.75" customHeight="1" x14ac:dyDescent="0.2">
      <c r="B8602" s="236"/>
      <c r="C8602" s="236"/>
      <c r="D8602" s="236"/>
    </row>
    <row r="8603" spans="2:4" ht="12.75" customHeight="1" x14ac:dyDescent="0.2">
      <c r="B8603" s="236"/>
      <c r="C8603" s="236"/>
      <c r="D8603" s="236"/>
    </row>
    <row r="8604" spans="2:4" ht="12.75" customHeight="1" x14ac:dyDescent="0.2">
      <c r="B8604" s="236"/>
      <c r="C8604" s="236"/>
      <c r="D8604" s="236"/>
    </row>
    <row r="8605" spans="2:4" ht="12.75" customHeight="1" x14ac:dyDescent="0.2">
      <c r="B8605" s="236"/>
      <c r="C8605" s="236"/>
      <c r="D8605" s="236"/>
    </row>
    <row r="8606" spans="2:4" ht="12.75" customHeight="1" x14ac:dyDescent="0.2">
      <c r="B8606" s="236"/>
      <c r="C8606" s="236"/>
      <c r="D8606" s="236"/>
    </row>
    <row r="8607" spans="2:4" ht="12.75" customHeight="1" x14ac:dyDescent="0.2">
      <c r="B8607" s="236"/>
      <c r="C8607" s="236"/>
      <c r="D8607" s="236"/>
    </row>
    <row r="8608" spans="2:4" x14ac:dyDescent="0.2">
      <c r="B8608" s="236"/>
      <c r="C8608" s="236"/>
      <c r="D8608" s="236"/>
    </row>
    <row r="8609" spans="2:4" ht="12.75" customHeight="1" x14ac:dyDescent="0.2">
      <c r="B8609" s="236"/>
      <c r="C8609" s="236"/>
      <c r="D8609" s="236"/>
    </row>
    <row r="8610" spans="2:4" x14ac:dyDescent="0.2">
      <c r="B8610" s="236"/>
      <c r="C8610" s="236"/>
      <c r="D8610" s="236"/>
    </row>
    <row r="8611" spans="2:4" ht="12.75" customHeight="1" x14ac:dyDescent="0.2">
      <c r="B8611" s="236"/>
      <c r="C8611" s="236"/>
      <c r="D8611" s="236"/>
    </row>
    <row r="8612" spans="2:4" ht="12.75" customHeight="1" x14ac:dyDescent="0.2">
      <c r="B8612" s="236"/>
      <c r="C8612" s="236"/>
      <c r="D8612" s="236"/>
    </row>
    <row r="8613" spans="2:4" ht="12.75" customHeight="1" x14ac:dyDescent="0.2">
      <c r="B8613" s="236"/>
      <c r="C8613" s="236"/>
      <c r="D8613" s="236"/>
    </row>
    <row r="8614" spans="2:4" ht="12.75" customHeight="1" x14ac:dyDescent="0.2">
      <c r="B8614" s="236"/>
      <c r="C8614" s="236"/>
      <c r="D8614" s="236"/>
    </row>
    <row r="8615" spans="2:4" x14ac:dyDescent="0.2">
      <c r="B8615" s="236"/>
      <c r="C8615" s="236"/>
      <c r="D8615" s="236"/>
    </row>
    <row r="8616" spans="2:4" ht="12.75" customHeight="1" x14ac:dyDescent="0.2">
      <c r="B8616" s="236"/>
      <c r="C8616" s="236"/>
      <c r="D8616" s="236"/>
    </row>
    <row r="8617" spans="2:4" x14ac:dyDescent="0.2">
      <c r="B8617" s="236"/>
      <c r="C8617" s="236"/>
      <c r="D8617" s="236"/>
    </row>
    <row r="8618" spans="2:4" ht="12.75" customHeight="1" x14ac:dyDescent="0.2">
      <c r="B8618" s="236"/>
      <c r="C8618" s="236"/>
      <c r="D8618" s="236"/>
    </row>
    <row r="8619" spans="2:4" ht="12.75" customHeight="1" x14ac:dyDescent="0.2">
      <c r="B8619" s="236"/>
      <c r="C8619" s="236"/>
      <c r="D8619" s="236"/>
    </row>
    <row r="8620" spans="2:4" ht="12.75" customHeight="1" x14ac:dyDescent="0.2">
      <c r="B8620" s="236"/>
      <c r="C8620" s="236"/>
      <c r="D8620" s="236"/>
    </row>
    <row r="8621" spans="2:4" ht="12.75" customHeight="1" x14ac:dyDescent="0.2">
      <c r="B8621" s="236"/>
      <c r="C8621" s="236"/>
      <c r="D8621" s="236"/>
    </row>
    <row r="8622" spans="2:4" ht="12.75" customHeight="1" x14ac:dyDescent="0.2">
      <c r="B8622" s="236"/>
      <c r="C8622" s="236"/>
      <c r="D8622" s="236"/>
    </row>
    <row r="8623" spans="2:4" ht="12.75" customHeight="1" x14ac:dyDescent="0.2">
      <c r="B8623" s="236"/>
      <c r="C8623" s="236"/>
      <c r="D8623" s="236"/>
    </row>
    <row r="8624" spans="2:4" x14ac:dyDescent="0.2">
      <c r="B8624" s="236"/>
      <c r="C8624" s="236"/>
      <c r="D8624" s="236"/>
    </row>
    <row r="8625" spans="2:4" ht="12.75" customHeight="1" x14ac:dyDescent="0.2">
      <c r="B8625" s="236"/>
      <c r="C8625" s="236"/>
      <c r="D8625" s="236"/>
    </row>
    <row r="8626" spans="2:4" ht="12.75" customHeight="1" x14ac:dyDescent="0.2">
      <c r="B8626" s="236"/>
      <c r="C8626" s="236"/>
      <c r="D8626" s="236"/>
    </row>
    <row r="8627" spans="2:4" ht="12.75" customHeight="1" x14ac:dyDescent="0.2">
      <c r="B8627" s="236"/>
      <c r="C8627" s="236"/>
      <c r="D8627" s="236"/>
    </row>
    <row r="8628" spans="2:4" ht="12.75" customHeight="1" x14ac:dyDescent="0.2">
      <c r="B8628" s="236"/>
      <c r="C8628" s="236"/>
      <c r="D8628" s="236"/>
    </row>
    <row r="8629" spans="2:4" x14ac:dyDescent="0.2">
      <c r="B8629" s="236"/>
      <c r="C8629" s="236"/>
      <c r="D8629" s="236"/>
    </row>
    <row r="8630" spans="2:4" ht="12.75" customHeight="1" x14ac:dyDescent="0.2">
      <c r="B8630" s="236"/>
      <c r="C8630" s="236"/>
      <c r="D8630" s="236"/>
    </row>
    <row r="8631" spans="2:4" ht="12.75" customHeight="1" x14ac:dyDescent="0.2">
      <c r="B8631" s="236"/>
      <c r="C8631" s="236"/>
      <c r="D8631" s="236"/>
    </row>
    <row r="8632" spans="2:4" ht="12.75" customHeight="1" x14ac:dyDescent="0.2">
      <c r="B8632" s="236"/>
      <c r="C8632" s="236"/>
      <c r="D8632" s="236"/>
    </row>
    <row r="8633" spans="2:4" ht="12.75" customHeight="1" x14ac:dyDescent="0.2">
      <c r="B8633" s="236"/>
      <c r="C8633" s="236"/>
      <c r="D8633" s="236"/>
    </row>
    <row r="8634" spans="2:4" ht="12.75" customHeight="1" x14ac:dyDescent="0.2">
      <c r="B8634" s="236"/>
      <c r="C8634" s="236"/>
      <c r="D8634" s="236"/>
    </row>
    <row r="8635" spans="2:4" ht="12.75" customHeight="1" x14ac:dyDescent="0.2">
      <c r="B8635" s="236"/>
      <c r="C8635" s="236"/>
      <c r="D8635" s="236"/>
    </row>
    <row r="8636" spans="2:4" ht="12.75" customHeight="1" x14ac:dyDescent="0.2">
      <c r="B8636" s="236"/>
      <c r="C8636" s="236"/>
      <c r="D8636" s="236"/>
    </row>
    <row r="8637" spans="2:4" x14ac:dyDescent="0.2">
      <c r="B8637" s="236"/>
      <c r="C8637" s="236"/>
      <c r="D8637" s="236"/>
    </row>
    <row r="8638" spans="2:4" ht="12.75" customHeight="1" x14ac:dyDescent="0.2">
      <c r="B8638" s="236"/>
      <c r="C8638" s="236"/>
      <c r="D8638" s="236"/>
    </row>
    <row r="8639" spans="2:4" ht="12.75" customHeight="1" x14ac:dyDescent="0.2">
      <c r="B8639" s="236"/>
      <c r="C8639" s="236"/>
      <c r="D8639" s="236"/>
    </row>
    <row r="8640" spans="2:4" ht="12.75" customHeight="1" x14ac:dyDescent="0.2">
      <c r="B8640" s="236"/>
      <c r="C8640" s="236"/>
      <c r="D8640" s="236"/>
    </row>
    <row r="8641" spans="2:4" ht="12.75" customHeight="1" x14ac:dyDescent="0.2">
      <c r="B8641" s="236"/>
      <c r="C8641" s="236"/>
      <c r="D8641" s="236"/>
    </row>
    <row r="8642" spans="2:4" ht="12.75" customHeight="1" x14ac:dyDescent="0.2">
      <c r="B8642" s="236"/>
      <c r="C8642" s="236"/>
      <c r="D8642" s="236"/>
    </row>
    <row r="8643" spans="2:4" ht="12.75" customHeight="1" x14ac:dyDescent="0.2">
      <c r="B8643" s="236"/>
      <c r="C8643" s="236"/>
      <c r="D8643" s="236"/>
    </row>
    <row r="8644" spans="2:4" ht="12.75" customHeight="1" x14ac:dyDescent="0.2">
      <c r="B8644" s="236"/>
      <c r="C8644" s="236"/>
      <c r="D8644" s="236"/>
    </row>
    <row r="8645" spans="2:4" ht="12.75" customHeight="1" x14ac:dyDescent="0.2">
      <c r="B8645" s="236"/>
      <c r="C8645" s="236"/>
      <c r="D8645" s="236"/>
    </row>
    <row r="8646" spans="2:4" ht="12.75" customHeight="1" x14ac:dyDescent="0.2">
      <c r="B8646" s="236"/>
      <c r="C8646" s="236"/>
      <c r="D8646" s="236"/>
    </row>
    <row r="8647" spans="2:4" ht="12.75" customHeight="1" x14ac:dyDescent="0.2">
      <c r="B8647" s="236"/>
      <c r="C8647" s="236"/>
      <c r="D8647" s="236"/>
    </row>
    <row r="8648" spans="2:4" ht="12.75" customHeight="1" x14ac:dyDescent="0.2">
      <c r="B8648" s="236"/>
      <c r="C8648" s="236"/>
      <c r="D8648" s="236"/>
    </row>
    <row r="8649" spans="2:4" ht="12.75" customHeight="1" x14ac:dyDescent="0.2">
      <c r="B8649" s="236"/>
      <c r="C8649" s="236"/>
      <c r="D8649" s="236"/>
    </row>
    <row r="8650" spans="2:4" ht="12.75" customHeight="1" x14ac:dyDescent="0.2">
      <c r="B8650" s="236"/>
      <c r="C8650" s="236"/>
      <c r="D8650" s="236"/>
    </row>
    <row r="8651" spans="2:4" ht="12.75" customHeight="1" x14ac:dyDescent="0.2">
      <c r="B8651" s="236"/>
      <c r="C8651" s="236"/>
      <c r="D8651" s="236"/>
    </row>
    <row r="8652" spans="2:4" ht="12.75" customHeight="1" x14ac:dyDescent="0.2">
      <c r="B8652" s="236"/>
      <c r="C8652" s="236"/>
      <c r="D8652" s="236"/>
    </row>
    <row r="8653" spans="2:4" ht="12.75" customHeight="1" x14ac:dyDescent="0.2">
      <c r="B8653" s="236"/>
      <c r="C8653" s="236"/>
      <c r="D8653" s="236"/>
    </row>
    <row r="8654" spans="2:4" ht="12.75" customHeight="1" x14ac:dyDescent="0.2">
      <c r="B8654" s="236"/>
      <c r="C8654" s="236"/>
      <c r="D8654" s="236"/>
    </row>
    <row r="8655" spans="2:4" ht="12.75" customHeight="1" x14ac:dyDescent="0.2">
      <c r="B8655" s="236"/>
      <c r="C8655" s="236"/>
      <c r="D8655" s="236"/>
    </row>
    <row r="8656" spans="2:4" ht="12.75" customHeight="1" x14ac:dyDescent="0.2">
      <c r="B8656" s="236"/>
      <c r="C8656" s="236"/>
      <c r="D8656" s="236"/>
    </row>
    <row r="8657" spans="2:4" ht="12.75" customHeight="1" x14ac:dyDescent="0.2">
      <c r="B8657" s="236"/>
      <c r="C8657" s="236"/>
      <c r="D8657" s="236"/>
    </row>
    <row r="8658" spans="2:4" ht="12.75" customHeight="1" x14ac:dyDescent="0.2">
      <c r="B8658" s="236"/>
      <c r="C8658" s="236"/>
      <c r="D8658" s="236"/>
    </row>
    <row r="8659" spans="2:4" ht="12.75" customHeight="1" x14ac:dyDescent="0.2">
      <c r="B8659" s="236"/>
      <c r="C8659" s="236"/>
      <c r="D8659" s="236"/>
    </row>
    <row r="8660" spans="2:4" ht="12.75" customHeight="1" x14ac:dyDescent="0.2">
      <c r="B8660" s="236"/>
      <c r="C8660" s="236"/>
      <c r="D8660" s="236"/>
    </row>
    <row r="8661" spans="2:4" ht="12.75" customHeight="1" x14ac:dyDescent="0.2">
      <c r="B8661" s="236"/>
      <c r="C8661" s="236"/>
      <c r="D8661" s="236"/>
    </row>
    <row r="8662" spans="2:4" ht="12.75" customHeight="1" x14ac:dyDescent="0.2">
      <c r="B8662" s="236"/>
      <c r="C8662" s="236"/>
      <c r="D8662" s="236"/>
    </row>
    <row r="8663" spans="2:4" ht="12.75" customHeight="1" x14ac:dyDescent="0.2">
      <c r="B8663" s="236"/>
      <c r="C8663" s="236"/>
      <c r="D8663" s="236"/>
    </row>
    <row r="8664" spans="2:4" x14ac:dyDescent="0.2">
      <c r="B8664" s="236"/>
      <c r="C8664" s="236"/>
      <c r="D8664" s="236"/>
    </row>
    <row r="8665" spans="2:4" ht="12.75" customHeight="1" x14ac:dyDescent="0.2">
      <c r="B8665" s="236"/>
      <c r="C8665" s="236"/>
      <c r="D8665" s="236"/>
    </row>
    <row r="8666" spans="2:4" ht="12.75" customHeight="1" x14ac:dyDescent="0.2">
      <c r="B8666" s="236"/>
      <c r="C8666" s="236"/>
      <c r="D8666" s="236"/>
    </row>
    <row r="8667" spans="2:4" ht="12.75" customHeight="1" x14ac:dyDescent="0.2">
      <c r="B8667" s="236"/>
      <c r="C8667" s="236"/>
      <c r="D8667" s="236"/>
    </row>
    <row r="8668" spans="2:4" ht="12.75" customHeight="1" x14ac:dyDescent="0.2">
      <c r="B8668" s="236"/>
      <c r="C8668" s="236"/>
      <c r="D8668" s="236"/>
    </row>
    <row r="8669" spans="2:4" ht="12.75" customHeight="1" x14ac:dyDescent="0.2">
      <c r="B8669" s="236"/>
      <c r="C8669" s="236"/>
      <c r="D8669" s="236"/>
    </row>
    <row r="8670" spans="2:4" x14ac:dyDescent="0.2">
      <c r="B8670" s="236"/>
      <c r="C8670" s="236"/>
      <c r="D8670" s="236"/>
    </row>
    <row r="8671" spans="2:4" ht="12.75" customHeight="1" x14ac:dyDescent="0.2">
      <c r="B8671" s="236"/>
      <c r="C8671" s="236"/>
      <c r="D8671" s="236"/>
    </row>
    <row r="8672" spans="2:4" ht="12.75" customHeight="1" x14ac:dyDescent="0.2">
      <c r="B8672" s="236"/>
      <c r="C8672" s="236"/>
      <c r="D8672" s="236"/>
    </row>
    <row r="8673" spans="2:4" ht="12.75" customHeight="1" x14ac:dyDescent="0.2">
      <c r="B8673" s="236"/>
      <c r="C8673" s="236"/>
      <c r="D8673" s="236"/>
    </row>
    <row r="8674" spans="2:4" ht="12.75" customHeight="1" x14ac:dyDescent="0.2">
      <c r="B8674" s="236"/>
      <c r="C8674" s="236"/>
      <c r="D8674" s="236"/>
    </row>
    <row r="8675" spans="2:4" ht="12.75" customHeight="1" x14ac:dyDescent="0.2">
      <c r="B8675" s="236"/>
      <c r="C8675" s="236"/>
      <c r="D8675" s="236"/>
    </row>
    <row r="8676" spans="2:4" ht="12.75" customHeight="1" x14ac:dyDescent="0.2">
      <c r="B8676" s="236"/>
      <c r="C8676" s="236"/>
      <c r="D8676" s="236"/>
    </row>
    <row r="8677" spans="2:4" ht="12.75" customHeight="1" x14ac:dyDescent="0.2">
      <c r="B8677" s="236"/>
      <c r="C8677" s="236"/>
      <c r="D8677" s="236"/>
    </row>
    <row r="8678" spans="2:4" ht="12.75" customHeight="1" x14ac:dyDescent="0.2">
      <c r="B8678" s="236"/>
      <c r="C8678" s="236"/>
      <c r="D8678" s="236"/>
    </row>
    <row r="8679" spans="2:4" ht="12.75" customHeight="1" x14ac:dyDescent="0.2">
      <c r="B8679" s="236"/>
      <c r="C8679" s="236"/>
      <c r="D8679" s="236"/>
    </row>
    <row r="8680" spans="2:4" ht="12.75" customHeight="1" x14ac:dyDescent="0.2">
      <c r="B8680" s="236"/>
      <c r="C8680" s="236"/>
      <c r="D8680" s="236"/>
    </row>
    <row r="8681" spans="2:4" ht="12.75" customHeight="1" x14ac:dyDescent="0.2">
      <c r="B8681" s="236"/>
      <c r="C8681" s="236"/>
      <c r="D8681" s="236"/>
    </row>
    <row r="8682" spans="2:4" ht="12.75" customHeight="1" x14ac:dyDescent="0.2">
      <c r="B8682" s="236"/>
      <c r="C8682" s="236"/>
      <c r="D8682" s="236"/>
    </row>
    <row r="8683" spans="2:4" ht="12.75" customHeight="1" x14ac:dyDescent="0.2">
      <c r="B8683" s="236"/>
      <c r="C8683" s="236"/>
      <c r="D8683" s="236"/>
    </row>
    <row r="8684" spans="2:4" ht="12.75" customHeight="1" x14ac:dyDescent="0.2">
      <c r="B8684" s="236"/>
      <c r="C8684" s="236"/>
      <c r="D8684" s="236"/>
    </row>
    <row r="8685" spans="2:4" ht="12.75" customHeight="1" x14ac:dyDescent="0.2">
      <c r="B8685" s="236"/>
      <c r="C8685" s="236"/>
      <c r="D8685" s="236"/>
    </row>
    <row r="8686" spans="2:4" ht="12.75" customHeight="1" x14ac:dyDescent="0.2">
      <c r="B8686" s="236"/>
      <c r="C8686" s="236"/>
      <c r="D8686" s="236"/>
    </row>
    <row r="8687" spans="2:4" ht="12.75" customHeight="1" x14ac:dyDescent="0.2">
      <c r="B8687" s="236"/>
      <c r="C8687" s="236"/>
      <c r="D8687" s="236"/>
    </row>
    <row r="8688" spans="2:4" ht="12.75" customHeight="1" x14ac:dyDescent="0.2">
      <c r="B8688" s="236"/>
      <c r="C8688" s="236"/>
      <c r="D8688" s="236"/>
    </row>
    <row r="8689" spans="2:4" x14ac:dyDescent="0.2">
      <c r="B8689" s="236"/>
      <c r="C8689" s="236"/>
      <c r="D8689" s="236"/>
    </row>
    <row r="8690" spans="2:4" ht="12.75" customHeight="1" x14ac:dyDescent="0.2">
      <c r="B8690" s="236"/>
      <c r="C8690" s="236"/>
      <c r="D8690" s="236"/>
    </row>
    <row r="8691" spans="2:4" ht="12.75" customHeight="1" x14ac:dyDescent="0.2">
      <c r="B8691" s="236"/>
      <c r="C8691" s="236"/>
      <c r="D8691" s="236"/>
    </row>
    <row r="8692" spans="2:4" x14ac:dyDescent="0.2">
      <c r="B8692" s="236"/>
      <c r="C8692" s="236"/>
      <c r="D8692" s="236"/>
    </row>
    <row r="8693" spans="2:4" ht="12.75" customHeight="1" x14ac:dyDescent="0.2">
      <c r="B8693" s="236"/>
      <c r="C8693" s="236"/>
      <c r="D8693" s="236"/>
    </row>
    <row r="8694" spans="2:4" ht="12.75" customHeight="1" x14ac:dyDescent="0.2">
      <c r="B8694" s="236"/>
      <c r="C8694" s="236"/>
      <c r="D8694" s="236"/>
    </row>
    <row r="8695" spans="2:4" x14ac:dyDescent="0.2">
      <c r="B8695" s="236"/>
      <c r="C8695" s="236"/>
      <c r="D8695" s="236"/>
    </row>
    <row r="8696" spans="2:4" ht="12.75" customHeight="1" x14ac:dyDescent="0.2">
      <c r="B8696" s="236"/>
      <c r="C8696" s="236"/>
      <c r="D8696" s="236"/>
    </row>
    <row r="8697" spans="2:4" ht="12.75" customHeight="1" x14ac:dyDescent="0.2">
      <c r="B8697" s="236"/>
      <c r="C8697" s="236"/>
      <c r="D8697" s="236"/>
    </row>
    <row r="8698" spans="2:4" ht="12.75" customHeight="1" x14ac:dyDescent="0.2">
      <c r="B8698" s="236"/>
      <c r="C8698" s="236"/>
      <c r="D8698" s="236"/>
    </row>
    <row r="8699" spans="2:4" ht="12.75" customHeight="1" x14ac:dyDescent="0.2">
      <c r="B8699" s="236"/>
      <c r="C8699" s="236"/>
      <c r="D8699" s="236"/>
    </row>
    <row r="8700" spans="2:4" ht="12.75" customHeight="1" x14ac:dyDescent="0.2">
      <c r="B8700" s="236"/>
      <c r="C8700" s="236"/>
      <c r="D8700" s="236"/>
    </row>
    <row r="8701" spans="2:4" ht="12.75" customHeight="1" x14ac:dyDescent="0.2">
      <c r="B8701" s="236"/>
      <c r="C8701" s="236"/>
      <c r="D8701" s="236"/>
    </row>
    <row r="8702" spans="2:4" ht="12.75" customHeight="1" x14ac:dyDescent="0.2">
      <c r="B8702" s="236"/>
      <c r="C8702" s="236"/>
      <c r="D8702" s="236"/>
    </row>
    <row r="8703" spans="2:4" x14ac:dyDescent="0.2">
      <c r="B8703" s="236"/>
      <c r="C8703" s="236"/>
      <c r="D8703" s="236"/>
    </row>
    <row r="8704" spans="2:4" ht="12.75" customHeight="1" x14ac:dyDescent="0.2">
      <c r="B8704" s="236"/>
      <c r="C8704" s="236"/>
      <c r="D8704" s="236"/>
    </row>
    <row r="8705" spans="2:4" ht="12.75" customHeight="1" x14ac:dyDescent="0.2">
      <c r="B8705" s="236"/>
      <c r="C8705" s="236"/>
      <c r="D8705" s="236"/>
    </row>
    <row r="8706" spans="2:4" ht="12.75" customHeight="1" x14ac:dyDescent="0.2">
      <c r="B8706" s="236"/>
      <c r="C8706" s="236"/>
      <c r="D8706" s="236"/>
    </row>
    <row r="8707" spans="2:4" ht="12.75" customHeight="1" x14ac:dyDescent="0.2">
      <c r="B8707" s="236"/>
      <c r="C8707" s="236"/>
      <c r="D8707" s="236"/>
    </row>
    <row r="8708" spans="2:4" x14ac:dyDescent="0.2">
      <c r="B8708" s="236"/>
      <c r="C8708" s="236"/>
      <c r="D8708" s="236"/>
    </row>
    <row r="8709" spans="2:4" ht="12.75" customHeight="1" x14ac:dyDescent="0.2">
      <c r="B8709" s="236"/>
      <c r="C8709" s="236"/>
      <c r="D8709" s="236"/>
    </row>
    <row r="8710" spans="2:4" x14ac:dyDescent="0.2">
      <c r="B8710" s="236"/>
      <c r="C8710" s="236"/>
      <c r="D8710" s="236"/>
    </row>
    <row r="8711" spans="2:4" ht="12.75" customHeight="1" x14ac:dyDescent="0.2">
      <c r="B8711" s="236"/>
      <c r="C8711" s="236"/>
      <c r="D8711" s="236"/>
    </row>
    <row r="8712" spans="2:4" x14ac:dyDescent="0.2">
      <c r="B8712" s="236"/>
      <c r="C8712" s="236"/>
      <c r="D8712" s="236"/>
    </row>
    <row r="8713" spans="2:4" ht="12.75" customHeight="1" x14ac:dyDescent="0.2">
      <c r="B8713" s="236"/>
      <c r="C8713" s="236"/>
      <c r="D8713" s="236"/>
    </row>
    <row r="8714" spans="2:4" ht="12.75" customHeight="1" x14ac:dyDescent="0.2">
      <c r="B8714" s="236"/>
      <c r="C8714" s="236"/>
      <c r="D8714" s="236"/>
    </row>
    <row r="8715" spans="2:4" ht="12.75" customHeight="1" x14ac:dyDescent="0.2">
      <c r="B8715" s="236"/>
      <c r="C8715" s="236"/>
      <c r="D8715" s="236"/>
    </row>
    <row r="8716" spans="2:4" ht="12.75" customHeight="1" x14ac:dyDescent="0.2">
      <c r="B8716" s="236"/>
      <c r="C8716" s="236"/>
      <c r="D8716" s="236"/>
    </row>
    <row r="8717" spans="2:4" ht="12.75" customHeight="1" x14ac:dyDescent="0.2">
      <c r="B8717" s="236"/>
      <c r="C8717" s="236"/>
      <c r="D8717" s="236"/>
    </row>
    <row r="8718" spans="2:4" ht="12.75" customHeight="1" x14ac:dyDescent="0.2">
      <c r="B8718" s="236"/>
      <c r="C8718" s="236"/>
      <c r="D8718" s="236"/>
    </row>
    <row r="8719" spans="2:4" x14ac:dyDescent="0.2">
      <c r="B8719" s="236"/>
      <c r="C8719" s="236"/>
      <c r="D8719" s="236"/>
    </row>
    <row r="8720" spans="2:4" ht="12.75" customHeight="1" x14ac:dyDescent="0.2">
      <c r="B8720" s="236"/>
      <c r="C8720" s="236"/>
      <c r="D8720" s="236"/>
    </row>
    <row r="8721" spans="2:4" x14ac:dyDescent="0.2">
      <c r="B8721" s="236"/>
      <c r="C8721" s="236"/>
      <c r="D8721" s="236"/>
    </row>
    <row r="8722" spans="2:4" ht="12.75" customHeight="1" x14ac:dyDescent="0.2">
      <c r="B8722" s="236"/>
      <c r="C8722" s="236"/>
      <c r="D8722" s="236"/>
    </row>
    <row r="8723" spans="2:4" x14ac:dyDescent="0.2">
      <c r="B8723" s="236"/>
      <c r="C8723" s="236"/>
      <c r="D8723" s="236"/>
    </row>
    <row r="8724" spans="2:4" ht="12.75" customHeight="1" x14ac:dyDescent="0.2">
      <c r="B8724" s="236"/>
      <c r="C8724" s="236"/>
      <c r="D8724" s="236"/>
    </row>
    <row r="8725" spans="2:4" ht="12.75" customHeight="1" x14ac:dyDescent="0.2">
      <c r="B8725" s="236"/>
      <c r="C8725" s="236"/>
      <c r="D8725" s="236"/>
    </row>
    <row r="8726" spans="2:4" x14ac:dyDescent="0.2">
      <c r="B8726" s="236"/>
      <c r="C8726" s="236"/>
      <c r="D8726" s="236"/>
    </row>
    <row r="8727" spans="2:4" ht="12.75" customHeight="1" x14ac:dyDescent="0.2">
      <c r="B8727" s="236"/>
      <c r="C8727" s="236"/>
      <c r="D8727" s="236"/>
    </row>
    <row r="8728" spans="2:4" ht="12.75" customHeight="1" x14ac:dyDescent="0.2">
      <c r="B8728" s="236"/>
      <c r="C8728" s="236"/>
      <c r="D8728" s="236"/>
    </row>
    <row r="8729" spans="2:4" x14ac:dyDescent="0.2">
      <c r="B8729" s="236"/>
      <c r="C8729" s="236"/>
      <c r="D8729" s="236"/>
    </row>
    <row r="8730" spans="2:4" ht="12.75" customHeight="1" x14ac:dyDescent="0.2">
      <c r="B8730" s="236"/>
      <c r="C8730" s="236"/>
      <c r="D8730" s="236"/>
    </row>
    <row r="8731" spans="2:4" x14ac:dyDescent="0.2">
      <c r="B8731" s="236"/>
      <c r="C8731" s="236"/>
      <c r="D8731" s="236"/>
    </row>
    <row r="8732" spans="2:4" ht="12.75" customHeight="1" x14ac:dyDescent="0.2">
      <c r="B8732" s="236"/>
      <c r="C8732" s="236"/>
      <c r="D8732" s="236"/>
    </row>
    <row r="8733" spans="2:4" ht="12.75" customHeight="1" x14ac:dyDescent="0.2">
      <c r="B8733" s="236"/>
      <c r="C8733" s="236"/>
      <c r="D8733" s="236"/>
    </row>
    <row r="8734" spans="2:4" ht="12.75" customHeight="1" x14ac:dyDescent="0.2">
      <c r="B8734" s="236"/>
      <c r="C8734" s="236"/>
      <c r="D8734" s="236"/>
    </row>
    <row r="8735" spans="2:4" ht="12.75" customHeight="1" x14ac:dyDescent="0.2">
      <c r="B8735" s="236"/>
      <c r="C8735" s="236"/>
      <c r="D8735" s="236"/>
    </row>
    <row r="8736" spans="2:4" ht="12.75" customHeight="1" x14ac:dyDescent="0.2">
      <c r="B8736" s="236"/>
      <c r="C8736" s="236"/>
      <c r="D8736" s="236"/>
    </row>
    <row r="8737" spans="2:4" ht="12.75" customHeight="1" x14ac:dyDescent="0.2">
      <c r="B8737" s="236"/>
      <c r="C8737" s="236"/>
      <c r="D8737" s="236"/>
    </row>
    <row r="8738" spans="2:4" ht="12.75" customHeight="1" x14ac:dyDescent="0.2">
      <c r="B8738" s="236"/>
      <c r="C8738" s="236"/>
      <c r="D8738" s="236"/>
    </row>
    <row r="8739" spans="2:4" x14ac:dyDescent="0.2">
      <c r="B8739" s="236"/>
      <c r="C8739" s="236"/>
      <c r="D8739" s="236"/>
    </row>
    <row r="8740" spans="2:4" ht="12.75" customHeight="1" x14ac:dyDescent="0.2">
      <c r="B8740" s="236"/>
      <c r="C8740" s="236"/>
      <c r="D8740" s="236"/>
    </row>
    <row r="8741" spans="2:4" x14ac:dyDescent="0.2">
      <c r="B8741" s="236"/>
      <c r="C8741" s="236"/>
      <c r="D8741" s="236"/>
    </row>
    <row r="8742" spans="2:4" ht="12.75" customHeight="1" x14ac:dyDescent="0.2">
      <c r="B8742" s="236"/>
      <c r="C8742" s="236"/>
      <c r="D8742" s="236"/>
    </row>
    <row r="8743" spans="2:4" ht="12.75" customHeight="1" x14ac:dyDescent="0.2">
      <c r="B8743" s="236"/>
      <c r="C8743" s="236"/>
      <c r="D8743" s="236"/>
    </row>
    <row r="8744" spans="2:4" x14ac:dyDescent="0.2">
      <c r="B8744" s="236"/>
      <c r="C8744" s="236"/>
      <c r="D8744" s="236"/>
    </row>
    <row r="8745" spans="2:4" ht="12.75" customHeight="1" x14ac:dyDescent="0.2">
      <c r="B8745" s="236"/>
      <c r="C8745" s="236"/>
      <c r="D8745" s="236"/>
    </row>
    <row r="8746" spans="2:4" x14ac:dyDescent="0.2">
      <c r="B8746" s="236"/>
      <c r="C8746" s="236"/>
      <c r="D8746" s="236"/>
    </row>
    <row r="8747" spans="2:4" ht="12.75" customHeight="1" x14ac:dyDescent="0.2">
      <c r="B8747" s="236"/>
      <c r="C8747" s="236"/>
      <c r="D8747" s="236"/>
    </row>
    <row r="8748" spans="2:4" ht="12.75" customHeight="1" x14ac:dyDescent="0.2">
      <c r="B8748" s="236"/>
      <c r="C8748" s="236"/>
      <c r="D8748" s="236"/>
    </row>
    <row r="8749" spans="2:4" ht="12.75" customHeight="1" x14ac:dyDescent="0.2">
      <c r="B8749" s="236"/>
      <c r="C8749" s="236"/>
      <c r="D8749" s="236"/>
    </row>
    <row r="8750" spans="2:4" ht="12.75" customHeight="1" x14ac:dyDescent="0.2">
      <c r="B8750" s="236"/>
      <c r="C8750" s="236"/>
      <c r="D8750" s="236"/>
    </row>
    <row r="8751" spans="2:4" ht="12.75" customHeight="1" x14ac:dyDescent="0.2">
      <c r="B8751" s="236"/>
      <c r="C8751" s="236"/>
      <c r="D8751" s="236"/>
    </row>
    <row r="8752" spans="2:4" ht="12.75" customHeight="1" x14ac:dyDescent="0.2">
      <c r="B8752" s="236"/>
      <c r="C8752" s="236"/>
      <c r="D8752" s="236"/>
    </row>
    <row r="8753" spans="2:4" ht="12.75" customHeight="1" x14ac:dyDescent="0.2">
      <c r="B8753" s="236"/>
      <c r="C8753" s="236"/>
      <c r="D8753" s="236"/>
    </row>
    <row r="8754" spans="2:4" x14ac:dyDescent="0.2">
      <c r="B8754" s="236"/>
      <c r="C8754" s="236"/>
      <c r="D8754" s="236"/>
    </row>
    <row r="8755" spans="2:4" ht="12.75" customHeight="1" x14ac:dyDescent="0.2">
      <c r="B8755" s="236"/>
      <c r="C8755" s="236"/>
      <c r="D8755" s="236"/>
    </row>
    <row r="8756" spans="2:4" x14ac:dyDescent="0.2">
      <c r="B8756" s="236"/>
      <c r="C8756" s="236"/>
      <c r="D8756" s="236"/>
    </row>
    <row r="8757" spans="2:4" ht="12.75" customHeight="1" x14ac:dyDescent="0.2">
      <c r="B8757" s="236"/>
      <c r="C8757" s="236"/>
      <c r="D8757" s="236"/>
    </row>
    <row r="8758" spans="2:4" ht="12.75" customHeight="1" x14ac:dyDescent="0.2">
      <c r="B8758" s="236"/>
      <c r="C8758" s="236"/>
      <c r="D8758" s="236"/>
    </row>
    <row r="8759" spans="2:4" ht="12.75" customHeight="1" x14ac:dyDescent="0.2">
      <c r="B8759" s="236"/>
      <c r="C8759" s="236"/>
      <c r="D8759" s="236"/>
    </row>
    <row r="8760" spans="2:4" ht="12.75" customHeight="1" x14ac:dyDescent="0.2">
      <c r="B8760" s="236"/>
      <c r="C8760" s="236"/>
      <c r="D8760" s="236"/>
    </row>
    <row r="8761" spans="2:4" ht="12.75" customHeight="1" x14ac:dyDescent="0.2">
      <c r="B8761" s="236"/>
      <c r="C8761" s="236"/>
      <c r="D8761" s="236"/>
    </row>
    <row r="8762" spans="2:4" ht="12.75" customHeight="1" x14ac:dyDescent="0.2">
      <c r="B8762" s="236"/>
      <c r="C8762" s="236"/>
      <c r="D8762" s="236"/>
    </row>
    <row r="8763" spans="2:4" ht="12.75" customHeight="1" x14ac:dyDescent="0.2">
      <c r="B8763" s="236"/>
      <c r="C8763" s="236"/>
      <c r="D8763" s="236"/>
    </row>
    <row r="8764" spans="2:4" ht="12.75" customHeight="1" x14ac:dyDescent="0.2">
      <c r="B8764" s="236"/>
      <c r="C8764" s="236"/>
      <c r="D8764" s="236"/>
    </row>
    <row r="8765" spans="2:4" ht="12.75" customHeight="1" x14ac:dyDescent="0.2">
      <c r="B8765" s="236"/>
      <c r="C8765" s="236"/>
      <c r="D8765" s="236"/>
    </row>
    <row r="8766" spans="2:4" ht="12.75" customHeight="1" x14ac:dyDescent="0.2">
      <c r="B8766" s="236"/>
      <c r="C8766" s="236"/>
      <c r="D8766" s="236"/>
    </row>
    <row r="8767" spans="2:4" ht="12.75" customHeight="1" x14ac:dyDescent="0.2">
      <c r="B8767" s="236"/>
      <c r="C8767" s="236"/>
      <c r="D8767" s="236"/>
    </row>
    <row r="8768" spans="2:4" x14ac:dyDescent="0.2">
      <c r="B8768" s="236"/>
      <c r="C8768" s="236"/>
      <c r="D8768" s="236"/>
    </row>
    <row r="8769" spans="2:4" ht="12.75" customHeight="1" x14ac:dyDescent="0.2">
      <c r="B8769" s="236"/>
      <c r="C8769" s="236"/>
      <c r="D8769" s="236"/>
    </row>
    <row r="8770" spans="2:4" ht="12.75" customHeight="1" x14ac:dyDescent="0.2">
      <c r="B8770" s="236"/>
      <c r="C8770" s="236"/>
      <c r="D8770" s="236"/>
    </row>
    <row r="8771" spans="2:4" x14ac:dyDescent="0.2">
      <c r="B8771" s="236"/>
      <c r="C8771" s="236"/>
      <c r="D8771" s="236"/>
    </row>
    <row r="8772" spans="2:4" ht="12.75" customHeight="1" x14ac:dyDescent="0.2">
      <c r="B8772" s="236"/>
      <c r="C8772" s="236"/>
      <c r="D8772" s="236"/>
    </row>
    <row r="8773" spans="2:4" ht="12.75" customHeight="1" x14ac:dyDescent="0.2">
      <c r="B8773" s="236"/>
      <c r="C8773" s="236"/>
      <c r="D8773" s="236"/>
    </row>
    <row r="8774" spans="2:4" ht="12.75" customHeight="1" x14ac:dyDescent="0.2">
      <c r="B8774" s="236"/>
      <c r="C8774" s="236"/>
      <c r="D8774" s="236"/>
    </row>
    <row r="8775" spans="2:4" ht="12.75" customHeight="1" x14ac:dyDescent="0.2">
      <c r="B8775" s="236"/>
      <c r="C8775" s="236"/>
      <c r="D8775" s="236"/>
    </row>
    <row r="8776" spans="2:4" ht="12.75" customHeight="1" x14ac:dyDescent="0.2">
      <c r="B8776" s="236"/>
      <c r="C8776" s="236"/>
      <c r="D8776" s="236"/>
    </row>
    <row r="8777" spans="2:4" x14ac:dyDescent="0.2">
      <c r="B8777" s="236"/>
      <c r="C8777" s="236"/>
      <c r="D8777" s="236"/>
    </row>
    <row r="8778" spans="2:4" ht="12.75" customHeight="1" x14ac:dyDescent="0.2">
      <c r="B8778" s="236"/>
      <c r="C8778" s="236"/>
      <c r="D8778" s="236"/>
    </row>
    <row r="8779" spans="2:4" ht="12.75" customHeight="1" x14ac:dyDescent="0.2">
      <c r="B8779" s="236"/>
      <c r="C8779" s="236"/>
      <c r="D8779" s="236"/>
    </row>
    <row r="8780" spans="2:4" ht="12.75" customHeight="1" x14ac:dyDescent="0.2">
      <c r="B8780" s="236"/>
      <c r="C8780" s="236"/>
      <c r="D8780" s="236"/>
    </row>
    <row r="8781" spans="2:4" ht="12.75" customHeight="1" x14ac:dyDescent="0.2">
      <c r="B8781" s="236"/>
      <c r="C8781" s="236"/>
      <c r="D8781" s="236"/>
    </row>
    <row r="8782" spans="2:4" x14ac:dyDescent="0.2">
      <c r="B8782" s="236"/>
      <c r="C8782" s="236"/>
      <c r="D8782" s="236"/>
    </row>
    <row r="8783" spans="2:4" ht="12.75" customHeight="1" x14ac:dyDescent="0.2">
      <c r="B8783" s="236"/>
      <c r="C8783" s="236"/>
      <c r="D8783" s="236"/>
    </row>
    <row r="8784" spans="2:4" ht="12.75" customHeight="1" x14ac:dyDescent="0.2">
      <c r="B8784" s="236"/>
      <c r="C8784" s="236"/>
      <c r="D8784" s="236"/>
    </row>
    <row r="8785" spans="2:4" x14ac:dyDescent="0.2">
      <c r="B8785" s="236"/>
      <c r="C8785" s="236"/>
      <c r="D8785" s="236"/>
    </row>
    <row r="8786" spans="2:4" ht="12.75" customHeight="1" x14ac:dyDescent="0.2">
      <c r="B8786" s="236"/>
      <c r="C8786" s="236"/>
      <c r="D8786" s="236"/>
    </row>
    <row r="8787" spans="2:4" x14ac:dyDescent="0.2">
      <c r="B8787" s="236"/>
      <c r="C8787" s="236"/>
      <c r="D8787" s="236"/>
    </row>
    <row r="8788" spans="2:4" ht="12.75" customHeight="1" x14ac:dyDescent="0.2">
      <c r="B8788" s="236"/>
      <c r="C8788" s="236"/>
      <c r="D8788" s="236"/>
    </row>
    <row r="8789" spans="2:4" ht="12.75" customHeight="1" x14ac:dyDescent="0.2">
      <c r="B8789" s="236"/>
      <c r="C8789" s="236"/>
      <c r="D8789" s="236"/>
    </row>
    <row r="8790" spans="2:4" ht="12.75" customHeight="1" x14ac:dyDescent="0.2">
      <c r="B8790" s="236"/>
      <c r="C8790" s="236"/>
      <c r="D8790" s="236"/>
    </row>
    <row r="8791" spans="2:4" ht="12.75" customHeight="1" x14ac:dyDescent="0.2">
      <c r="B8791" s="236"/>
      <c r="C8791" s="236"/>
      <c r="D8791" s="236"/>
    </row>
    <row r="8792" spans="2:4" ht="12.75" customHeight="1" x14ac:dyDescent="0.2">
      <c r="B8792" s="236"/>
      <c r="C8792" s="236"/>
      <c r="D8792" s="236"/>
    </row>
    <row r="8793" spans="2:4" x14ac:dyDescent="0.2">
      <c r="B8793" s="236"/>
      <c r="C8793" s="236"/>
      <c r="D8793" s="236"/>
    </row>
    <row r="8794" spans="2:4" ht="12.75" customHeight="1" x14ac:dyDescent="0.2">
      <c r="B8794" s="236"/>
      <c r="C8794" s="236"/>
      <c r="D8794" s="236"/>
    </row>
    <row r="8795" spans="2:4" ht="12.75" customHeight="1" x14ac:dyDescent="0.2">
      <c r="B8795" s="236"/>
      <c r="C8795" s="236"/>
      <c r="D8795" s="236"/>
    </row>
    <row r="8796" spans="2:4" ht="12.75" customHeight="1" x14ac:dyDescent="0.2">
      <c r="B8796" s="236"/>
      <c r="C8796" s="236"/>
      <c r="D8796" s="236"/>
    </row>
    <row r="8797" spans="2:4" ht="12.75" customHeight="1" x14ac:dyDescent="0.2">
      <c r="B8797" s="236"/>
      <c r="C8797" s="236"/>
      <c r="D8797" s="236"/>
    </row>
    <row r="8798" spans="2:4" ht="12.75" customHeight="1" x14ac:dyDescent="0.2">
      <c r="B8798" s="236"/>
      <c r="C8798" s="236"/>
      <c r="D8798" s="236"/>
    </row>
    <row r="8799" spans="2:4" x14ac:dyDescent="0.2">
      <c r="B8799" s="236"/>
      <c r="C8799" s="236"/>
      <c r="D8799" s="236"/>
    </row>
    <row r="8800" spans="2:4" ht="12.75" customHeight="1" x14ac:dyDescent="0.2">
      <c r="B8800" s="236"/>
      <c r="C8800" s="236"/>
      <c r="D8800" s="236"/>
    </row>
    <row r="8801" spans="2:4" ht="12.75" customHeight="1" x14ac:dyDescent="0.2">
      <c r="B8801" s="236"/>
      <c r="C8801" s="236"/>
      <c r="D8801" s="236"/>
    </row>
    <row r="8802" spans="2:4" ht="12.75" customHeight="1" x14ac:dyDescent="0.2">
      <c r="B8802" s="236"/>
      <c r="C8802" s="236"/>
      <c r="D8802" s="236"/>
    </row>
    <row r="8803" spans="2:4" ht="12.75" customHeight="1" x14ac:dyDescent="0.2">
      <c r="B8803" s="236"/>
      <c r="C8803" s="236"/>
      <c r="D8803" s="236"/>
    </row>
    <row r="8804" spans="2:4" ht="12.75" customHeight="1" x14ac:dyDescent="0.2">
      <c r="B8804" s="236"/>
      <c r="C8804" s="236"/>
      <c r="D8804" s="236"/>
    </row>
    <row r="8805" spans="2:4" ht="12.75" customHeight="1" x14ac:dyDescent="0.2">
      <c r="B8805" s="236"/>
      <c r="C8805" s="236"/>
      <c r="D8805" s="236"/>
    </row>
    <row r="8806" spans="2:4" x14ac:dyDescent="0.2">
      <c r="B8806" s="236"/>
      <c r="C8806" s="236"/>
      <c r="D8806" s="236"/>
    </row>
    <row r="8807" spans="2:4" ht="12.75" customHeight="1" x14ac:dyDescent="0.2">
      <c r="B8807" s="236"/>
      <c r="C8807" s="236"/>
      <c r="D8807" s="236"/>
    </row>
    <row r="8808" spans="2:4" x14ac:dyDescent="0.2">
      <c r="B8808" s="236"/>
      <c r="C8808" s="236"/>
      <c r="D8808" s="236"/>
    </row>
    <row r="8809" spans="2:4" ht="12.75" customHeight="1" x14ac:dyDescent="0.2">
      <c r="B8809" s="236"/>
      <c r="C8809" s="236"/>
      <c r="D8809" s="236"/>
    </row>
    <row r="8810" spans="2:4" x14ac:dyDescent="0.2">
      <c r="B8810" s="236"/>
      <c r="C8810" s="236"/>
      <c r="D8810" s="236"/>
    </row>
    <row r="8811" spans="2:4" ht="12.75" customHeight="1" x14ac:dyDescent="0.2">
      <c r="B8811" s="236"/>
      <c r="C8811" s="236"/>
      <c r="D8811" s="236"/>
    </row>
    <row r="8812" spans="2:4" ht="12.75" customHeight="1" x14ac:dyDescent="0.2">
      <c r="B8812" s="236"/>
      <c r="C8812" s="236"/>
      <c r="D8812" s="236"/>
    </row>
    <row r="8813" spans="2:4" x14ac:dyDescent="0.2">
      <c r="B8813" s="236"/>
      <c r="C8813" s="236"/>
      <c r="D8813" s="236"/>
    </row>
    <row r="8814" spans="2:4" ht="12.75" customHeight="1" x14ac:dyDescent="0.2">
      <c r="B8814" s="236"/>
      <c r="C8814" s="236"/>
      <c r="D8814" s="236"/>
    </row>
    <row r="8815" spans="2:4" ht="12.75" customHeight="1" x14ac:dyDescent="0.2">
      <c r="B8815" s="236"/>
      <c r="C8815" s="236"/>
      <c r="D8815" s="236"/>
    </row>
    <row r="8816" spans="2:4" ht="12.75" customHeight="1" x14ac:dyDescent="0.2">
      <c r="B8816" s="236"/>
      <c r="C8816" s="236"/>
      <c r="D8816" s="236"/>
    </row>
    <row r="8817" spans="2:4" ht="12.75" customHeight="1" x14ac:dyDescent="0.2">
      <c r="B8817" s="236"/>
      <c r="C8817" s="236"/>
      <c r="D8817" s="236"/>
    </row>
    <row r="8818" spans="2:4" ht="12.75" customHeight="1" x14ac:dyDescent="0.2">
      <c r="B8818" s="236"/>
      <c r="C8818" s="236"/>
      <c r="D8818" s="236"/>
    </row>
    <row r="8819" spans="2:4" ht="12.75" customHeight="1" x14ac:dyDescent="0.2">
      <c r="B8819" s="236"/>
      <c r="C8819" s="236"/>
      <c r="D8819" s="236"/>
    </row>
    <row r="8820" spans="2:4" ht="12.75" customHeight="1" x14ac:dyDescent="0.2">
      <c r="B8820" s="236"/>
      <c r="C8820" s="236"/>
      <c r="D8820" s="236"/>
    </row>
    <row r="8821" spans="2:4" ht="12.75" customHeight="1" x14ac:dyDescent="0.2">
      <c r="B8821" s="236"/>
      <c r="C8821" s="236"/>
      <c r="D8821" s="236"/>
    </row>
    <row r="8822" spans="2:4" ht="12.75" customHeight="1" x14ac:dyDescent="0.2">
      <c r="B8822" s="236"/>
      <c r="C8822" s="236"/>
      <c r="D8822" s="236"/>
    </row>
    <row r="8823" spans="2:4" ht="12.75" customHeight="1" x14ac:dyDescent="0.2">
      <c r="B8823" s="236"/>
      <c r="C8823" s="236"/>
      <c r="D8823" s="236"/>
    </row>
    <row r="8824" spans="2:4" ht="12.75" customHeight="1" x14ac:dyDescent="0.2">
      <c r="B8824" s="236"/>
      <c r="C8824" s="236"/>
      <c r="D8824" s="236"/>
    </row>
    <row r="8825" spans="2:4" ht="12.75" customHeight="1" x14ac:dyDescent="0.2">
      <c r="B8825" s="236"/>
      <c r="C8825" s="236"/>
      <c r="D8825" s="236"/>
    </row>
    <row r="8826" spans="2:4" ht="12.75" customHeight="1" x14ac:dyDescent="0.2">
      <c r="B8826" s="236"/>
      <c r="C8826" s="236"/>
      <c r="D8826" s="236"/>
    </row>
    <row r="8827" spans="2:4" ht="12.75" customHeight="1" x14ac:dyDescent="0.2">
      <c r="B8827" s="236"/>
      <c r="C8827" s="236"/>
      <c r="D8827" s="236"/>
    </row>
    <row r="8828" spans="2:4" x14ac:dyDescent="0.2">
      <c r="B8828" s="236"/>
      <c r="C8828" s="236"/>
      <c r="D8828" s="236"/>
    </row>
    <row r="8829" spans="2:4" ht="12.75" customHeight="1" x14ac:dyDescent="0.2">
      <c r="B8829" s="236"/>
      <c r="C8829" s="236"/>
      <c r="D8829" s="236"/>
    </row>
    <row r="8830" spans="2:4" ht="12.75" customHeight="1" x14ac:dyDescent="0.2">
      <c r="B8830" s="236"/>
      <c r="C8830" s="236"/>
      <c r="D8830" s="236"/>
    </row>
    <row r="8831" spans="2:4" ht="12.75" customHeight="1" x14ac:dyDescent="0.2">
      <c r="B8831" s="236"/>
      <c r="C8831" s="236"/>
      <c r="D8831" s="236"/>
    </row>
    <row r="8832" spans="2:4" ht="12.75" customHeight="1" x14ac:dyDescent="0.2">
      <c r="B8832" s="236"/>
      <c r="C8832" s="236"/>
      <c r="D8832" s="236"/>
    </row>
    <row r="8833" spans="2:4" ht="12.75" customHeight="1" x14ac:dyDescent="0.2">
      <c r="B8833" s="236"/>
      <c r="C8833" s="236"/>
      <c r="D8833" s="236"/>
    </row>
    <row r="8834" spans="2:4" ht="12.75" customHeight="1" x14ac:dyDescent="0.2">
      <c r="B8834" s="236"/>
      <c r="C8834" s="236"/>
      <c r="D8834" s="236"/>
    </row>
    <row r="8835" spans="2:4" ht="12.75" customHeight="1" x14ac:dyDescent="0.2">
      <c r="B8835" s="236"/>
      <c r="C8835" s="236"/>
      <c r="D8835" s="236"/>
    </row>
    <row r="8836" spans="2:4" x14ac:dyDescent="0.2">
      <c r="B8836" s="236"/>
      <c r="C8836" s="236"/>
      <c r="D8836" s="236"/>
    </row>
    <row r="8837" spans="2:4" ht="12.75" customHeight="1" x14ac:dyDescent="0.2">
      <c r="B8837" s="236"/>
      <c r="C8837" s="236"/>
      <c r="D8837" s="236"/>
    </row>
    <row r="8838" spans="2:4" ht="12.75" customHeight="1" x14ac:dyDescent="0.2">
      <c r="B8838" s="236"/>
      <c r="C8838" s="236"/>
      <c r="D8838" s="236"/>
    </row>
    <row r="8839" spans="2:4" x14ac:dyDescent="0.2">
      <c r="B8839" s="236"/>
      <c r="C8839" s="236"/>
      <c r="D8839" s="236"/>
    </row>
    <row r="8840" spans="2:4" ht="12.75" customHeight="1" x14ac:dyDescent="0.2">
      <c r="B8840" s="236"/>
      <c r="C8840" s="236"/>
      <c r="D8840" s="236"/>
    </row>
    <row r="8841" spans="2:4" ht="12.75" customHeight="1" x14ac:dyDescent="0.2">
      <c r="B8841" s="236"/>
      <c r="C8841" s="236"/>
      <c r="D8841" s="236"/>
    </row>
    <row r="8842" spans="2:4" ht="12.75" customHeight="1" x14ac:dyDescent="0.2">
      <c r="B8842" s="236"/>
      <c r="C8842" s="236"/>
      <c r="D8842" s="236"/>
    </row>
    <row r="8843" spans="2:4" ht="12.75" customHeight="1" x14ac:dyDescent="0.2">
      <c r="B8843" s="236"/>
      <c r="C8843" s="236"/>
      <c r="D8843" s="236"/>
    </row>
    <row r="8844" spans="2:4" ht="12.75" customHeight="1" x14ac:dyDescent="0.2">
      <c r="B8844" s="236"/>
      <c r="C8844" s="236"/>
      <c r="D8844" s="236"/>
    </row>
    <row r="8845" spans="2:4" x14ac:dyDescent="0.2">
      <c r="B8845" s="236"/>
      <c r="C8845" s="236"/>
      <c r="D8845" s="236"/>
    </row>
    <row r="8846" spans="2:4" ht="12.75" customHeight="1" x14ac:dyDescent="0.2">
      <c r="B8846" s="236"/>
      <c r="C8846" s="236"/>
      <c r="D8846" s="236"/>
    </row>
    <row r="8847" spans="2:4" x14ac:dyDescent="0.2">
      <c r="B8847" s="236"/>
      <c r="C8847" s="236"/>
      <c r="D8847" s="236"/>
    </row>
    <row r="8848" spans="2:4" ht="12.75" customHeight="1" x14ac:dyDescent="0.2">
      <c r="B8848" s="236"/>
      <c r="C8848" s="236"/>
      <c r="D8848" s="236"/>
    </row>
    <row r="8849" spans="2:4" ht="12.75" customHeight="1" x14ac:dyDescent="0.2">
      <c r="B8849" s="236"/>
      <c r="C8849" s="236"/>
      <c r="D8849" s="236"/>
    </row>
    <row r="8850" spans="2:4" ht="12.75" customHeight="1" x14ac:dyDescent="0.2">
      <c r="B8850" s="236"/>
      <c r="C8850" s="236"/>
      <c r="D8850" s="236"/>
    </row>
    <row r="8851" spans="2:4" ht="12.75" customHeight="1" x14ac:dyDescent="0.2">
      <c r="B8851" s="236"/>
      <c r="C8851" s="236"/>
      <c r="D8851" s="236"/>
    </row>
    <row r="8852" spans="2:4" ht="12.75" customHeight="1" x14ac:dyDescent="0.2">
      <c r="B8852" s="236"/>
      <c r="C8852" s="236"/>
      <c r="D8852" s="236"/>
    </row>
    <row r="8853" spans="2:4" x14ac:dyDescent="0.2">
      <c r="B8853" s="236"/>
      <c r="C8853" s="236"/>
      <c r="D8853" s="236"/>
    </row>
    <row r="8854" spans="2:4" ht="12.75" customHeight="1" x14ac:dyDescent="0.2">
      <c r="B8854" s="236"/>
      <c r="C8854" s="236"/>
      <c r="D8854" s="236"/>
    </row>
    <row r="8855" spans="2:4" ht="12.75" customHeight="1" x14ac:dyDescent="0.2">
      <c r="B8855" s="236"/>
      <c r="C8855" s="236"/>
      <c r="D8855" s="236"/>
    </row>
    <row r="8856" spans="2:4" x14ac:dyDescent="0.2">
      <c r="B8856" s="236"/>
      <c r="C8856" s="236"/>
      <c r="D8856" s="236"/>
    </row>
    <row r="8857" spans="2:4" ht="12.75" customHeight="1" x14ac:dyDescent="0.2">
      <c r="B8857" s="236"/>
      <c r="C8857" s="236"/>
      <c r="D8857" s="236"/>
    </row>
    <row r="8858" spans="2:4" ht="12.75" customHeight="1" x14ac:dyDescent="0.2">
      <c r="B8858" s="236"/>
      <c r="C8858" s="236"/>
      <c r="D8858" s="236"/>
    </row>
    <row r="8859" spans="2:4" x14ac:dyDescent="0.2">
      <c r="B8859" s="236"/>
      <c r="C8859" s="236"/>
      <c r="D8859" s="236"/>
    </row>
    <row r="8860" spans="2:4" ht="12.75" customHeight="1" x14ac:dyDescent="0.2">
      <c r="B8860" s="236"/>
      <c r="C8860" s="236"/>
      <c r="D8860" s="236"/>
    </row>
    <row r="8861" spans="2:4" x14ac:dyDescent="0.2">
      <c r="B8861" s="236"/>
      <c r="C8861" s="236"/>
      <c r="D8861" s="236"/>
    </row>
    <row r="8862" spans="2:4" ht="12.75" customHeight="1" x14ac:dyDescent="0.2">
      <c r="B8862" s="236"/>
      <c r="C8862" s="236"/>
      <c r="D8862" s="236"/>
    </row>
    <row r="8863" spans="2:4" ht="12.75" customHeight="1" x14ac:dyDescent="0.2">
      <c r="B8863" s="236"/>
      <c r="C8863" s="236"/>
      <c r="D8863" s="236"/>
    </row>
    <row r="8864" spans="2:4" ht="12.75" customHeight="1" x14ac:dyDescent="0.2">
      <c r="B8864" s="236"/>
      <c r="C8864" s="236"/>
      <c r="D8864" s="236"/>
    </row>
    <row r="8865" spans="2:4" ht="12.75" customHeight="1" x14ac:dyDescent="0.2">
      <c r="B8865" s="236"/>
      <c r="C8865" s="236"/>
      <c r="D8865" s="236"/>
    </row>
    <row r="8866" spans="2:4" ht="12.75" customHeight="1" x14ac:dyDescent="0.2">
      <c r="B8866" s="236"/>
      <c r="C8866" s="236"/>
      <c r="D8866" s="236"/>
    </row>
    <row r="8867" spans="2:4" x14ac:dyDescent="0.2">
      <c r="B8867" s="236"/>
      <c r="C8867" s="236"/>
      <c r="D8867" s="236"/>
    </row>
    <row r="8868" spans="2:4" ht="12.75" customHeight="1" x14ac:dyDescent="0.2">
      <c r="B8868" s="236"/>
      <c r="C8868" s="236"/>
      <c r="D8868" s="236"/>
    </row>
    <row r="8869" spans="2:4" x14ac:dyDescent="0.2">
      <c r="B8869" s="236"/>
      <c r="C8869" s="236"/>
      <c r="D8869" s="236"/>
    </row>
    <row r="8870" spans="2:4" ht="12.75" customHeight="1" x14ac:dyDescent="0.2">
      <c r="B8870" s="236"/>
      <c r="C8870" s="236"/>
      <c r="D8870" s="236"/>
    </row>
    <row r="8871" spans="2:4" ht="12.75" customHeight="1" x14ac:dyDescent="0.2">
      <c r="B8871" s="236"/>
      <c r="C8871" s="236"/>
      <c r="D8871" s="236"/>
    </row>
    <row r="8872" spans="2:4" ht="12.75" customHeight="1" x14ac:dyDescent="0.2">
      <c r="B8872" s="236"/>
      <c r="C8872" s="236"/>
      <c r="D8872" s="236"/>
    </row>
    <row r="8873" spans="2:4" ht="12.75" customHeight="1" x14ac:dyDescent="0.2">
      <c r="B8873" s="236"/>
      <c r="C8873" s="236"/>
      <c r="D8873" s="236"/>
    </row>
    <row r="8874" spans="2:4" ht="12.75" customHeight="1" x14ac:dyDescent="0.2">
      <c r="B8874" s="236"/>
      <c r="C8874" s="236"/>
      <c r="D8874" s="236"/>
    </row>
    <row r="8875" spans="2:4" ht="12.75" customHeight="1" x14ac:dyDescent="0.2">
      <c r="B8875" s="236"/>
      <c r="C8875" s="236"/>
      <c r="D8875" s="236"/>
    </row>
    <row r="8876" spans="2:4" ht="12.75" customHeight="1" x14ac:dyDescent="0.2">
      <c r="B8876" s="236"/>
      <c r="C8876" s="236"/>
      <c r="D8876" s="236"/>
    </row>
    <row r="8877" spans="2:4" ht="12.75" customHeight="1" x14ac:dyDescent="0.2">
      <c r="B8877" s="236"/>
      <c r="C8877" s="236"/>
      <c r="D8877" s="236"/>
    </row>
    <row r="8878" spans="2:4" ht="12.75" customHeight="1" x14ac:dyDescent="0.2">
      <c r="B8878" s="236"/>
      <c r="C8878" s="236"/>
      <c r="D8878" s="236"/>
    </row>
    <row r="8879" spans="2:4" ht="12.75" customHeight="1" x14ac:dyDescent="0.2">
      <c r="B8879" s="236"/>
      <c r="C8879" s="236"/>
      <c r="D8879" s="236"/>
    </row>
    <row r="8880" spans="2:4" ht="12.75" customHeight="1" x14ac:dyDescent="0.2">
      <c r="B8880" s="236"/>
      <c r="C8880" s="236"/>
      <c r="D8880" s="236"/>
    </row>
    <row r="8881" spans="2:4" ht="12.75" customHeight="1" x14ac:dyDescent="0.2">
      <c r="B8881" s="236"/>
      <c r="C8881" s="236"/>
      <c r="D8881" s="236"/>
    </row>
    <row r="8882" spans="2:4" ht="12.75" customHeight="1" x14ac:dyDescent="0.2">
      <c r="B8882" s="236"/>
      <c r="C8882" s="236"/>
      <c r="D8882" s="236"/>
    </row>
    <row r="8883" spans="2:4" ht="12.75" customHeight="1" x14ac:dyDescent="0.2">
      <c r="B8883" s="236"/>
      <c r="C8883" s="236"/>
      <c r="D8883" s="236"/>
    </row>
    <row r="8884" spans="2:4" ht="12.75" customHeight="1" x14ac:dyDescent="0.2">
      <c r="B8884" s="236"/>
      <c r="C8884" s="236"/>
      <c r="D8884" s="236"/>
    </row>
    <row r="8885" spans="2:4" x14ac:dyDescent="0.2">
      <c r="B8885" s="236"/>
      <c r="C8885" s="236"/>
      <c r="D8885" s="236"/>
    </row>
    <row r="8886" spans="2:4" ht="12.75" customHeight="1" x14ac:dyDescent="0.2">
      <c r="B8886" s="236"/>
      <c r="C8886" s="236"/>
      <c r="D8886" s="236"/>
    </row>
    <row r="8887" spans="2:4" x14ac:dyDescent="0.2">
      <c r="B8887" s="236"/>
      <c r="C8887" s="236"/>
      <c r="D8887" s="236"/>
    </row>
    <row r="8888" spans="2:4" ht="12.75" customHeight="1" x14ac:dyDescent="0.2">
      <c r="B8888" s="236"/>
      <c r="C8888" s="236"/>
      <c r="D8888" s="236"/>
    </row>
    <row r="8889" spans="2:4" x14ac:dyDescent="0.2">
      <c r="B8889" s="236"/>
      <c r="C8889" s="236"/>
      <c r="D8889" s="236"/>
    </row>
    <row r="8890" spans="2:4" ht="12.75" customHeight="1" x14ac:dyDescent="0.2">
      <c r="B8890" s="236"/>
      <c r="C8890" s="236"/>
      <c r="D8890" s="236"/>
    </row>
    <row r="8891" spans="2:4" ht="12.75" customHeight="1" x14ac:dyDescent="0.2">
      <c r="B8891" s="236"/>
      <c r="C8891" s="236"/>
      <c r="D8891" s="236"/>
    </row>
    <row r="8892" spans="2:4" ht="12.75" customHeight="1" x14ac:dyDescent="0.2">
      <c r="B8892" s="236"/>
      <c r="C8892" s="236"/>
      <c r="D8892" s="236"/>
    </row>
    <row r="8893" spans="2:4" ht="12.75" customHeight="1" x14ac:dyDescent="0.2">
      <c r="B8893" s="236"/>
      <c r="C8893" s="236"/>
      <c r="D8893" s="236"/>
    </row>
    <row r="8894" spans="2:4" ht="12.75" customHeight="1" x14ac:dyDescent="0.2">
      <c r="B8894" s="236"/>
      <c r="C8894" s="236"/>
      <c r="D8894" s="236"/>
    </row>
    <row r="8895" spans="2:4" ht="12.75" customHeight="1" x14ac:dyDescent="0.2">
      <c r="B8895" s="236"/>
      <c r="C8895" s="236"/>
      <c r="D8895" s="236"/>
    </row>
    <row r="8896" spans="2:4" ht="12.75" customHeight="1" x14ac:dyDescent="0.2">
      <c r="B8896" s="236"/>
      <c r="C8896" s="236"/>
      <c r="D8896" s="236"/>
    </row>
    <row r="8897" spans="2:4" ht="12.75" customHeight="1" x14ac:dyDescent="0.2">
      <c r="B8897" s="236"/>
      <c r="C8897" s="236"/>
      <c r="D8897" s="236"/>
    </row>
    <row r="8898" spans="2:4" x14ac:dyDescent="0.2">
      <c r="B8898" s="236"/>
      <c r="C8898" s="236"/>
      <c r="D8898" s="236"/>
    </row>
    <row r="8899" spans="2:4" ht="12.75" customHeight="1" x14ac:dyDescent="0.2">
      <c r="B8899" s="236"/>
      <c r="C8899" s="236"/>
      <c r="D8899" s="236"/>
    </row>
    <row r="8900" spans="2:4" ht="12.75" customHeight="1" x14ac:dyDescent="0.2">
      <c r="B8900" s="236"/>
      <c r="C8900" s="236"/>
      <c r="D8900" s="236"/>
    </row>
    <row r="8901" spans="2:4" ht="12.75" customHeight="1" x14ac:dyDescent="0.2">
      <c r="B8901" s="236"/>
      <c r="C8901" s="236"/>
      <c r="D8901" s="236"/>
    </row>
    <row r="8902" spans="2:4" ht="12.75" customHeight="1" x14ac:dyDescent="0.2">
      <c r="B8902" s="236"/>
      <c r="C8902" s="236"/>
      <c r="D8902" s="236"/>
    </row>
    <row r="8903" spans="2:4" ht="12.75" customHeight="1" x14ac:dyDescent="0.2">
      <c r="B8903" s="236"/>
      <c r="C8903" s="236"/>
      <c r="D8903" s="236"/>
    </row>
    <row r="8904" spans="2:4" ht="12.75" customHeight="1" x14ac:dyDescent="0.2">
      <c r="B8904" s="236"/>
      <c r="C8904" s="236"/>
      <c r="D8904" s="236"/>
    </row>
    <row r="8905" spans="2:4" ht="12.75" customHeight="1" x14ac:dyDescent="0.2">
      <c r="B8905" s="236"/>
      <c r="C8905" s="236"/>
      <c r="D8905" s="236"/>
    </row>
    <row r="8906" spans="2:4" ht="12.75" customHeight="1" x14ac:dyDescent="0.2">
      <c r="B8906" s="236"/>
      <c r="C8906" s="236"/>
      <c r="D8906" s="236"/>
    </row>
    <row r="8907" spans="2:4" ht="12.75" customHeight="1" x14ac:dyDescent="0.2">
      <c r="B8907" s="236"/>
      <c r="C8907" s="236"/>
      <c r="D8907" s="236"/>
    </row>
    <row r="8908" spans="2:4" ht="12.75" customHeight="1" x14ac:dyDescent="0.2">
      <c r="B8908" s="236"/>
      <c r="C8908" s="236"/>
      <c r="D8908" s="236"/>
    </row>
    <row r="8909" spans="2:4" ht="12.75" customHeight="1" x14ac:dyDescent="0.2">
      <c r="B8909" s="236"/>
      <c r="C8909" s="236"/>
      <c r="D8909" s="236"/>
    </row>
    <row r="8910" spans="2:4" ht="12.75" customHeight="1" x14ac:dyDescent="0.2">
      <c r="B8910" s="236"/>
      <c r="C8910" s="236"/>
      <c r="D8910" s="236"/>
    </row>
    <row r="8911" spans="2:4" ht="12.75" customHeight="1" x14ac:dyDescent="0.2">
      <c r="B8911" s="236"/>
      <c r="C8911" s="236"/>
      <c r="D8911" s="236"/>
    </row>
    <row r="8912" spans="2:4" x14ac:dyDescent="0.2">
      <c r="B8912" s="236"/>
      <c r="C8912" s="236"/>
      <c r="D8912" s="236"/>
    </row>
    <row r="8913" spans="2:4" ht="12.75" customHeight="1" x14ac:dyDescent="0.2">
      <c r="B8913" s="236"/>
      <c r="C8913" s="236"/>
      <c r="D8913" s="236"/>
    </row>
    <row r="8914" spans="2:4" x14ac:dyDescent="0.2">
      <c r="B8914" s="236"/>
      <c r="C8914" s="236"/>
      <c r="D8914" s="236"/>
    </row>
    <row r="8915" spans="2:4" ht="12.75" customHeight="1" x14ac:dyDescent="0.2">
      <c r="B8915" s="236"/>
      <c r="C8915" s="236"/>
      <c r="D8915" s="236"/>
    </row>
    <row r="8916" spans="2:4" x14ac:dyDescent="0.2">
      <c r="B8916" s="236"/>
      <c r="C8916" s="236"/>
      <c r="D8916" s="236"/>
    </row>
    <row r="8917" spans="2:4" ht="12.75" customHeight="1" x14ac:dyDescent="0.2">
      <c r="B8917" s="236"/>
      <c r="C8917" s="236"/>
      <c r="D8917" s="236"/>
    </row>
    <row r="8918" spans="2:4" x14ac:dyDescent="0.2">
      <c r="B8918" s="236"/>
      <c r="C8918" s="236"/>
      <c r="D8918" s="236"/>
    </row>
    <row r="8919" spans="2:4" ht="12.75" customHeight="1" x14ac:dyDescent="0.2">
      <c r="B8919" s="236"/>
      <c r="C8919" s="236"/>
      <c r="D8919" s="236"/>
    </row>
    <row r="8920" spans="2:4" ht="12.75" customHeight="1" x14ac:dyDescent="0.2">
      <c r="B8920" s="236"/>
      <c r="C8920" s="236"/>
      <c r="D8920" s="236"/>
    </row>
    <row r="8921" spans="2:4" ht="12.75" customHeight="1" x14ac:dyDescent="0.2">
      <c r="B8921" s="236"/>
      <c r="C8921" s="236"/>
      <c r="D8921" s="236"/>
    </row>
    <row r="8922" spans="2:4" ht="12.75" customHeight="1" x14ac:dyDescent="0.2">
      <c r="B8922" s="236"/>
      <c r="C8922" s="236"/>
      <c r="D8922" s="236"/>
    </row>
    <row r="8923" spans="2:4" ht="12.75" customHeight="1" x14ac:dyDescent="0.2">
      <c r="B8923" s="236"/>
      <c r="C8923" s="236"/>
      <c r="D8923" s="236"/>
    </row>
    <row r="8924" spans="2:4" ht="12.75" customHeight="1" x14ac:dyDescent="0.2">
      <c r="B8924" s="236"/>
      <c r="C8924" s="236"/>
      <c r="D8924" s="236"/>
    </row>
    <row r="8925" spans="2:4" ht="12.75" customHeight="1" x14ac:dyDescent="0.2">
      <c r="B8925" s="236"/>
      <c r="C8925" s="236"/>
      <c r="D8925" s="236"/>
    </row>
    <row r="8926" spans="2:4" ht="12.75" customHeight="1" x14ac:dyDescent="0.2">
      <c r="B8926" s="236"/>
      <c r="C8926" s="236"/>
      <c r="D8926" s="236"/>
    </row>
    <row r="8927" spans="2:4" ht="12.75" customHeight="1" x14ac:dyDescent="0.2">
      <c r="B8927" s="236"/>
      <c r="C8927" s="236"/>
      <c r="D8927" s="236"/>
    </row>
    <row r="8928" spans="2:4" ht="12.75" customHeight="1" x14ac:dyDescent="0.2">
      <c r="B8928" s="236"/>
      <c r="C8928" s="236"/>
      <c r="D8928" s="236"/>
    </row>
    <row r="8929" spans="2:4" ht="12.75" customHeight="1" x14ac:dyDescent="0.2">
      <c r="B8929" s="236"/>
      <c r="C8929" s="236"/>
      <c r="D8929" s="236"/>
    </row>
    <row r="8930" spans="2:4" x14ac:dyDescent="0.2">
      <c r="B8930" s="236"/>
      <c r="C8930" s="236"/>
      <c r="D8930" s="236"/>
    </row>
    <row r="8931" spans="2:4" ht="12.75" customHeight="1" x14ac:dyDescent="0.2">
      <c r="B8931" s="236"/>
      <c r="C8931" s="236"/>
      <c r="D8931" s="236"/>
    </row>
    <row r="8932" spans="2:4" x14ac:dyDescent="0.2">
      <c r="B8932" s="236"/>
      <c r="C8932" s="236"/>
      <c r="D8932" s="236"/>
    </row>
    <row r="8933" spans="2:4" ht="12.75" customHeight="1" x14ac:dyDescent="0.2">
      <c r="B8933" s="236"/>
      <c r="C8933" s="236"/>
      <c r="D8933" s="236"/>
    </row>
    <row r="8934" spans="2:4" ht="12.75" customHeight="1" x14ac:dyDescent="0.2">
      <c r="B8934" s="236"/>
      <c r="C8934" s="236"/>
      <c r="D8934" s="236"/>
    </row>
    <row r="8935" spans="2:4" x14ac:dyDescent="0.2">
      <c r="B8935" s="236"/>
      <c r="C8935" s="236"/>
      <c r="D8935" s="236"/>
    </row>
    <row r="8936" spans="2:4" x14ac:dyDescent="0.2">
      <c r="B8936" s="236"/>
      <c r="C8936" s="236"/>
      <c r="D8936" s="236"/>
    </row>
    <row r="8937" spans="2:4" ht="12.75" customHeight="1" x14ac:dyDescent="0.2">
      <c r="B8937" s="236"/>
      <c r="C8937" s="236"/>
      <c r="D8937" s="236"/>
    </row>
    <row r="8938" spans="2:4" ht="12.75" customHeight="1" x14ac:dyDescent="0.2">
      <c r="B8938" s="236"/>
      <c r="C8938" s="236"/>
      <c r="D8938" s="236"/>
    </row>
    <row r="8939" spans="2:4" ht="12.75" customHeight="1" x14ac:dyDescent="0.2">
      <c r="B8939" s="236"/>
      <c r="C8939" s="236"/>
      <c r="D8939" s="236"/>
    </row>
    <row r="8940" spans="2:4" x14ac:dyDescent="0.2">
      <c r="B8940" s="236"/>
      <c r="C8940" s="236"/>
      <c r="D8940" s="236"/>
    </row>
    <row r="8941" spans="2:4" ht="12.75" customHeight="1" x14ac:dyDescent="0.2">
      <c r="B8941" s="236"/>
      <c r="C8941" s="236"/>
      <c r="D8941" s="236"/>
    </row>
    <row r="8942" spans="2:4" ht="12.75" customHeight="1" x14ac:dyDescent="0.2">
      <c r="B8942" s="236"/>
      <c r="C8942" s="236"/>
      <c r="D8942" s="236"/>
    </row>
    <row r="8943" spans="2:4" ht="12.75" customHeight="1" x14ac:dyDescent="0.2">
      <c r="B8943" s="236"/>
      <c r="C8943" s="236"/>
      <c r="D8943" s="236"/>
    </row>
    <row r="8944" spans="2:4" x14ac:dyDescent="0.2">
      <c r="B8944" s="236"/>
      <c r="C8944" s="236"/>
      <c r="D8944" s="236"/>
    </row>
    <row r="8945" spans="2:4" ht="12.75" customHeight="1" x14ac:dyDescent="0.2">
      <c r="B8945" s="236"/>
      <c r="C8945" s="236"/>
      <c r="D8945" s="236"/>
    </row>
    <row r="8946" spans="2:4" ht="12.75" customHeight="1" x14ac:dyDescent="0.2">
      <c r="B8946" s="236"/>
      <c r="C8946" s="236"/>
      <c r="D8946" s="236"/>
    </row>
    <row r="8947" spans="2:4" x14ac:dyDescent="0.2">
      <c r="B8947" s="236"/>
      <c r="C8947" s="236"/>
      <c r="D8947" s="236"/>
    </row>
    <row r="8948" spans="2:4" ht="12.75" customHeight="1" x14ac:dyDescent="0.2">
      <c r="B8948" s="236"/>
      <c r="C8948" s="236"/>
      <c r="D8948" s="236"/>
    </row>
    <row r="8949" spans="2:4" ht="12.75" customHeight="1" x14ac:dyDescent="0.2">
      <c r="B8949" s="236"/>
      <c r="C8949" s="236"/>
      <c r="D8949" s="236"/>
    </row>
    <row r="8950" spans="2:4" ht="12.75" customHeight="1" x14ac:dyDescent="0.2">
      <c r="B8950" s="236"/>
      <c r="C8950" s="236"/>
      <c r="D8950" s="236"/>
    </row>
    <row r="8951" spans="2:4" ht="12.75" customHeight="1" x14ac:dyDescent="0.2">
      <c r="B8951" s="236"/>
      <c r="C8951" s="236"/>
      <c r="D8951" s="236"/>
    </row>
    <row r="8952" spans="2:4" ht="12.75" customHeight="1" x14ac:dyDescent="0.2">
      <c r="B8952" s="236"/>
      <c r="C8952" s="236"/>
      <c r="D8952" s="236"/>
    </row>
    <row r="8953" spans="2:4" x14ac:dyDescent="0.2">
      <c r="B8953" s="236"/>
      <c r="C8953" s="236"/>
      <c r="D8953" s="236"/>
    </row>
    <row r="8954" spans="2:4" ht="12.75" customHeight="1" x14ac:dyDescent="0.2">
      <c r="B8954" s="236"/>
      <c r="C8954" s="236"/>
      <c r="D8954" s="236"/>
    </row>
    <row r="8955" spans="2:4" x14ac:dyDescent="0.2">
      <c r="B8955" s="236"/>
      <c r="C8955" s="236"/>
      <c r="D8955" s="236"/>
    </row>
    <row r="8956" spans="2:4" ht="12.75" customHeight="1" x14ac:dyDescent="0.2">
      <c r="B8956" s="236"/>
      <c r="C8956" s="236"/>
      <c r="D8956" s="236"/>
    </row>
    <row r="8957" spans="2:4" ht="12.75" customHeight="1" x14ac:dyDescent="0.2">
      <c r="B8957" s="236"/>
      <c r="C8957" s="236"/>
      <c r="D8957" s="236"/>
    </row>
    <row r="8958" spans="2:4" x14ac:dyDescent="0.2">
      <c r="B8958" s="236"/>
      <c r="C8958" s="236"/>
      <c r="D8958" s="236"/>
    </row>
    <row r="8959" spans="2:4" ht="12.75" customHeight="1" x14ac:dyDescent="0.2">
      <c r="B8959" s="236"/>
      <c r="C8959" s="236"/>
      <c r="D8959" s="236"/>
    </row>
    <row r="8960" spans="2:4" x14ac:dyDescent="0.2">
      <c r="B8960" s="236"/>
      <c r="C8960" s="236"/>
      <c r="D8960" s="236"/>
    </row>
    <row r="8961" spans="2:4" ht="12.75" customHeight="1" x14ac:dyDescent="0.2">
      <c r="B8961" s="236"/>
      <c r="C8961" s="236"/>
      <c r="D8961" s="236"/>
    </row>
    <row r="8962" spans="2:4" x14ac:dyDescent="0.2">
      <c r="B8962" s="236"/>
      <c r="C8962" s="236"/>
      <c r="D8962" s="236"/>
    </row>
    <row r="8963" spans="2:4" ht="12.75" customHeight="1" x14ac:dyDescent="0.2">
      <c r="B8963" s="236"/>
      <c r="C8963" s="236"/>
      <c r="D8963" s="236"/>
    </row>
    <row r="8964" spans="2:4" x14ac:dyDescent="0.2">
      <c r="B8964" s="236"/>
      <c r="C8964" s="236"/>
      <c r="D8964" s="236"/>
    </row>
    <row r="8965" spans="2:4" ht="12.75" customHeight="1" x14ac:dyDescent="0.2">
      <c r="B8965" s="236"/>
      <c r="C8965" s="236"/>
      <c r="D8965" s="236"/>
    </row>
    <row r="8966" spans="2:4" ht="12.75" customHeight="1" x14ac:dyDescent="0.2">
      <c r="B8966" s="236"/>
      <c r="C8966" s="236"/>
      <c r="D8966" s="236"/>
    </row>
    <row r="8967" spans="2:4" ht="12.75" customHeight="1" x14ac:dyDescent="0.2">
      <c r="B8967" s="236"/>
      <c r="C8967" s="236"/>
      <c r="D8967" s="236"/>
    </row>
    <row r="8968" spans="2:4" ht="12.75" customHeight="1" x14ac:dyDescent="0.2">
      <c r="B8968" s="236"/>
      <c r="C8968" s="236"/>
      <c r="D8968" s="236"/>
    </row>
    <row r="8969" spans="2:4" ht="12.75" customHeight="1" x14ac:dyDescent="0.2">
      <c r="B8969" s="236"/>
      <c r="C8969" s="236"/>
      <c r="D8969" s="236"/>
    </row>
    <row r="8970" spans="2:4" x14ac:dyDescent="0.2">
      <c r="B8970" s="236"/>
      <c r="C8970" s="236"/>
      <c r="D8970" s="236"/>
    </row>
    <row r="8971" spans="2:4" ht="12.75" customHeight="1" x14ac:dyDescent="0.2">
      <c r="B8971" s="236"/>
      <c r="C8971" s="236"/>
      <c r="D8971" s="236"/>
    </row>
    <row r="8972" spans="2:4" x14ac:dyDescent="0.2">
      <c r="B8972" s="236"/>
      <c r="C8972" s="236"/>
      <c r="D8972" s="236"/>
    </row>
    <row r="8973" spans="2:4" x14ac:dyDescent="0.2">
      <c r="B8973" s="236"/>
      <c r="C8973" s="236"/>
      <c r="D8973" s="236"/>
    </row>
    <row r="8974" spans="2:4" ht="12.75" customHeight="1" x14ac:dyDescent="0.2">
      <c r="B8974" s="236"/>
      <c r="C8974" s="236"/>
      <c r="D8974" s="236"/>
    </row>
    <row r="8975" spans="2:4" ht="12.75" customHeight="1" x14ac:dyDescent="0.2">
      <c r="B8975" s="236"/>
      <c r="C8975" s="236"/>
      <c r="D8975" s="236"/>
    </row>
    <row r="8976" spans="2:4" ht="12.75" customHeight="1" x14ac:dyDescent="0.2">
      <c r="B8976" s="236"/>
      <c r="C8976" s="236"/>
      <c r="D8976" s="236"/>
    </row>
    <row r="8977" spans="2:4" ht="12.75" customHeight="1" x14ac:dyDescent="0.2">
      <c r="B8977" s="236"/>
      <c r="C8977" s="236"/>
      <c r="D8977" s="236"/>
    </row>
    <row r="8978" spans="2:4" ht="12.75" customHeight="1" x14ac:dyDescent="0.2">
      <c r="B8978" s="236"/>
      <c r="C8978" s="236"/>
      <c r="D8978" s="236"/>
    </row>
    <row r="8979" spans="2:4" ht="12.75" customHeight="1" x14ac:dyDescent="0.2">
      <c r="B8979" s="236"/>
      <c r="C8979" s="236"/>
      <c r="D8979" s="236"/>
    </row>
    <row r="8980" spans="2:4" ht="12.75" customHeight="1" x14ac:dyDescent="0.2">
      <c r="B8980" s="236"/>
      <c r="C8980" s="236"/>
      <c r="D8980" s="236"/>
    </row>
    <row r="8981" spans="2:4" x14ac:dyDescent="0.2">
      <c r="B8981" s="236"/>
      <c r="C8981" s="236"/>
      <c r="D8981" s="236"/>
    </row>
    <row r="8982" spans="2:4" ht="12.75" customHeight="1" x14ac:dyDescent="0.2">
      <c r="B8982" s="236"/>
      <c r="C8982" s="236"/>
      <c r="D8982" s="236"/>
    </row>
    <row r="8983" spans="2:4" x14ac:dyDescent="0.2">
      <c r="B8983" s="236"/>
      <c r="C8983" s="236"/>
      <c r="D8983" s="236"/>
    </row>
    <row r="8984" spans="2:4" ht="12.75" customHeight="1" x14ac:dyDescent="0.2">
      <c r="B8984" s="236"/>
      <c r="C8984" s="236"/>
      <c r="D8984" s="236"/>
    </row>
    <row r="8985" spans="2:4" ht="12.75" customHeight="1" x14ac:dyDescent="0.2">
      <c r="B8985" s="236"/>
      <c r="C8985" s="236"/>
      <c r="D8985" s="236"/>
    </row>
    <row r="8986" spans="2:4" ht="12.75" customHeight="1" x14ac:dyDescent="0.2">
      <c r="B8986" s="236"/>
      <c r="C8986" s="236"/>
      <c r="D8986" s="236"/>
    </row>
    <row r="8987" spans="2:4" ht="12.75" customHeight="1" x14ac:dyDescent="0.2">
      <c r="B8987" s="236"/>
      <c r="C8987" s="236"/>
      <c r="D8987" s="236"/>
    </row>
    <row r="8988" spans="2:4" ht="12.75" customHeight="1" x14ac:dyDescent="0.2">
      <c r="B8988" s="236"/>
      <c r="C8988" s="236"/>
      <c r="D8988" s="236"/>
    </row>
    <row r="8989" spans="2:4" ht="12.75" customHeight="1" x14ac:dyDescent="0.2">
      <c r="B8989" s="236"/>
      <c r="C8989" s="236"/>
      <c r="D8989" s="236"/>
    </row>
    <row r="8990" spans="2:4" ht="12.75" customHeight="1" x14ac:dyDescent="0.2">
      <c r="B8990" s="236"/>
      <c r="C8990" s="236"/>
      <c r="D8990" s="236"/>
    </row>
    <row r="8991" spans="2:4" ht="12.75" customHeight="1" x14ac:dyDescent="0.2">
      <c r="B8991" s="236"/>
      <c r="C8991" s="236"/>
      <c r="D8991" s="236"/>
    </row>
    <row r="8992" spans="2:4" x14ac:dyDescent="0.2">
      <c r="B8992" s="236"/>
      <c r="C8992" s="236"/>
      <c r="D8992" s="236"/>
    </row>
    <row r="8993" spans="2:4" ht="12.75" customHeight="1" x14ac:dyDescent="0.2">
      <c r="B8993" s="236"/>
      <c r="C8993" s="236"/>
      <c r="D8993" s="236"/>
    </row>
    <row r="8994" spans="2:4" ht="12.75" customHeight="1" x14ac:dyDescent="0.2">
      <c r="B8994" s="236"/>
      <c r="C8994" s="236"/>
      <c r="D8994" s="236"/>
    </row>
    <row r="8995" spans="2:4" ht="12.75" customHeight="1" x14ac:dyDescent="0.2">
      <c r="B8995" s="236"/>
      <c r="C8995" s="236"/>
      <c r="D8995" s="236"/>
    </row>
    <row r="8996" spans="2:4" x14ac:dyDescent="0.2">
      <c r="B8996" s="236"/>
      <c r="C8996" s="236"/>
      <c r="D8996" s="236"/>
    </row>
    <row r="8997" spans="2:4" ht="12.75" customHeight="1" x14ac:dyDescent="0.2">
      <c r="B8997" s="236"/>
      <c r="C8997" s="236"/>
      <c r="D8997" s="236"/>
    </row>
    <row r="8998" spans="2:4" ht="12.75" customHeight="1" x14ac:dyDescent="0.2">
      <c r="B8998" s="236"/>
      <c r="C8998" s="236"/>
      <c r="D8998" s="236"/>
    </row>
    <row r="8999" spans="2:4" ht="12.75" customHeight="1" x14ac:dyDescent="0.2">
      <c r="B8999" s="236"/>
      <c r="C8999" s="236"/>
      <c r="D8999" s="236"/>
    </row>
    <row r="9000" spans="2:4" ht="12.75" customHeight="1" x14ac:dyDescent="0.2">
      <c r="B9000" s="236"/>
      <c r="C9000" s="236"/>
      <c r="D9000" s="236"/>
    </row>
    <row r="9001" spans="2:4" ht="12.75" customHeight="1" x14ac:dyDescent="0.2">
      <c r="B9001" s="236"/>
      <c r="C9001" s="236"/>
      <c r="D9001" s="236"/>
    </row>
    <row r="9002" spans="2:4" ht="12.75" customHeight="1" x14ac:dyDescent="0.2">
      <c r="B9002" s="236"/>
      <c r="C9002" s="236"/>
      <c r="D9002" s="236"/>
    </row>
    <row r="9003" spans="2:4" ht="12.75" customHeight="1" x14ac:dyDescent="0.2">
      <c r="B9003" s="236"/>
      <c r="C9003" s="236"/>
      <c r="D9003" s="236"/>
    </row>
    <row r="9004" spans="2:4" ht="12.75" customHeight="1" x14ac:dyDescent="0.2">
      <c r="B9004" s="236"/>
      <c r="C9004" s="236"/>
      <c r="D9004" s="236"/>
    </row>
    <row r="9005" spans="2:4" ht="12.75" customHeight="1" x14ac:dyDescent="0.2">
      <c r="B9005" s="236"/>
      <c r="C9005" s="236"/>
      <c r="D9005" s="236"/>
    </row>
    <row r="9006" spans="2:4" x14ac:dyDescent="0.2">
      <c r="B9006" s="236"/>
      <c r="C9006" s="236"/>
      <c r="D9006" s="236"/>
    </row>
    <row r="9007" spans="2:4" ht="12.75" customHeight="1" x14ac:dyDescent="0.2">
      <c r="B9007" s="236"/>
      <c r="C9007" s="236"/>
      <c r="D9007" s="236"/>
    </row>
    <row r="9008" spans="2:4" ht="12.75" customHeight="1" x14ac:dyDescent="0.2">
      <c r="B9008" s="236"/>
      <c r="C9008" s="236"/>
      <c r="D9008" s="236"/>
    </row>
    <row r="9009" spans="2:4" ht="12.75" customHeight="1" x14ac:dyDescent="0.2">
      <c r="B9009" s="236"/>
      <c r="C9009" s="236"/>
      <c r="D9009" s="236"/>
    </row>
    <row r="9010" spans="2:4" ht="12.75" customHeight="1" x14ac:dyDescent="0.2">
      <c r="B9010" s="236"/>
      <c r="C9010" s="236"/>
      <c r="D9010" s="236"/>
    </row>
    <row r="9011" spans="2:4" x14ac:dyDescent="0.2">
      <c r="B9011" s="236"/>
      <c r="C9011" s="236"/>
      <c r="D9011" s="236"/>
    </row>
    <row r="9012" spans="2:4" ht="12.75" customHeight="1" x14ac:dyDescent="0.2">
      <c r="B9012" s="236"/>
      <c r="C9012" s="236"/>
      <c r="D9012" s="236"/>
    </row>
    <row r="9013" spans="2:4" ht="12.75" customHeight="1" x14ac:dyDescent="0.2">
      <c r="B9013" s="236"/>
      <c r="C9013" s="236"/>
      <c r="D9013" s="236"/>
    </row>
    <row r="9014" spans="2:4" x14ac:dyDescent="0.2">
      <c r="B9014" s="236"/>
      <c r="C9014" s="236"/>
      <c r="D9014" s="236"/>
    </row>
    <row r="9015" spans="2:4" ht="12.75" customHeight="1" x14ac:dyDescent="0.2">
      <c r="B9015" s="236"/>
      <c r="C9015" s="236"/>
      <c r="D9015" s="236"/>
    </row>
    <row r="9016" spans="2:4" ht="12.75" customHeight="1" x14ac:dyDescent="0.2">
      <c r="B9016" s="236"/>
      <c r="C9016" s="236"/>
      <c r="D9016" s="236"/>
    </row>
    <row r="9017" spans="2:4" ht="12.75" customHeight="1" x14ac:dyDescent="0.2">
      <c r="B9017" s="236"/>
      <c r="C9017" s="236"/>
      <c r="D9017" s="236"/>
    </row>
    <row r="9018" spans="2:4" ht="12.75" customHeight="1" x14ac:dyDescent="0.2">
      <c r="B9018" s="236"/>
      <c r="C9018" s="236"/>
      <c r="D9018" s="236"/>
    </row>
    <row r="9019" spans="2:4" ht="12.75" customHeight="1" x14ac:dyDescent="0.2">
      <c r="B9019" s="236"/>
      <c r="C9019" s="236"/>
      <c r="D9019" s="236"/>
    </row>
    <row r="9020" spans="2:4" x14ac:dyDescent="0.2">
      <c r="B9020" s="236"/>
      <c r="C9020" s="236"/>
      <c r="D9020" s="236"/>
    </row>
    <row r="9021" spans="2:4" ht="12.75" customHeight="1" x14ac:dyDescent="0.2">
      <c r="B9021" s="236"/>
      <c r="C9021" s="236"/>
      <c r="D9021" s="236"/>
    </row>
    <row r="9022" spans="2:4" ht="12.75" customHeight="1" x14ac:dyDescent="0.2">
      <c r="B9022" s="236"/>
      <c r="C9022" s="236"/>
      <c r="D9022" s="236"/>
    </row>
    <row r="9023" spans="2:4" x14ac:dyDescent="0.2">
      <c r="B9023" s="236"/>
      <c r="C9023" s="236"/>
      <c r="D9023" s="236"/>
    </row>
    <row r="9024" spans="2:4" ht="12.75" customHeight="1" x14ac:dyDescent="0.2">
      <c r="B9024" s="236"/>
      <c r="C9024" s="236"/>
      <c r="D9024" s="236"/>
    </row>
    <row r="9025" spans="2:4" x14ac:dyDescent="0.2">
      <c r="B9025" s="236"/>
      <c r="C9025" s="236"/>
      <c r="D9025" s="236"/>
    </row>
    <row r="9026" spans="2:4" ht="12.75" customHeight="1" x14ac:dyDescent="0.2">
      <c r="B9026" s="236"/>
      <c r="C9026" s="236"/>
      <c r="D9026" s="236"/>
    </row>
    <row r="9027" spans="2:4" x14ac:dyDescent="0.2">
      <c r="B9027" s="236"/>
      <c r="C9027" s="236"/>
      <c r="D9027" s="236"/>
    </row>
    <row r="9028" spans="2:4" ht="12.75" customHeight="1" x14ac:dyDescent="0.2">
      <c r="B9028" s="236"/>
      <c r="C9028" s="236"/>
      <c r="D9028" s="236"/>
    </row>
    <row r="9029" spans="2:4" x14ac:dyDescent="0.2">
      <c r="B9029" s="236"/>
      <c r="C9029" s="236"/>
      <c r="D9029" s="236"/>
    </row>
    <row r="9030" spans="2:4" ht="12.75" customHeight="1" x14ac:dyDescent="0.2">
      <c r="B9030" s="236"/>
      <c r="C9030" s="236"/>
      <c r="D9030" s="236"/>
    </row>
    <row r="9031" spans="2:4" ht="12.75" customHeight="1" x14ac:dyDescent="0.2">
      <c r="B9031" s="236"/>
      <c r="C9031" s="236"/>
      <c r="D9031" s="236"/>
    </row>
    <row r="9032" spans="2:4" ht="12.75" customHeight="1" x14ac:dyDescent="0.2">
      <c r="B9032" s="236"/>
      <c r="C9032" s="236"/>
      <c r="D9032" s="236"/>
    </row>
    <row r="9033" spans="2:4" ht="12.75" customHeight="1" x14ac:dyDescent="0.2">
      <c r="B9033" s="236"/>
      <c r="C9033" s="236"/>
      <c r="D9033" s="236"/>
    </row>
    <row r="9034" spans="2:4" ht="12.75" customHeight="1" x14ac:dyDescent="0.2">
      <c r="B9034" s="236"/>
      <c r="C9034" s="236"/>
      <c r="D9034" s="236"/>
    </row>
    <row r="9035" spans="2:4" ht="12.75" customHeight="1" x14ac:dyDescent="0.2">
      <c r="B9035" s="236"/>
      <c r="C9035" s="236"/>
      <c r="D9035" s="236"/>
    </row>
    <row r="9036" spans="2:4" ht="12.75" customHeight="1" x14ac:dyDescent="0.2">
      <c r="B9036" s="236"/>
      <c r="C9036" s="236"/>
      <c r="D9036" s="236"/>
    </row>
    <row r="9037" spans="2:4" ht="12.75" customHeight="1" x14ac:dyDescent="0.2">
      <c r="B9037" s="236"/>
      <c r="C9037" s="236"/>
      <c r="D9037" s="236"/>
    </row>
    <row r="9038" spans="2:4" x14ac:dyDescent="0.2">
      <c r="B9038" s="236"/>
      <c r="C9038" s="236"/>
      <c r="D9038" s="236"/>
    </row>
    <row r="9039" spans="2:4" ht="12.75" customHeight="1" x14ac:dyDescent="0.2">
      <c r="B9039" s="236"/>
      <c r="C9039" s="236"/>
      <c r="D9039" s="236"/>
    </row>
    <row r="9040" spans="2:4" x14ac:dyDescent="0.2">
      <c r="B9040" s="236"/>
      <c r="C9040" s="236"/>
      <c r="D9040" s="236"/>
    </row>
    <row r="9041" spans="2:4" ht="12.75" customHeight="1" x14ac:dyDescent="0.2">
      <c r="B9041" s="236"/>
      <c r="C9041" s="236"/>
      <c r="D9041" s="236"/>
    </row>
    <row r="9042" spans="2:4" x14ac:dyDescent="0.2">
      <c r="B9042" s="236"/>
      <c r="C9042" s="236"/>
      <c r="D9042" s="236"/>
    </row>
    <row r="9043" spans="2:4" ht="12.75" customHeight="1" x14ac:dyDescent="0.2">
      <c r="B9043" s="236"/>
      <c r="C9043" s="236"/>
      <c r="D9043" s="236"/>
    </row>
    <row r="9044" spans="2:4" ht="12.75" customHeight="1" x14ac:dyDescent="0.2">
      <c r="B9044" s="236"/>
      <c r="C9044" s="236"/>
      <c r="D9044" s="236"/>
    </row>
    <row r="9045" spans="2:4" ht="12.75" customHeight="1" x14ac:dyDescent="0.2">
      <c r="B9045" s="236"/>
      <c r="C9045" s="236"/>
      <c r="D9045" s="236"/>
    </row>
    <row r="9046" spans="2:4" ht="12.75" customHeight="1" x14ac:dyDescent="0.2">
      <c r="B9046" s="236"/>
      <c r="C9046" s="236"/>
      <c r="D9046" s="236"/>
    </row>
    <row r="9047" spans="2:4" x14ac:dyDescent="0.2">
      <c r="B9047" s="236"/>
      <c r="C9047" s="236"/>
      <c r="D9047" s="236"/>
    </row>
    <row r="9048" spans="2:4" ht="12.75" customHeight="1" x14ac:dyDescent="0.2">
      <c r="B9048" s="236"/>
      <c r="C9048" s="236"/>
      <c r="D9048" s="236"/>
    </row>
    <row r="9049" spans="2:4" ht="12.75" customHeight="1" x14ac:dyDescent="0.2">
      <c r="B9049" s="236"/>
      <c r="C9049" s="236"/>
      <c r="D9049" s="236"/>
    </row>
    <row r="9050" spans="2:4" x14ac:dyDescent="0.2">
      <c r="B9050" s="236"/>
      <c r="C9050" s="236"/>
      <c r="D9050" s="236"/>
    </row>
    <row r="9051" spans="2:4" ht="12.75" customHeight="1" x14ac:dyDescent="0.2">
      <c r="B9051" s="236"/>
      <c r="C9051" s="236"/>
      <c r="D9051" s="236"/>
    </row>
    <row r="9052" spans="2:4" x14ac:dyDescent="0.2">
      <c r="B9052" s="236"/>
      <c r="C9052" s="236"/>
      <c r="D9052" s="236"/>
    </row>
    <row r="9053" spans="2:4" ht="12.75" customHeight="1" x14ac:dyDescent="0.2">
      <c r="B9053" s="236"/>
      <c r="C9053" s="236"/>
      <c r="D9053" s="236"/>
    </row>
    <row r="9054" spans="2:4" x14ac:dyDescent="0.2">
      <c r="B9054" s="236"/>
      <c r="C9054" s="236"/>
      <c r="D9054" s="236"/>
    </row>
    <row r="9055" spans="2:4" ht="12.75" customHeight="1" x14ac:dyDescent="0.2">
      <c r="B9055" s="236"/>
      <c r="C9055" s="236"/>
      <c r="D9055" s="236"/>
    </row>
    <row r="9056" spans="2:4" ht="12.75" customHeight="1" x14ac:dyDescent="0.2">
      <c r="B9056" s="236"/>
      <c r="C9056" s="236"/>
      <c r="D9056" s="236"/>
    </row>
    <row r="9057" spans="2:4" ht="12.75" customHeight="1" x14ac:dyDescent="0.2">
      <c r="B9057" s="236"/>
      <c r="C9057" s="236"/>
      <c r="D9057" s="236"/>
    </row>
    <row r="9058" spans="2:4" ht="12.75" customHeight="1" x14ac:dyDescent="0.2">
      <c r="B9058" s="236"/>
      <c r="C9058" s="236"/>
      <c r="D9058" s="236"/>
    </row>
    <row r="9059" spans="2:4" ht="12.75" customHeight="1" x14ac:dyDescent="0.2">
      <c r="B9059" s="236"/>
      <c r="C9059" s="236"/>
      <c r="D9059" s="236"/>
    </row>
    <row r="9060" spans="2:4" x14ac:dyDescent="0.2">
      <c r="B9060" s="236"/>
      <c r="C9060" s="236"/>
      <c r="D9060" s="236"/>
    </row>
    <row r="9061" spans="2:4" ht="12.75" customHeight="1" x14ac:dyDescent="0.2">
      <c r="B9061" s="236"/>
      <c r="C9061" s="236"/>
      <c r="D9061" s="236"/>
    </row>
    <row r="9062" spans="2:4" x14ac:dyDescent="0.2">
      <c r="B9062" s="236"/>
      <c r="C9062" s="236"/>
      <c r="D9062" s="236"/>
    </row>
    <row r="9063" spans="2:4" ht="12.75" customHeight="1" x14ac:dyDescent="0.2">
      <c r="B9063" s="236"/>
      <c r="C9063" s="236"/>
      <c r="D9063" s="236"/>
    </row>
    <row r="9064" spans="2:4" x14ac:dyDescent="0.2">
      <c r="B9064" s="236"/>
      <c r="C9064" s="236"/>
      <c r="D9064" s="236"/>
    </row>
    <row r="9065" spans="2:4" ht="12.75" customHeight="1" x14ac:dyDescent="0.2">
      <c r="B9065" s="236"/>
      <c r="C9065" s="236"/>
      <c r="D9065" s="236"/>
    </row>
    <row r="9066" spans="2:4" x14ac:dyDescent="0.2">
      <c r="B9066" s="236"/>
      <c r="C9066" s="236"/>
      <c r="D9066" s="236"/>
    </row>
    <row r="9067" spans="2:4" ht="12.75" customHeight="1" x14ac:dyDescent="0.2">
      <c r="B9067" s="236"/>
      <c r="C9067" s="236"/>
      <c r="D9067" s="236"/>
    </row>
    <row r="9068" spans="2:4" x14ac:dyDescent="0.2">
      <c r="B9068" s="236"/>
      <c r="C9068" s="236"/>
      <c r="D9068" s="236"/>
    </row>
    <row r="9069" spans="2:4" ht="12.75" customHeight="1" x14ac:dyDescent="0.2">
      <c r="B9069" s="236"/>
      <c r="C9069" s="236"/>
      <c r="D9069" s="236"/>
    </row>
    <row r="9070" spans="2:4" x14ac:dyDescent="0.2">
      <c r="B9070" s="236"/>
      <c r="C9070" s="236"/>
      <c r="D9070" s="236"/>
    </row>
    <row r="9071" spans="2:4" ht="12.75" customHeight="1" x14ac:dyDescent="0.2">
      <c r="B9071" s="236"/>
      <c r="C9071" s="236"/>
      <c r="D9071" s="236"/>
    </row>
    <row r="9072" spans="2:4" ht="12.75" customHeight="1" x14ac:dyDescent="0.2">
      <c r="B9072" s="236"/>
      <c r="C9072" s="236"/>
      <c r="D9072" s="236"/>
    </row>
    <row r="9073" spans="2:4" ht="12.75" customHeight="1" x14ac:dyDescent="0.2">
      <c r="B9073" s="236"/>
      <c r="C9073" s="236"/>
      <c r="D9073" s="236"/>
    </row>
    <row r="9074" spans="2:4" ht="12.75" customHeight="1" x14ac:dyDescent="0.2">
      <c r="B9074" s="236"/>
      <c r="C9074" s="236"/>
      <c r="D9074" s="236"/>
    </row>
    <row r="9075" spans="2:4" ht="12.75" customHeight="1" x14ac:dyDescent="0.2">
      <c r="B9075" s="236"/>
      <c r="C9075" s="236"/>
      <c r="D9075" s="236"/>
    </row>
    <row r="9076" spans="2:4" ht="12.75" customHeight="1" x14ac:dyDescent="0.2">
      <c r="B9076" s="236"/>
      <c r="C9076" s="236"/>
      <c r="D9076" s="236"/>
    </row>
    <row r="9077" spans="2:4" ht="12.75" customHeight="1" x14ac:dyDescent="0.2">
      <c r="B9077" s="236"/>
      <c r="C9077" s="236"/>
      <c r="D9077" s="236"/>
    </row>
    <row r="9078" spans="2:4" ht="12.75" customHeight="1" x14ac:dyDescent="0.2">
      <c r="B9078" s="236"/>
      <c r="C9078" s="236"/>
      <c r="D9078" s="236"/>
    </row>
    <row r="9079" spans="2:4" x14ac:dyDescent="0.2">
      <c r="B9079" s="236"/>
      <c r="C9079" s="236"/>
      <c r="D9079" s="236"/>
    </row>
    <row r="9080" spans="2:4" ht="12.75" customHeight="1" x14ac:dyDescent="0.2">
      <c r="B9080" s="236"/>
      <c r="C9080" s="236"/>
      <c r="D9080" s="236"/>
    </row>
    <row r="9081" spans="2:4" ht="12.75" customHeight="1" x14ac:dyDescent="0.2">
      <c r="B9081" s="236"/>
      <c r="C9081" s="236"/>
      <c r="D9081" s="236"/>
    </row>
    <row r="9082" spans="2:4" x14ac:dyDescent="0.2">
      <c r="B9082" s="236"/>
      <c r="C9082" s="236"/>
      <c r="D9082" s="236"/>
    </row>
    <row r="9083" spans="2:4" ht="12.75" customHeight="1" x14ac:dyDescent="0.2">
      <c r="B9083" s="236"/>
      <c r="C9083" s="236"/>
      <c r="D9083" s="236"/>
    </row>
    <row r="9084" spans="2:4" x14ac:dyDescent="0.2">
      <c r="B9084" s="236"/>
      <c r="C9084" s="236"/>
      <c r="D9084" s="236"/>
    </row>
    <row r="9085" spans="2:4" ht="12.75" customHeight="1" x14ac:dyDescent="0.2">
      <c r="B9085" s="236"/>
      <c r="C9085" s="236"/>
      <c r="D9085" s="236"/>
    </row>
    <row r="9086" spans="2:4" ht="12.75" customHeight="1" x14ac:dyDescent="0.2">
      <c r="B9086" s="236"/>
      <c r="C9086" s="236"/>
      <c r="D9086" s="236"/>
    </row>
    <row r="9087" spans="2:4" ht="12.75" customHeight="1" x14ac:dyDescent="0.2">
      <c r="B9087" s="236"/>
      <c r="C9087" s="236"/>
      <c r="D9087" s="236"/>
    </row>
    <row r="9088" spans="2:4" ht="12.75" customHeight="1" x14ac:dyDescent="0.2">
      <c r="B9088" s="236"/>
      <c r="C9088" s="236"/>
      <c r="D9088" s="236"/>
    </row>
    <row r="9089" spans="2:4" ht="12.75" customHeight="1" x14ac:dyDescent="0.2">
      <c r="B9089" s="236"/>
      <c r="C9089" s="236"/>
      <c r="D9089" s="236"/>
    </row>
    <row r="9090" spans="2:4" x14ac:dyDescent="0.2">
      <c r="B9090" s="236"/>
      <c r="C9090" s="236"/>
      <c r="D9090" s="236"/>
    </row>
    <row r="9091" spans="2:4" ht="12.75" customHeight="1" x14ac:dyDescent="0.2">
      <c r="B9091" s="236"/>
      <c r="C9091" s="236"/>
      <c r="D9091" s="236"/>
    </row>
    <row r="9092" spans="2:4" x14ac:dyDescent="0.2">
      <c r="B9092" s="236"/>
      <c r="C9092" s="236"/>
      <c r="D9092" s="236"/>
    </row>
    <row r="9093" spans="2:4" ht="12.75" customHeight="1" x14ac:dyDescent="0.2">
      <c r="B9093" s="236"/>
      <c r="C9093" s="236"/>
      <c r="D9093" s="236"/>
    </row>
    <row r="9094" spans="2:4" ht="12.75" customHeight="1" x14ac:dyDescent="0.2">
      <c r="B9094" s="236"/>
      <c r="C9094" s="236"/>
      <c r="D9094" s="236"/>
    </row>
    <row r="9095" spans="2:4" x14ac:dyDescent="0.2">
      <c r="B9095" s="236"/>
      <c r="C9095" s="236"/>
      <c r="D9095" s="236"/>
    </row>
    <row r="9096" spans="2:4" ht="12.75" customHeight="1" x14ac:dyDescent="0.2">
      <c r="B9096" s="236"/>
      <c r="C9096" s="236"/>
      <c r="D9096" s="236"/>
    </row>
    <row r="9097" spans="2:4" ht="12.75" customHeight="1" x14ac:dyDescent="0.2">
      <c r="B9097" s="236"/>
      <c r="C9097" s="236"/>
      <c r="D9097" s="236"/>
    </row>
    <row r="9098" spans="2:4" x14ac:dyDescent="0.2">
      <c r="B9098" s="236"/>
      <c r="C9098" s="236"/>
      <c r="D9098" s="236"/>
    </row>
    <row r="9099" spans="2:4" ht="12.75" customHeight="1" x14ac:dyDescent="0.2">
      <c r="B9099" s="236"/>
      <c r="C9099" s="236"/>
      <c r="D9099" s="236"/>
    </row>
    <row r="9100" spans="2:4" x14ac:dyDescent="0.2">
      <c r="B9100" s="236"/>
      <c r="C9100" s="236"/>
      <c r="D9100" s="236"/>
    </row>
    <row r="9101" spans="2:4" ht="12.75" customHeight="1" x14ac:dyDescent="0.2">
      <c r="B9101" s="236"/>
      <c r="C9101" s="236"/>
      <c r="D9101" s="236"/>
    </row>
    <row r="9102" spans="2:4" x14ac:dyDescent="0.2">
      <c r="B9102" s="236"/>
      <c r="C9102" s="236"/>
      <c r="D9102" s="236"/>
    </row>
    <row r="9103" spans="2:4" ht="12.75" customHeight="1" x14ac:dyDescent="0.2">
      <c r="B9103" s="236"/>
      <c r="C9103" s="236"/>
      <c r="D9103" s="236"/>
    </row>
    <row r="9104" spans="2:4" ht="12.75" customHeight="1" x14ac:dyDescent="0.2">
      <c r="B9104" s="236"/>
      <c r="C9104" s="236"/>
      <c r="D9104" s="236"/>
    </row>
    <row r="9105" spans="2:4" ht="12.75" customHeight="1" x14ac:dyDescent="0.2">
      <c r="B9105" s="236"/>
      <c r="C9105" s="236"/>
      <c r="D9105" s="236"/>
    </row>
    <row r="9106" spans="2:4" x14ac:dyDescent="0.2">
      <c r="B9106" s="236"/>
      <c r="C9106" s="236"/>
      <c r="D9106" s="236"/>
    </row>
    <row r="9107" spans="2:4" ht="12.75" customHeight="1" x14ac:dyDescent="0.2">
      <c r="B9107" s="236"/>
      <c r="C9107" s="236"/>
      <c r="D9107" s="236"/>
    </row>
    <row r="9108" spans="2:4" ht="12.75" customHeight="1" x14ac:dyDescent="0.2">
      <c r="B9108" s="236"/>
      <c r="C9108" s="236"/>
      <c r="D9108" s="236"/>
    </row>
    <row r="9109" spans="2:4" ht="12.75" customHeight="1" x14ac:dyDescent="0.2">
      <c r="B9109" s="236"/>
      <c r="C9109" s="236"/>
      <c r="D9109" s="236"/>
    </row>
    <row r="9110" spans="2:4" x14ac:dyDescent="0.2">
      <c r="B9110" s="236"/>
      <c r="C9110" s="236"/>
      <c r="D9110" s="236"/>
    </row>
    <row r="9111" spans="2:4" ht="12.75" customHeight="1" x14ac:dyDescent="0.2">
      <c r="B9111" s="236"/>
      <c r="C9111" s="236"/>
      <c r="D9111" s="236"/>
    </row>
    <row r="9112" spans="2:4" x14ac:dyDescent="0.2">
      <c r="B9112" s="236"/>
      <c r="C9112" s="236"/>
      <c r="D9112" s="236"/>
    </row>
    <row r="9113" spans="2:4" ht="12.75" customHeight="1" x14ac:dyDescent="0.2">
      <c r="B9113" s="236"/>
      <c r="C9113" s="236"/>
      <c r="D9113" s="236"/>
    </row>
    <row r="9114" spans="2:4" ht="12.75" customHeight="1" x14ac:dyDescent="0.2">
      <c r="B9114" s="236"/>
      <c r="C9114" s="236"/>
      <c r="D9114" s="236"/>
    </row>
    <row r="9115" spans="2:4" ht="12.75" customHeight="1" x14ac:dyDescent="0.2">
      <c r="B9115" s="236"/>
      <c r="C9115" s="236"/>
      <c r="D9115" s="236"/>
    </row>
    <row r="9116" spans="2:4" x14ac:dyDescent="0.2">
      <c r="B9116" s="236"/>
      <c r="C9116" s="236"/>
      <c r="D9116" s="236"/>
    </row>
    <row r="9117" spans="2:4" ht="12.75" customHeight="1" x14ac:dyDescent="0.2">
      <c r="B9117" s="236"/>
      <c r="C9117" s="236"/>
      <c r="D9117" s="236"/>
    </row>
    <row r="9118" spans="2:4" ht="12.75" customHeight="1" x14ac:dyDescent="0.2">
      <c r="B9118" s="236"/>
      <c r="C9118" s="236"/>
      <c r="D9118" s="236"/>
    </row>
    <row r="9119" spans="2:4" x14ac:dyDescent="0.2">
      <c r="B9119" s="236"/>
      <c r="C9119" s="236"/>
      <c r="D9119" s="236"/>
    </row>
    <row r="9120" spans="2:4" ht="12.75" customHeight="1" x14ac:dyDescent="0.2">
      <c r="B9120" s="236"/>
      <c r="C9120" s="236"/>
      <c r="D9120" s="236"/>
    </row>
    <row r="9121" spans="2:4" x14ac:dyDescent="0.2">
      <c r="B9121" s="236"/>
      <c r="C9121" s="236"/>
      <c r="D9121" s="236"/>
    </row>
    <row r="9122" spans="2:4" ht="12.75" customHeight="1" x14ac:dyDescent="0.2">
      <c r="B9122" s="236"/>
      <c r="C9122" s="236"/>
      <c r="D9122" s="236"/>
    </row>
    <row r="9123" spans="2:4" ht="12.75" customHeight="1" x14ac:dyDescent="0.2">
      <c r="B9123" s="236"/>
      <c r="C9123" s="236"/>
      <c r="D9123" s="236"/>
    </row>
    <row r="9124" spans="2:4" ht="12.75" customHeight="1" x14ac:dyDescent="0.2">
      <c r="B9124" s="236"/>
      <c r="C9124" s="236"/>
      <c r="D9124" s="236"/>
    </row>
    <row r="9125" spans="2:4" ht="12.75" customHeight="1" x14ac:dyDescent="0.2">
      <c r="B9125" s="236"/>
      <c r="C9125" s="236"/>
      <c r="D9125" s="236"/>
    </row>
    <row r="9126" spans="2:4" ht="12.75" customHeight="1" x14ac:dyDescent="0.2">
      <c r="B9126" s="236"/>
      <c r="C9126" s="236"/>
      <c r="D9126" s="236"/>
    </row>
    <row r="9127" spans="2:4" x14ac:dyDescent="0.2">
      <c r="B9127" s="236"/>
      <c r="C9127" s="236"/>
      <c r="D9127" s="236"/>
    </row>
    <row r="9128" spans="2:4" ht="12.75" customHeight="1" x14ac:dyDescent="0.2">
      <c r="B9128" s="236"/>
      <c r="C9128" s="236"/>
      <c r="D9128" s="236"/>
    </row>
    <row r="9129" spans="2:4" ht="12.75" customHeight="1" x14ac:dyDescent="0.2">
      <c r="B9129" s="236"/>
      <c r="C9129" s="236"/>
      <c r="D9129" s="236"/>
    </row>
    <row r="9130" spans="2:4" ht="12.75" customHeight="1" x14ac:dyDescent="0.2">
      <c r="B9130" s="236"/>
      <c r="C9130" s="236"/>
      <c r="D9130" s="236"/>
    </row>
    <row r="9131" spans="2:4" x14ac:dyDescent="0.2">
      <c r="B9131" s="236"/>
      <c r="C9131" s="236"/>
      <c r="D9131" s="236"/>
    </row>
    <row r="9132" spans="2:4" ht="12.75" customHeight="1" x14ac:dyDescent="0.2">
      <c r="B9132" s="236"/>
      <c r="C9132" s="236"/>
      <c r="D9132" s="236"/>
    </row>
    <row r="9133" spans="2:4" ht="12.75" customHeight="1" x14ac:dyDescent="0.2">
      <c r="B9133" s="236"/>
      <c r="C9133" s="236"/>
      <c r="D9133" s="236"/>
    </row>
    <row r="9134" spans="2:4" ht="12.75" customHeight="1" x14ac:dyDescent="0.2">
      <c r="B9134" s="236"/>
      <c r="C9134" s="236"/>
      <c r="D9134" s="236"/>
    </row>
    <row r="9135" spans="2:4" ht="12.75" customHeight="1" x14ac:dyDescent="0.2">
      <c r="B9135" s="236"/>
      <c r="C9135" s="236"/>
      <c r="D9135" s="236"/>
    </row>
    <row r="9136" spans="2:4" ht="12.75" customHeight="1" x14ac:dyDescent="0.2">
      <c r="B9136" s="236"/>
      <c r="C9136" s="236"/>
      <c r="D9136" s="236"/>
    </row>
    <row r="9137" spans="2:4" ht="12.75" customHeight="1" x14ac:dyDescent="0.2">
      <c r="B9137" s="236"/>
      <c r="C9137" s="236"/>
      <c r="D9137" s="236"/>
    </row>
    <row r="9138" spans="2:4" ht="12.75" customHeight="1" x14ac:dyDescent="0.2">
      <c r="B9138" s="236"/>
      <c r="C9138" s="236"/>
      <c r="D9138" s="236"/>
    </row>
    <row r="9139" spans="2:4" ht="12.75" customHeight="1" x14ac:dyDescent="0.2">
      <c r="B9139" s="236"/>
      <c r="C9139" s="236"/>
      <c r="D9139" s="236"/>
    </row>
    <row r="9140" spans="2:4" ht="12.75" customHeight="1" x14ac:dyDescent="0.2">
      <c r="B9140" s="236"/>
      <c r="C9140" s="236"/>
      <c r="D9140" s="236"/>
    </row>
    <row r="9141" spans="2:4" ht="12.75" customHeight="1" x14ac:dyDescent="0.2">
      <c r="B9141" s="236"/>
      <c r="C9141" s="236"/>
      <c r="D9141" s="236"/>
    </row>
    <row r="9142" spans="2:4" ht="12.75" customHeight="1" x14ac:dyDescent="0.2">
      <c r="B9142" s="236"/>
      <c r="C9142" s="236"/>
      <c r="D9142" s="236"/>
    </row>
    <row r="9143" spans="2:4" ht="12.75" customHeight="1" x14ac:dyDescent="0.2">
      <c r="B9143" s="236"/>
      <c r="C9143" s="236"/>
      <c r="D9143" s="236"/>
    </row>
    <row r="9144" spans="2:4" ht="12.75" customHeight="1" x14ac:dyDescent="0.2">
      <c r="B9144" s="236"/>
      <c r="C9144" s="236"/>
      <c r="D9144" s="236"/>
    </row>
    <row r="9145" spans="2:4" ht="12.75" customHeight="1" x14ac:dyDescent="0.2">
      <c r="B9145" s="236"/>
      <c r="C9145" s="236"/>
      <c r="D9145" s="236"/>
    </row>
    <row r="9146" spans="2:4" ht="12.75" customHeight="1" x14ac:dyDescent="0.2">
      <c r="B9146" s="236"/>
      <c r="C9146" s="236"/>
      <c r="D9146" s="236"/>
    </row>
    <row r="9147" spans="2:4" ht="12.75" customHeight="1" x14ac:dyDescent="0.2">
      <c r="B9147" s="236"/>
      <c r="C9147" s="236"/>
      <c r="D9147" s="236"/>
    </row>
    <row r="9148" spans="2:4" ht="12.75" customHeight="1" x14ac:dyDescent="0.2">
      <c r="B9148" s="236"/>
      <c r="C9148" s="236"/>
      <c r="D9148" s="236"/>
    </row>
    <row r="9149" spans="2:4" ht="12.75" customHeight="1" x14ac:dyDescent="0.2">
      <c r="B9149" s="236"/>
      <c r="C9149" s="236"/>
      <c r="D9149" s="236"/>
    </row>
    <row r="9150" spans="2:4" ht="12.75" customHeight="1" x14ac:dyDescent="0.2">
      <c r="B9150" s="236"/>
      <c r="C9150" s="236"/>
      <c r="D9150" s="236"/>
    </row>
    <row r="9151" spans="2:4" x14ac:dyDescent="0.2">
      <c r="B9151" s="236"/>
      <c r="C9151" s="236"/>
      <c r="D9151" s="236"/>
    </row>
    <row r="9152" spans="2:4" ht="12.75" customHeight="1" x14ac:dyDescent="0.2">
      <c r="B9152" s="236"/>
      <c r="C9152" s="236"/>
      <c r="D9152" s="236"/>
    </row>
    <row r="9153" spans="2:4" ht="12.75" customHeight="1" x14ac:dyDescent="0.2">
      <c r="B9153" s="236"/>
      <c r="C9153" s="236"/>
      <c r="D9153" s="236"/>
    </row>
    <row r="9154" spans="2:4" x14ac:dyDescent="0.2">
      <c r="B9154" s="236"/>
      <c r="C9154" s="236"/>
      <c r="D9154" s="236"/>
    </row>
    <row r="9155" spans="2:4" ht="12.75" customHeight="1" x14ac:dyDescent="0.2">
      <c r="B9155" s="236"/>
      <c r="C9155" s="236"/>
      <c r="D9155" s="236"/>
    </row>
    <row r="9156" spans="2:4" ht="12.75" customHeight="1" x14ac:dyDescent="0.2">
      <c r="B9156" s="236"/>
      <c r="C9156" s="236"/>
      <c r="D9156" s="236"/>
    </row>
    <row r="9157" spans="2:4" ht="12.75" customHeight="1" x14ac:dyDescent="0.2">
      <c r="B9157" s="236"/>
      <c r="C9157" s="236"/>
      <c r="D9157" s="236"/>
    </row>
    <row r="9158" spans="2:4" ht="12.75" customHeight="1" x14ac:dyDescent="0.2">
      <c r="B9158" s="236"/>
      <c r="C9158" s="236"/>
      <c r="D9158" s="236"/>
    </row>
    <row r="9159" spans="2:4" ht="12.75" customHeight="1" x14ac:dyDescent="0.2">
      <c r="B9159" s="236"/>
      <c r="C9159" s="236"/>
      <c r="D9159" s="236"/>
    </row>
    <row r="9160" spans="2:4" ht="12.75" customHeight="1" x14ac:dyDescent="0.2">
      <c r="B9160" s="236"/>
      <c r="C9160" s="236"/>
      <c r="D9160" s="236"/>
    </row>
    <row r="9161" spans="2:4" ht="12.75" customHeight="1" x14ac:dyDescent="0.2">
      <c r="B9161" s="236"/>
      <c r="C9161" s="236"/>
      <c r="D9161" s="236"/>
    </row>
    <row r="9162" spans="2:4" ht="12.75" customHeight="1" x14ac:dyDescent="0.2">
      <c r="B9162" s="236"/>
      <c r="C9162" s="236"/>
      <c r="D9162" s="236"/>
    </row>
    <row r="9163" spans="2:4" x14ac:dyDescent="0.2">
      <c r="B9163" s="236"/>
      <c r="C9163" s="236"/>
      <c r="D9163" s="236"/>
    </row>
    <row r="9164" spans="2:4" ht="12.75" customHeight="1" x14ac:dyDescent="0.2">
      <c r="B9164" s="236"/>
      <c r="C9164" s="236"/>
      <c r="D9164" s="236"/>
    </row>
    <row r="9165" spans="2:4" ht="12.75" customHeight="1" x14ac:dyDescent="0.2">
      <c r="B9165" s="236"/>
      <c r="C9165" s="236"/>
      <c r="D9165" s="236"/>
    </row>
    <row r="9166" spans="2:4" ht="12.75" customHeight="1" x14ac:dyDescent="0.2">
      <c r="B9166" s="236"/>
      <c r="C9166" s="236"/>
      <c r="D9166" s="236"/>
    </row>
    <row r="9167" spans="2:4" x14ac:dyDescent="0.2">
      <c r="B9167" s="236"/>
      <c r="C9167" s="236"/>
      <c r="D9167" s="236"/>
    </row>
    <row r="9168" spans="2:4" ht="12.75" customHeight="1" x14ac:dyDescent="0.2">
      <c r="B9168" s="236"/>
      <c r="C9168" s="236"/>
      <c r="D9168" s="236"/>
    </row>
    <row r="9169" spans="2:4" x14ac:dyDescent="0.2">
      <c r="B9169" s="236"/>
      <c r="C9169" s="236"/>
      <c r="D9169" s="236"/>
    </row>
    <row r="9170" spans="2:4" ht="12.75" customHeight="1" x14ac:dyDescent="0.2">
      <c r="B9170" s="236"/>
      <c r="C9170" s="236"/>
      <c r="D9170" s="236"/>
    </row>
    <row r="9171" spans="2:4" ht="12.75" customHeight="1" x14ac:dyDescent="0.2">
      <c r="B9171" s="236"/>
      <c r="C9171" s="236"/>
      <c r="D9171" s="236"/>
    </row>
    <row r="9172" spans="2:4" ht="12.75" customHeight="1" x14ac:dyDescent="0.2">
      <c r="B9172" s="236"/>
      <c r="C9172" s="236"/>
      <c r="D9172" s="236"/>
    </row>
    <row r="9173" spans="2:4" ht="12.75" customHeight="1" x14ac:dyDescent="0.2">
      <c r="B9173" s="236"/>
      <c r="C9173" s="236"/>
      <c r="D9173" s="236"/>
    </row>
    <row r="9174" spans="2:4" x14ac:dyDescent="0.2">
      <c r="B9174" s="236"/>
      <c r="C9174" s="236"/>
      <c r="D9174" s="236"/>
    </row>
    <row r="9175" spans="2:4" ht="12.75" customHeight="1" x14ac:dyDescent="0.2">
      <c r="B9175" s="236"/>
      <c r="C9175" s="236"/>
      <c r="D9175" s="236"/>
    </row>
    <row r="9176" spans="2:4" ht="12.75" customHeight="1" x14ac:dyDescent="0.2">
      <c r="B9176" s="236"/>
      <c r="C9176" s="236"/>
      <c r="D9176" s="236"/>
    </row>
    <row r="9177" spans="2:4" ht="12.75" customHeight="1" x14ac:dyDescent="0.2">
      <c r="B9177" s="236"/>
      <c r="C9177" s="236"/>
      <c r="D9177" s="236"/>
    </row>
    <row r="9178" spans="2:4" ht="12.75" customHeight="1" x14ac:dyDescent="0.2">
      <c r="B9178" s="236"/>
      <c r="C9178" s="236"/>
      <c r="D9178" s="236"/>
    </row>
    <row r="9179" spans="2:4" ht="12.75" customHeight="1" x14ac:dyDescent="0.2">
      <c r="B9179" s="236"/>
      <c r="C9179" s="236"/>
      <c r="D9179" s="236"/>
    </row>
    <row r="9180" spans="2:4" ht="12.75" customHeight="1" x14ac:dyDescent="0.2">
      <c r="B9180" s="236"/>
      <c r="C9180" s="236"/>
      <c r="D9180" s="236"/>
    </row>
    <row r="9181" spans="2:4" ht="12.75" customHeight="1" x14ac:dyDescent="0.2">
      <c r="B9181" s="236"/>
      <c r="C9181" s="236"/>
      <c r="D9181" s="236"/>
    </row>
    <row r="9182" spans="2:4" ht="12.75" customHeight="1" x14ac:dyDescent="0.2">
      <c r="B9182" s="236"/>
      <c r="C9182" s="236"/>
      <c r="D9182" s="236"/>
    </row>
    <row r="9183" spans="2:4" ht="12.75" customHeight="1" x14ac:dyDescent="0.2">
      <c r="B9183" s="236"/>
      <c r="C9183" s="236"/>
      <c r="D9183" s="236"/>
    </row>
    <row r="9184" spans="2:4" x14ac:dyDescent="0.2">
      <c r="B9184" s="236"/>
      <c r="C9184" s="236"/>
      <c r="D9184" s="236"/>
    </row>
    <row r="9185" spans="2:4" ht="12.75" customHeight="1" x14ac:dyDescent="0.2">
      <c r="B9185" s="236"/>
      <c r="C9185" s="236"/>
      <c r="D9185" s="236"/>
    </row>
    <row r="9186" spans="2:4" x14ac:dyDescent="0.2">
      <c r="B9186" s="236"/>
      <c r="C9186" s="236"/>
      <c r="D9186" s="236"/>
    </row>
    <row r="9187" spans="2:4" ht="12.75" customHeight="1" x14ac:dyDescent="0.2">
      <c r="B9187" s="236"/>
      <c r="C9187" s="236"/>
      <c r="D9187" s="236"/>
    </row>
    <row r="9188" spans="2:4" x14ac:dyDescent="0.2">
      <c r="B9188" s="236"/>
      <c r="C9188" s="236"/>
      <c r="D9188" s="236"/>
    </row>
    <row r="9189" spans="2:4" ht="12.75" customHeight="1" x14ac:dyDescent="0.2">
      <c r="B9189" s="236"/>
      <c r="C9189" s="236"/>
      <c r="D9189" s="236"/>
    </row>
    <row r="9190" spans="2:4" ht="12.75" customHeight="1" x14ac:dyDescent="0.2">
      <c r="B9190" s="236"/>
      <c r="C9190" s="236"/>
      <c r="D9190" s="236"/>
    </row>
    <row r="9191" spans="2:4" ht="12.75" customHeight="1" x14ac:dyDescent="0.2">
      <c r="B9191" s="236"/>
      <c r="C9191" s="236"/>
      <c r="D9191" s="236"/>
    </row>
    <row r="9192" spans="2:4" ht="12.75" customHeight="1" x14ac:dyDescent="0.2">
      <c r="B9192" s="236"/>
      <c r="C9192" s="236"/>
      <c r="D9192" s="236"/>
    </row>
    <row r="9193" spans="2:4" x14ac:dyDescent="0.2">
      <c r="B9193" s="236"/>
      <c r="C9193" s="236"/>
      <c r="D9193" s="236"/>
    </row>
    <row r="9194" spans="2:4" ht="12.75" customHeight="1" x14ac:dyDescent="0.2">
      <c r="B9194" s="236"/>
      <c r="C9194" s="236"/>
      <c r="D9194" s="236"/>
    </row>
    <row r="9195" spans="2:4" x14ac:dyDescent="0.2">
      <c r="B9195" s="236"/>
      <c r="C9195" s="236"/>
      <c r="D9195" s="236"/>
    </row>
    <row r="9196" spans="2:4" ht="12.75" customHeight="1" x14ac:dyDescent="0.2">
      <c r="B9196" s="236"/>
      <c r="C9196" s="236"/>
      <c r="D9196" s="236"/>
    </row>
    <row r="9197" spans="2:4" x14ac:dyDescent="0.2">
      <c r="B9197" s="236"/>
      <c r="C9197" s="236"/>
      <c r="D9197" s="236"/>
    </row>
    <row r="9198" spans="2:4" ht="12.75" customHeight="1" x14ac:dyDescent="0.2">
      <c r="B9198" s="236"/>
      <c r="C9198" s="236"/>
      <c r="D9198" s="236"/>
    </row>
    <row r="9199" spans="2:4" ht="12.75" customHeight="1" x14ac:dyDescent="0.2">
      <c r="B9199" s="236"/>
      <c r="C9199" s="236"/>
      <c r="D9199" s="236"/>
    </row>
    <row r="9200" spans="2:4" ht="12.75" customHeight="1" x14ac:dyDescent="0.2">
      <c r="B9200" s="236"/>
      <c r="C9200" s="236"/>
      <c r="D9200" s="236"/>
    </row>
    <row r="9201" spans="2:4" ht="12.75" customHeight="1" x14ac:dyDescent="0.2">
      <c r="B9201" s="236"/>
      <c r="C9201" s="236"/>
      <c r="D9201" s="236"/>
    </row>
    <row r="9202" spans="2:4" ht="12.75" customHeight="1" x14ac:dyDescent="0.2">
      <c r="B9202" s="236"/>
      <c r="C9202" s="236"/>
      <c r="D9202" s="236"/>
    </row>
    <row r="9203" spans="2:4" ht="12.75" customHeight="1" x14ac:dyDescent="0.2">
      <c r="B9203" s="236"/>
      <c r="C9203" s="236"/>
      <c r="D9203" s="236"/>
    </row>
    <row r="9204" spans="2:4" ht="12.75" customHeight="1" x14ac:dyDescent="0.2">
      <c r="B9204" s="236"/>
      <c r="C9204" s="236"/>
      <c r="D9204" s="236"/>
    </row>
    <row r="9205" spans="2:4" ht="12.75" customHeight="1" x14ac:dyDescent="0.2">
      <c r="B9205" s="236"/>
      <c r="C9205" s="236"/>
      <c r="D9205" s="236"/>
    </row>
    <row r="9206" spans="2:4" ht="12.75" customHeight="1" x14ac:dyDescent="0.2">
      <c r="B9206" s="236"/>
      <c r="C9206" s="236"/>
      <c r="D9206" s="236"/>
    </row>
    <row r="9207" spans="2:4" ht="12.75" customHeight="1" x14ac:dyDescent="0.2">
      <c r="B9207" s="236"/>
      <c r="C9207" s="236"/>
      <c r="D9207" s="236"/>
    </row>
    <row r="9208" spans="2:4" ht="12.75" customHeight="1" x14ac:dyDescent="0.2">
      <c r="B9208" s="236"/>
      <c r="C9208" s="236"/>
      <c r="D9208" s="236"/>
    </row>
    <row r="9209" spans="2:4" x14ac:dyDescent="0.2">
      <c r="B9209" s="236"/>
      <c r="C9209" s="236"/>
      <c r="D9209" s="236"/>
    </row>
    <row r="9210" spans="2:4" ht="12.75" customHeight="1" x14ac:dyDescent="0.2">
      <c r="B9210" s="236"/>
      <c r="C9210" s="236"/>
      <c r="D9210" s="236"/>
    </row>
    <row r="9211" spans="2:4" x14ac:dyDescent="0.2">
      <c r="B9211" s="236"/>
      <c r="C9211" s="236"/>
      <c r="D9211" s="236"/>
    </row>
    <row r="9212" spans="2:4" ht="12.75" customHeight="1" x14ac:dyDescent="0.2">
      <c r="B9212" s="236"/>
      <c r="C9212" s="236"/>
      <c r="D9212" s="236"/>
    </row>
    <row r="9213" spans="2:4" x14ac:dyDescent="0.2">
      <c r="B9213" s="236"/>
      <c r="C9213" s="236"/>
      <c r="D9213" s="236"/>
    </row>
    <row r="9214" spans="2:4" ht="12.75" customHeight="1" x14ac:dyDescent="0.2">
      <c r="B9214" s="236"/>
      <c r="C9214" s="236"/>
      <c r="D9214" s="236"/>
    </row>
    <row r="9215" spans="2:4" x14ac:dyDescent="0.2">
      <c r="B9215" s="236"/>
      <c r="C9215" s="236"/>
      <c r="D9215" s="236"/>
    </row>
    <row r="9216" spans="2:4" ht="12.75" customHeight="1" x14ac:dyDescent="0.2">
      <c r="B9216" s="236"/>
      <c r="C9216" s="236"/>
      <c r="D9216" s="236"/>
    </row>
    <row r="9217" spans="2:4" ht="12.75" customHeight="1" x14ac:dyDescent="0.2">
      <c r="B9217" s="236"/>
      <c r="C9217" s="236"/>
      <c r="D9217" s="236"/>
    </row>
    <row r="9218" spans="2:4" x14ac:dyDescent="0.2">
      <c r="B9218" s="236"/>
      <c r="C9218" s="236"/>
      <c r="D9218" s="236"/>
    </row>
    <row r="9219" spans="2:4" ht="12.75" customHeight="1" x14ac:dyDescent="0.2">
      <c r="B9219" s="236"/>
      <c r="C9219" s="236"/>
      <c r="D9219" s="236"/>
    </row>
    <row r="9220" spans="2:4" ht="12.75" customHeight="1" x14ac:dyDescent="0.2">
      <c r="B9220" s="236"/>
      <c r="C9220" s="236"/>
      <c r="D9220" s="236"/>
    </row>
    <row r="9221" spans="2:4" x14ac:dyDescent="0.2">
      <c r="B9221" s="236"/>
      <c r="C9221" s="236"/>
      <c r="D9221" s="236"/>
    </row>
    <row r="9222" spans="2:4" ht="12.75" customHeight="1" x14ac:dyDescent="0.2">
      <c r="B9222" s="236"/>
      <c r="C9222" s="236"/>
      <c r="D9222" s="236"/>
    </row>
    <row r="9223" spans="2:4" ht="12.75" customHeight="1" x14ac:dyDescent="0.2">
      <c r="B9223" s="236"/>
      <c r="C9223" s="236"/>
      <c r="D9223" s="236"/>
    </row>
    <row r="9224" spans="2:4" x14ac:dyDescent="0.2">
      <c r="B9224" s="236"/>
      <c r="C9224" s="236"/>
      <c r="D9224" s="236"/>
    </row>
    <row r="9225" spans="2:4" ht="12.75" customHeight="1" x14ac:dyDescent="0.2">
      <c r="B9225" s="236"/>
      <c r="C9225" s="236"/>
      <c r="D9225" s="236"/>
    </row>
    <row r="9226" spans="2:4" x14ac:dyDescent="0.2">
      <c r="B9226" s="236"/>
      <c r="C9226" s="236"/>
      <c r="D9226" s="236"/>
    </row>
    <row r="9227" spans="2:4" ht="12.75" customHeight="1" x14ac:dyDescent="0.2">
      <c r="B9227" s="236"/>
      <c r="C9227" s="236"/>
      <c r="D9227" s="236"/>
    </row>
    <row r="9228" spans="2:4" x14ac:dyDescent="0.2">
      <c r="B9228" s="236"/>
      <c r="C9228" s="236"/>
      <c r="D9228" s="236"/>
    </row>
    <row r="9229" spans="2:4" ht="12.75" customHeight="1" x14ac:dyDescent="0.2">
      <c r="B9229" s="236"/>
      <c r="C9229" s="236"/>
      <c r="D9229" s="236"/>
    </row>
    <row r="9230" spans="2:4" ht="12.75" customHeight="1" x14ac:dyDescent="0.2">
      <c r="B9230" s="236"/>
      <c r="C9230" s="236"/>
      <c r="D9230" s="236"/>
    </row>
    <row r="9231" spans="2:4" x14ac:dyDescent="0.2">
      <c r="B9231" s="236"/>
      <c r="C9231" s="236"/>
      <c r="D9231" s="236"/>
    </row>
    <row r="9232" spans="2:4" ht="12.75" customHeight="1" x14ac:dyDescent="0.2">
      <c r="B9232" s="236"/>
      <c r="C9232" s="236"/>
      <c r="D9232" s="236"/>
    </row>
    <row r="9233" spans="2:4" ht="12.75" customHeight="1" x14ac:dyDescent="0.2">
      <c r="B9233" s="236"/>
      <c r="C9233" s="236"/>
      <c r="D9233" s="236"/>
    </row>
    <row r="9234" spans="2:4" ht="12.75" customHeight="1" x14ac:dyDescent="0.2">
      <c r="B9234" s="236"/>
      <c r="C9234" s="236"/>
      <c r="D9234" s="236"/>
    </row>
    <row r="9235" spans="2:4" x14ac:dyDescent="0.2">
      <c r="B9235" s="236"/>
      <c r="C9235" s="236"/>
      <c r="D9235" s="236"/>
    </row>
    <row r="9236" spans="2:4" ht="12.75" customHeight="1" x14ac:dyDescent="0.2">
      <c r="B9236" s="236"/>
      <c r="C9236" s="236"/>
      <c r="D9236" s="236"/>
    </row>
    <row r="9237" spans="2:4" ht="12.75" customHeight="1" x14ac:dyDescent="0.2">
      <c r="B9237" s="236"/>
      <c r="C9237" s="236"/>
      <c r="D9237" s="236"/>
    </row>
    <row r="9238" spans="2:4" ht="12.75" customHeight="1" x14ac:dyDescent="0.2">
      <c r="B9238" s="236"/>
      <c r="C9238" s="236"/>
      <c r="D9238" s="236"/>
    </row>
    <row r="9239" spans="2:4" ht="12.75" customHeight="1" x14ac:dyDescent="0.2">
      <c r="B9239" s="236"/>
      <c r="C9239" s="236"/>
      <c r="D9239" s="236"/>
    </row>
    <row r="9240" spans="2:4" ht="12.75" customHeight="1" x14ac:dyDescent="0.2">
      <c r="B9240" s="236"/>
      <c r="C9240" s="236"/>
      <c r="D9240" s="236"/>
    </row>
    <row r="9241" spans="2:4" ht="12.75" customHeight="1" x14ac:dyDescent="0.2">
      <c r="B9241" s="236"/>
      <c r="C9241" s="236"/>
      <c r="D9241" s="236"/>
    </row>
    <row r="9242" spans="2:4" ht="12.75" customHeight="1" x14ac:dyDescent="0.2">
      <c r="B9242" s="236"/>
      <c r="C9242" s="236"/>
      <c r="D9242" s="236"/>
    </row>
    <row r="9243" spans="2:4" ht="12.75" customHeight="1" x14ac:dyDescent="0.2">
      <c r="B9243" s="236"/>
      <c r="C9243" s="236"/>
      <c r="D9243" s="236"/>
    </row>
    <row r="9244" spans="2:4" ht="12.75" customHeight="1" x14ac:dyDescent="0.2">
      <c r="B9244" s="236"/>
      <c r="C9244" s="236"/>
      <c r="D9244" s="236"/>
    </row>
    <row r="9245" spans="2:4" ht="12.75" customHeight="1" x14ac:dyDescent="0.2">
      <c r="B9245" s="236"/>
      <c r="C9245" s="236"/>
      <c r="D9245" s="236"/>
    </row>
    <row r="9246" spans="2:4" ht="12.75" customHeight="1" x14ac:dyDescent="0.2">
      <c r="B9246" s="236"/>
      <c r="C9246" s="236"/>
      <c r="D9246" s="236"/>
    </row>
    <row r="9247" spans="2:4" ht="12.75" customHeight="1" x14ac:dyDescent="0.2">
      <c r="B9247" s="236"/>
      <c r="C9247" s="236"/>
      <c r="D9247" s="236"/>
    </row>
    <row r="9248" spans="2:4" ht="12.75" customHeight="1" x14ac:dyDescent="0.2">
      <c r="B9248" s="236"/>
      <c r="C9248" s="236"/>
      <c r="D9248" s="236"/>
    </row>
    <row r="9249" spans="2:4" ht="12.75" customHeight="1" x14ac:dyDescent="0.2">
      <c r="B9249" s="236"/>
      <c r="C9249" s="236"/>
      <c r="D9249" s="236"/>
    </row>
    <row r="9250" spans="2:4" x14ac:dyDescent="0.2">
      <c r="B9250" s="236"/>
      <c r="C9250" s="236"/>
      <c r="D9250" s="236"/>
    </row>
    <row r="9251" spans="2:4" ht="12.75" customHeight="1" x14ac:dyDescent="0.2">
      <c r="B9251" s="236"/>
      <c r="C9251" s="236"/>
      <c r="D9251" s="236"/>
    </row>
    <row r="9252" spans="2:4" ht="12.75" customHeight="1" x14ac:dyDescent="0.2">
      <c r="B9252" s="236"/>
      <c r="C9252" s="236"/>
      <c r="D9252" s="236"/>
    </row>
    <row r="9253" spans="2:4" x14ac:dyDescent="0.2">
      <c r="B9253" s="236"/>
      <c r="C9253" s="236"/>
      <c r="D9253" s="236"/>
    </row>
    <row r="9254" spans="2:4" ht="12.75" customHeight="1" x14ac:dyDescent="0.2">
      <c r="B9254" s="236"/>
      <c r="C9254" s="236"/>
      <c r="D9254" s="236"/>
    </row>
    <row r="9255" spans="2:4" x14ac:dyDescent="0.2">
      <c r="B9255" s="236"/>
      <c r="C9255" s="236"/>
      <c r="D9255" s="236"/>
    </row>
    <row r="9256" spans="2:4" ht="12.75" customHeight="1" x14ac:dyDescent="0.2">
      <c r="B9256" s="236"/>
      <c r="C9256" s="236"/>
      <c r="D9256" s="236"/>
    </row>
    <row r="9257" spans="2:4" x14ac:dyDescent="0.2">
      <c r="B9257" s="236"/>
      <c r="C9257" s="236"/>
      <c r="D9257" s="236"/>
    </row>
    <row r="9258" spans="2:4" ht="12.75" customHeight="1" x14ac:dyDescent="0.2">
      <c r="B9258" s="236"/>
      <c r="C9258" s="236"/>
      <c r="D9258" s="236"/>
    </row>
    <row r="9259" spans="2:4" ht="12.75" customHeight="1" x14ac:dyDescent="0.2">
      <c r="B9259" s="236"/>
      <c r="C9259" s="236"/>
      <c r="D9259" s="236"/>
    </row>
    <row r="9260" spans="2:4" ht="12.75" customHeight="1" x14ac:dyDescent="0.2">
      <c r="B9260" s="236"/>
      <c r="C9260" s="236"/>
      <c r="D9260" s="236"/>
    </row>
    <row r="9261" spans="2:4" x14ac:dyDescent="0.2">
      <c r="B9261" s="236"/>
      <c r="C9261" s="236"/>
      <c r="D9261" s="236"/>
    </row>
    <row r="9262" spans="2:4" ht="12.75" customHeight="1" x14ac:dyDescent="0.2">
      <c r="B9262" s="236"/>
      <c r="C9262" s="236"/>
      <c r="D9262" s="236"/>
    </row>
    <row r="9263" spans="2:4" x14ac:dyDescent="0.2">
      <c r="B9263" s="236"/>
      <c r="C9263" s="236"/>
      <c r="D9263" s="236"/>
    </row>
    <row r="9264" spans="2:4" ht="12.75" customHeight="1" x14ac:dyDescent="0.2">
      <c r="B9264" s="236"/>
      <c r="C9264" s="236"/>
      <c r="D9264" s="236"/>
    </row>
    <row r="9265" spans="2:4" x14ac:dyDescent="0.2">
      <c r="B9265" s="236"/>
      <c r="C9265" s="236"/>
      <c r="D9265" s="236"/>
    </row>
    <row r="9266" spans="2:4" ht="12.75" customHeight="1" x14ac:dyDescent="0.2">
      <c r="B9266" s="236"/>
      <c r="C9266" s="236"/>
      <c r="D9266" s="236"/>
    </row>
    <row r="9267" spans="2:4" ht="12.75" customHeight="1" x14ac:dyDescent="0.2">
      <c r="B9267" s="236"/>
      <c r="C9267" s="236"/>
      <c r="D9267" s="236"/>
    </row>
    <row r="9268" spans="2:4" ht="12.75" customHeight="1" x14ac:dyDescent="0.2">
      <c r="B9268" s="236"/>
      <c r="C9268" s="236"/>
      <c r="D9268" s="236"/>
    </row>
    <row r="9269" spans="2:4" ht="12.75" customHeight="1" x14ac:dyDescent="0.2">
      <c r="B9269" s="236"/>
      <c r="C9269" s="236"/>
      <c r="D9269" s="236"/>
    </row>
    <row r="9270" spans="2:4" ht="12.75" customHeight="1" x14ac:dyDescent="0.2">
      <c r="B9270" s="236"/>
      <c r="C9270" s="236"/>
      <c r="D9270" s="236"/>
    </row>
    <row r="9271" spans="2:4" ht="12.75" customHeight="1" x14ac:dyDescent="0.2">
      <c r="B9271" s="236"/>
      <c r="C9271" s="236"/>
      <c r="D9271" s="236"/>
    </row>
    <row r="9272" spans="2:4" x14ac:dyDescent="0.2">
      <c r="B9272" s="236"/>
      <c r="C9272" s="236"/>
      <c r="D9272" s="236"/>
    </row>
    <row r="9273" spans="2:4" ht="12.75" customHeight="1" x14ac:dyDescent="0.2">
      <c r="B9273" s="236"/>
      <c r="C9273" s="236"/>
      <c r="D9273" s="236"/>
    </row>
    <row r="9274" spans="2:4" ht="12.75" customHeight="1" x14ac:dyDescent="0.2">
      <c r="B9274" s="236"/>
      <c r="C9274" s="236"/>
      <c r="D9274" s="236"/>
    </row>
    <row r="9275" spans="2:4" ht="12.75" customHeight="1" x14ac:dyDescent="0.2">
      <c r="B9275" s="236"/>
      <c r="C9275" s="236"/>
      <c r="D9275" s="236"/>
    </row>
    <row r="9276" spans="2:4" x14ac:dyDescent="0.2">
      <c r="B9276" s="236"/>
      <c r="C9276" s="236"/>
      <c r="D9276" s="236"/>
    </row>
    <row r="9277" spans="2:4" ht="12.75" customHeight="1" x14ac:dyDescent="0.2">
      <c r="B9277" s="236"/>
      <c r="C9277" s="236"/>
      <c r="D9277" s="236"/>
    </row>
    <row r="9278" spans="2:4" ht="12.75" customHeight="1" x14ac:dyDescent="0.2">
      <c r="B9278" s="236"/>
      <c r="C9278" s="236"/>
      <c r="D9278" s="236"/>
    </row>
    <row r="9279" spans="2:4" ht="12.75" customHeight="1" x14ac:dyDescent="0.2">
      <c r="B9279" s="236"/>
      <c r="C9279" s="236"/>
      <c r="D9279" s="236"/>
    </row>
    <row r="9280" spans="2:4" ht="12.75" customHeight="1" x14ac:dyDescent="0.2">
      <c r="B9280" s="236"/>
      <c r="C9280" s="236"/>
      <c r="D9280" s="236"/>
    </row>
    <row r="9281" spans="2:4" x14ac:dyDescent="0.2">
      <c r="B9281" s="236"/>
      <c r="C9281" s="236"/>
      <c r="D9281" s="236"/>
    </row>
    <row r="9282" spans="2:4" ht="12.75" customHeight="1" x14ac:dyDescent="0.2">
      <c r="B9282" s="236"/>
      <c r="C9282" s="236"/>
      <c r="D9282" s="236"/>
    </row>
    <row r="9283" spans="2:4" ht="12.75" customHeight="1" x14ac:dyDescent="0.2">
      <c r="B9283" s="236"/>
      <c r="C9283" s="236"/>
      <c r="D9283" s="236"/>
    </row>
    <row r="9284" spans="2:4" x14ac:dyDescent="0.2">
      <c r="B9284" s="236"/>
      <c r="C9284" s="236"/>
      <c r="D9284" s="236"/>
    </row>
    <row r="9285" spans="2:4" ht="12.75" customHeight="1" x14ac:dyDescent="0.2">
      <c r="B9285" s="236"/>
      <c r="C9285" s="236"/>
      <c r="D9285" s="236"/>
    </row>
    <row r="9286" spans="2:4" ht="12.75" customHeight="1" x14ac:dyDescent="0.2">
      <c r="B9286" s="236"/>
      <c r="C9286" s="236"/>
      <c r="D9286" s="236"/>
    </row>
    <row r="9287" spans="2:4" ht="12.75" customHeight="1" x14ac:dyDescent="0.2">
      <c r="B9287" s="236"/>
      <c r="C9287" s="236"/>
      <c r="D9287" s="236"/>
    </row>
    <row r="9288" spans="2:4" ht="12.75" customHeight="1" x14ac:dyDescent="0.2">
      <c r="B9288" s="236"/>
      <c r="C9288" s="236"/>
      <c r="D9288" s="236"/>
    </row>
    <row r="9289" spans="2:4" x14ac:dyDescent="0.2">
      <c r="B9289" s="236"/>
      <c r="C9289" s="236"/>
      <c r="D9289" s="236"/>
    </row>
    <row r="9290" spans="2:4" ht="12.75" customHeight="1" x14ac:dyDescent="0.2">
      <c r="B9290" s="236"/>
      <c r="C9290" s="236"/>
      <c r="D9290" s="236"/>
    </row>
    <row r="9291" spans="2:4" ht="12.75" customHeight="1" x14ac:dyDescent="0.2">
      <c r="B9291" s="236"/>
      <c r="C9291" s="236"/>
      <c r="D9291" s="236"/>
    </row>
    <row r="9292" spans="2:4" ht="12.75" customHeight="1" x14ac:dyDescent="0.2">
      <c r="B9292" s="236"/>
      <c r="C9292" s="236"/>
      <c r="D9292" s="236"/>
    </row>
    <row r="9293" spans="2:4" ht="12.75" customHeight="1" x14ac:dyDescent="0.2">
      <c r="B9293" s="236"/>
      <c r="C9293" s="236"/>
      <c r="D9293" s="236"/>
    </row>
    <row r="9294" spans="2:4" ht="12.75" customHeight="1" x14ac:dyDescent="0.2">
      <c r="B9294" s="236"/>
      <c r="C9294" s="236"/>
      <c r="D9294" s="236"/>
    </row>
    <row r="9295" spans="2:4" ht="12.75" customHeight="1" x14ac:dyDescent="0.2">
      <c r="B9295" s="236"/>
      <c r="C9295" s="236"/>
      <c r="D9295" s="236"/>
    </row>
    <row r="9296" spans="2:4" x14ac:dyDescent="0.2">
      <c r="B9296" s="236"/>
      <c r="C9296" s="236"/>
      <c r="D9296" s="236"/>
    </row>
    <row r="9297" spans="2:4" ht="12.75" customHeight="1" x14ac:dyDescent="0.2">
      <c r="B9297" s="236"/>
      <c r="C9297" s="236"/>
      <c r="D9297" s="236"/>
    </row>
    <row r="9298" spans="2:4" ht="12.75" customHeight="1" x14ac:dyDescent="0.2">
      <c r="B9298" s="236"/>
      <c r="C9298" s="236"/>
      <c r="D9298" s="236"/>
    </row>
    <row r="9299" spans="2:4" ht="12.75" customHeight="1" x14ac:dyDescent="0.2">
      <c r="B9299" s="236"/>
      <c r="C9299" s="236"/>
      <c r="D9299" s="236"/>
    </row>
    <row r="9300" spans="2:4" ht="12.75" customHeight="1" x14ac:dyDescent="0.2">
      <c r="B9300" s="236"/>
      <c r="C9300" s="236"/>
      <c r="D9300" s="236"/>
    </row>
    <row r="9301" spans="2:4" ht="12.75" customHeight="1" x14ac:dyDescent="0.2">
      <c r="B9301" s="236"/>
      <c r="C9301" s="236"/>
      <c r="D9301" s="236"/>
    </row>
    <row r="9302" spans="2:4" ht="12.75" customHeight="1" x14ac:dyDescent="0.2">
      <c r="B9302" s="236"/>
      <c r="C9302" s="236"/>
      <c r="D9302" s="236"/>
    </row>
    <row r="9303" spans="2:4" ht="12.75" customHeight="1" x14ac:dyDescent="0.2">
      <c r="B9303" s="236"/>
      <c r="C9303" s="236"/>
      <c r="D9303" s="236"/>
    </row>
    <row r="9304" spans="2:4" ht="12.75" customHeight="1" x14ac:dyDescent="0.2">
      <c r="B9304" s="236"/>
      <c r="C9304" s="236"/>
      <c r="D9304" s="236"/>
    </row>
    <row r="9305" spans="2:4" ht="12.75" customHeight="1" x14ac:dyDescent="0.2">
      <c r="B9305" s="236"/>
      <c r="C9305" s="236"/>
      <c r="D9305" s="236"/>
    </row>
    <row r="9306" spans="2:4" ht="12.75" customHeight="1" x14ac:dyDescent="0.2">
      <c r="B9306" s="236"/>
      <c r="C9306" s="236"/>
      <c r="D9306" s="236"/>
    </row>
    <row r="9307" spans="2:4" ht="12.75" customHeight="1" x14ac:dyDescent="0.2">
      <c r="B9307" s="236"/>
      <c r="C9307" s="236"/>
      <c r="D9307" s="236"/>
    </row>
    <row r="9308" spans="2:4" ht="12.75" customHeight="1" x14ac:dyDescent="0.2">
      <c r="B9308" s="236"/>
      <c r="C9308" s="236"/>
      <c r="D9308" s="236"/>
    </row>
    <row r="9309" spans="2:4" ht="12.75" customHeight="1" x14ac:dyDescent="0.2">
      <c r="B9309" s="236"/>
      <c r="C9309" s="236"/>
      <c r="D9309" s="236"/>
    </row>
    <row r="9310" spans="2:4" x14ac:dyDescent="0.2">
      <c r="B9310" s="236"/>
      <c r="C9310" s="236"/>
      <c r="D9310" s="236"/>
    </row>
    <row r="9311" spans="2:4" ht="12.75" customHeight="1" x14ac:dyDescent="0.2">
      <c r="B9311" s="236"/>
      <c r="C9311" s="236"/>
      <c r="D9311" s="236"/>
    </row>
    <row r="9312" spans="2:4" ht="12.75" customHeight="1" x14ac:dyDescent="0.2">
      <c r="B9312" s="236"/>
      <c r="C9312" s="236"/>
      <c r="D9312" s="236"/>
    </row>
    <row r="9313" spans="2:4" ht="12.75" customHeight="1" x14ac:dyDescent="0.2">
      <c r="B9313" s="236"/>
      <c r="C9313" s="236"/>
      <c r="D9313" s="236"/>
    </row>
    <row r="9314" spans="2:4" ht="12.75" customHeight="1" x14ac:dyDescent="0.2">
      <c r="B9314" s="236"/>
      <c r="C9314" s="236"/>
      <c r="D9314" s="236"/>
    </row>
    <row r="9315" spans="2:4" ht="12.75" customHeight="1" x14ac:dyDescent="0.2">
      <c r="B9315" s="236"/>
      <c r="C9315" s="236"/>
      <c r="D9315" s="236"/>
    </row>
    <row r="9316" spans="2:4" ht="12.75" customHeight="1" x14ac:dyDescent="0.2">
      <c r="B9316" s="236"/>
      <c r="C9316" s="236"/>
      <c r="D9316" s="236"/>
    </row>
    <row r="9317" spans="2:4" ht="12.75" customHeight="1" x14ac:dyDescent="0.2">
      <c r="B9317" s="236"/>
      <c r="C9317" s="236"/>
      <c r="D9317" s="236"/>
    </row>
    <row r="9318" spans="2:4" ht="12.75" customHeight="1" x14ac:dyDescent="0.2">
      <c r="B9318" s="236"/>
      <c r="C9318" s="236"/>
      <c r="D9318" s="236"/>
    </row>
    <row r="9319" spans="2:4" ht="12.75" customHeight="1" x14ac:dyDescent="0.2">
      <c r="B9319" s="236"/>
      <c r="C9319" s="236"/>
      <c r="D9319" s="236"/>
    </row>
    <row r="9320" spans="2:4" ht="12.75" customHeight="1" x14ac:dyDescent="0.2">
      <c r="B9320" s="236"/>
      <c r="C9320" s="236"/>
      <c r="D9320" s="236"/>
    </row>
    <row r="9321" spans="2:4" ht="12.75" customHeight="1" x14ac:dyDescent="0.2">
      <c r="B9321" s="236"/>
      <c r="C9321" s="236"/>
      <c r="D9321" s="236"/>
    </row>
    <row r="9322" spans="2:4" ht="12.75" customHeight="1" x14ac:dyDescent="0.2">
      <c r="B9322" s="236"/>
      <c r="C9322" s="236"/>
      <c r="D9322" s="236"/>
    </row>
    <row r="9323" spans="2:4" ht="12.75" customHeight="1" x14ac:dyDescent="0.2">
      <c r="B9323" s="236"/>
      <c r="C9323" s="236"/>
      <c r="D9323" s="236"/>
    </row>
    <row r="9324" spans="2:4" ht="12.75" customHeight="1" x14ac:dyDescent="0.2">
      <c r="B9324" s="236"/>
      <c r="C9324" s="236"/>
      <c r="D9324" s="236"/>
    </row>
    <row r="9325" spans="2:4" ht="12.75" customHeight="1" x14ac:dyDescent="0.2">
      <c r="B9325" s="236"/>
      <c r="C9325" s="236"/>
      <c r="D9325" s="236"/>
    </row>
    <row r="9326" spans="2:4" ht="12.75" customHeight="1" x14ac:dyDescent="0.2">
      <c r="B9326" s="236"/>
      <c r="C9326" s="236"/>
      <c r="D9326" s="236"/>
    </row>
    <row r="9327" spans="2:4" ht="12.75" customHeight="1" x14ac:dyDescent="0.2">
      <c r="B9327" s="236"/>
      <c r="C9327" s="236"/>
      <c r="D9327" s="236"/>
    </row>
    <row r="9328" spans="2:4" ht="12.75" customHeight="1" x14ac:dyDescent="0.2">
      <c r="B9328" s="236"/>
      <c r="C9328" s="236"/>
      <c r="D9328" s="236"/>
    </row>
    <row r="9329" spans="2:4" ht="12.75" customHeight="1" x14ac:dyDescent="0.2">
      <c r="B9329" s="236"/>
      <c r="C9329" s="236"/>
      <c r="D9329" s="236"/>
    </row>
    <row r="9330" spans="2:4" ht="12.75" customHeight="1" x14ac:dyDescent="0.2">
      <c r="B9330" s="236"/>
      <c r="C9330" s="236"/>
      <c r="D9330" s="236"/>
    </row>
    <row r="9331" spans="2:4" ht="12.75" customHeight="1" x14ac:dyDescent="0.2">
      <c r="B9331" s="236"/>
      <c r="C9331" s="236"/>
      <c r="D9331" s="236"/>
    </row>
    <row r="9332" spans="2:4" ht="12.75" customHeight="1" x14ac:dyDescent="0.2">
      <c r="B9332" s="236"/>
      <c r="C9332" s="236"/>
      <c r="D9332" s="236"/>
    </row>
    <row r="9333" spans="2:4" x14ac:dyDescent="0.2">
      <c r="B9333" s="236"/>
      <c r="C9333" s="236"/>
      <c r="D9333" s="236"/>
    </row>
    <row r="9334" spans="2:4" ht="12.75" customHeight="1" x14ac:dyDescent="0.2">
      <c r="B9334" s="236"/>
      <c r="C9334" s="236"/>
      <c r="D9334" s="236"/>
    </row>
    <row r="9335" spans="2:4" ht="12.75" customHeight="1" x14ac:dyDescent="0.2">
      <c r="B9335" s="236"/>
      <c r="C9335" s="236"/>
      <c r="D9335" s="236"/>
    </row>
    <row r="9336" spans="2:4" ht="12.75" customHeight="1" x14ac:dyDescent="0.2">
      <c r="B9336" s="236"/>
      <c r="C9336" s="236"/>
      <c r="D9336" s="236"/>
    </row>
    <row r="9337" spans="2:4" ht="12.75" customHeight="1" x14ac:dyDescent="0.2">
      <c r="B9337" s="236"/>
      <c r="C9337" s="236"/>
      <c r="D9337" s="236"/>
    </row>
    <row r="9338" spans="2:4" ht="12.75" customHeight="1" x14ac:dyDescent="0.2">
      <c r="B9338" s="236"/>
      <c r="C9338" s="236"/>
      <c r="D9338" s="236"/>
    </row>
    <row r="9339" spans="2:4" ht="12.75" customHeight="1" x14ac:dyDescent="0.2">
      <c r="B9339" s="236"/>
      <c r="C9339" s="236"/>
      <c r="D9339" s="236"/>
    </row>
    <row r="9340" spans="2:4" ht="12.75" customHeight="1" x14ac:dyDescent="0.2">
      <c r="B9340" s="236"/>
      <c r="C9340" s="236"/>
      <c r="D9340" s="236"/>
    </row>
    <row r="9341" spans="2:4" ht="12.75" customHeight="1" x14ac:dyDescent="0.2">
      <c r="B9341" s="236"/>
      <c r="C9341" s="236"/>
      <c r="D9341" s="236"/>
    </row>
    <row r="9342" spans="2:4" ht="12.75" customHeight="1" x14ac:dyDescent="0.2">
      <c r="B9342" s="236"/>
      <c r="C9342" s="236"/>
      <c r="D9342" s="236"/>
    </row>
    <row r="9343" spans="2:4" ht="12.75" customHeight="1" x14ac:dyDescent="0.2">
      <c r="B9343" s="236"/>
      <c r="C9343" s="236"/>
      <c r="D9343" s="236"/>
    </row>
    <row r="9344" spans="2:4" ht="12.75" customHeight="1" x14ac:dyDescent="0.2">
      <c r="B9344" s="236"/>
      <c r="C9344" s="236"/>
      <c r="D9344" s="236"/>
    </row>
    <row r="9345" spans="2:4" ht="12.75" customHeight="1" x14ac:dyDescent="0.2">
      <c r="B9345" s="236"/>
      <c r="C9345" s="236"/>
      <c r="D9345" s="236"/>
    </row>
    <row r="9346" spans="2:4" ht="12.75" customHeight="1" x14ac:dyDescent="0.2">
      <c r="B9346" s="236"/>
      <c r="C9346" s="236"/>
      <c r="D9346" s="236"/>
    </row>
    <row r="9347" spans="2:4" ht="12.75" customHeight="1" x14ac:dyDescent="0.2">
      <c r="B9347" s="236"/>
      <c r="C9347" s="236"/>
      <c r="D9347" s="236"/>
    </row>
    <row r="9348" spans="2:4" x14ac:dyDescent="0.2">
      <c r="B9348" s="236"/>
      <c r="C9348" s="236"/>
      <c r="D9348" s="236"/>
    </row>
    <row r="9349" spans="2:4" ht="12.75" customHeight="1" x14ac:dyDescent="0.2">
      <c r="B9349" s="236"/>
      <c r="C9349" s="236"/>
      <c r="D9349" s="236"/>
    </row>
    <row r="9350" spans="2:4" ht="12.75" customHeight="1" x14ac:dyDescent="0.2">
      <c r="B9350" s="236"/>
      <c r="C9350" s="236"/>
      <c r="D9350" s="236"/>
    </row>
    <row r="9351" spans="2:4" ht="12.75" customHeight="1" x14ac:dyDescent="0.2">
      <c r="B9351" s="236"/>
      <c r="C9351" s="236"/>
      <c r="D9351" s="236"/>
    </row>
    <row r="9352" spans="2:4" ht="12.75" customHeight="1" x14ac:dyDescent="0.2">
      <c r="B9352" s="236"/>
      <c r="C9352" s="236"/>
      <c r="D9352" s="236"/>
    </row>
    <row r="9353" spans="2:4" ht="12.75" customHeight="1" x14ac:dyDescent="0.2">
      <c r="B9353" s="236"/>
      <c r="C9353" s="236"/>
      <c r="D9353" s="236"/>
    </row>
    <row r="9354" spans="2:4" ht="12.75" customHeight="1" x14ac:dyDescent="0.2">
      <c r="B9354" s="236"/>
      <c r="C9354" s="236"/>
      <c r="D9354" s="236"/>
    </row>
    <row r="9355" spans="2:4" ht="12.75" customHeight="1" x14ac:dyDescent="0.2">
      <c r="B9355" s="236"/>
      <c r="C9355" s="236"/>
      <c r="D9355" s="236"/>
    </row>
    <row r="9356" spans="2:4" ht="12.75" customHeight="1" x14ac:dyDescent="0.2">
      <c r="B9356" s="236"/>
      <c r="C9356" s="236"/>
      <c r="D9356" s="236"/>
    </row>
    <row r="9357" spans="2:4" ht="12.75" customHeight="1" x14ac:dyDescent="0.2">
      <c r="B9357" s="236"/>
      <c r="C9357" s="236"/>
      <c r="D9357" s="236"/>
    </row>
    <row r="9358" spans="2:4" ht="12.75" customHeight="1" x14ac:dyDescent="0.2">
      <c r="B9358" s="236"/>
      <c r="C9358" s="236"/>
      <c r="D9358" s="236"/>
    </row>
    <row r="9359" spans="2:4" ht="12.75" customHeight="1" x14ac:dyDescent="0.2">
      <c r="B9359" s="236"/>
      <c r="C9359" s="236"/>
      <c r="D9359" s="236"/>
    </row>
    <row r="9360" spans="2:4" ht="12.75" customHeight="1" x14ac:dyDescent="0.2">
      <c r="B9360" s="236"/>
      <c r="C9360" s="236"/>
      <c r="D9360" s="236"/>
    </row>
    <row r="9361" spans="2:4" ht="12.75" customHeight="1" x14ac:dyDescent="0.2">
      <c r="B9361" s="236"/>
      <c r="C9361" s="236"/>
      <c r="D9361" s="236"/>
    </row>
    <row r="9362" spans="2:4" ht="12.75" customHeight="1" x14ac:dyDescent="0.2">
      <c r="B9362" s="236"/>
      <c r="C9362" s="236"/>
      <c r="D9362" s="236"/>
    </row>
    <row r="9363" spans="2:4" ht="12.75" customHeight="1" x14ac:dyDescent="0.2">
      <c r="B9363" s="236"/>
      <c r="C9363" s="236"/>
      <c r="D9363" s="236"/>
    </row>
    <row r="9364" spans="2:4" ht="12.75" customHeight="1" x14ac:dyDescent="0.2">
      <c r="B9364" s="236"/>
      <c r="C9364" s="236"/>
      <c r="D9364" s="236"/>
    </row>
    <row r="9365" spans="2:4" ht="12.75" customHeight="1" x14ac:dyDescent="0.2">
      <c r="B9365" s="236"/>
      <c r="C9365" s="236"/>
      <c r="D9365" s="236"/>
    </row>
    <row r="9366" spans="2:4" ht="12.75" customHeight="1" x14ac:dyDescent="0.2">
      <c r="B9366" s="236"/>
      <c r="C9366" s="236"/>
      <c r="D9366" s="236"/>
    </row>
    <row r="9367" spans="2:4" x14ac:dyDescent="0.2">
      <c r="B9367" s="236"/>
      <c r="C9367" s="236"/>
      <c r="D9367" s="236"/>
    </row>
    <row r="9368" spans="2:4" ht="12.75" customHeight="1" x14ac:dyDescent="0.2">
      <c r="B9368" s="236"/>
      <c r="C9368" s="236"/>
      <c r="D9368" s="236"/>
    </row>
    <row r="9369" spans="2:4" ht="12.75" customHeight="1" x14ac:dyDescent="0.2">
      <c r="B9369" s="236"/>
      <c r="C9369" s="236"/>
      <c r="D9369" s="236"/>
    </row>
    <row r="9370" spans="2:4" ht="12.75" customHeight="1" x14ac:dyDescent="0.2">
      <c r="B9370" s="236"/>
      <c r="C9370" s="236"/>
      <c r="D9370" s="236"/>
    </row>
    <row r="9371" spans="2:4" ht="12.75" customHeight="1" x14ac:dyDescent="0.2">
      <c r="B9371" s="236"/>
      <c r="C9371" s="236"/>
      <c r="D9371" s="236"/>
    </row>
    <row r="9372" spans="2:4" ht="12.75" customHeight="1" x14ac:dyDescent="0.2">
      <c r="B9372" s="236"/>
      <c r="C9372" s="236"/>
      <c r="D9372" s="236"/>
    </row>
    <row r="9373" spans="2:4" ht="12.75" customHeight="1" x14ac:dyDescent="0.2">
      <c r="B9373" s="236"/>
      <c r="C9373" s="236"/>
      <c r="D9373" s="236"/>
    </row>
    <row r="9374" spans="2:4" ht="12.75" customHeight="1" x14ac:dyDescent="0.2">
      <c r="B9374" s="236"/>
      <c r="C9374" s="236"/>
      <c r="D9374" s="236"/>
    </row>
    <row r="9375" spans="2:4" ht="12.75" customHeight="1" x14ac:dyDescent="0.2">
      <c r="B9375" s="236"/>
      <c r="C9375" s="236"/>
      <c r="D9375" s="236"/>
    </row>
    <row r="9376" spans="2:4" ht="12.75" customHeight="1" x14ac:dyDescent="0.2">
      <c r="B9376" s="236"/>
      <c r="C9376" s="236"/>
      <c r="D9376" s="236"/>
    </row>
    <row r="9377" spans="2:4" ht="12.75" customHeight="1" x14ac:dyDescent="0.2">
      <c r="B9377" s="236"/>
      <c r="C9377" s="236"/>
      <c r="D9377" s="236"/>
    </row>
    <row r="9378" spans="2:4" x14ac:dyDescent="0.2">
      <c r="B9378" s="236"/>
      <c r="C9378" s="236"/>
      <c r="D9378" s="236"/>
    </row>
    <row r="9379" spans="2:4" ht="12.75" customHeight="1" x14ac:dyDescent="0.2">
      <c r="B9379" s="236"/>
      <c r="C9379" s="236"/>
      <c r="D9379" s="236"/>
    </row>
    <row r="9380" spans="2:4" x14ac:dyDescent="0.2">
      <c r="B9380" s="236"/>
      <c r="C9380" s="236"/>
      <c r="D9380" s="236"/>
    </row>
    <row r="9381" spans="2:4" ht="12.75" customHeight="1" x14ac:dyDescent="0.2">
      <c r="B9381" s="236"/>
      <c r="C9381" s="236"/>
      <c r="D9381" s="236"/>
    </row>
    <row r="9382" spans="2:4" x14ac:dyDescent="0.2">
      <c r="B9382" s="236"/>
      <c r="C9382" s="236"/>
      <c r="D9382" s="236"/>
    </row>
    <row r="9383" spans="2:4" ht="12.75" customHeight="1" x14ac:dyDescent="0.2">
      <c r="B9383" s="236"/>
      <c r="C9383" s="236"/>
      <c r="D9383" s="236"/>
    </row>
    <row r="9384" spans="2:4" ht="12.75" customHeight="1" x14ac:dyDescent="0.2">
      <c r="B9384" s="236"/>
      <c r="C9384" s="236"/>
      <c r="D9384" s="236"/>
    </row>
    <row r="9385" spans="2:4" ht="12.75" customHeight="1" x14ac:dyDescent="0.2">
      <c r="B9385" s="236"/>
      <c r="C9385" s="236"/>
      <c r="D9385" s="236"/>
    </row>
    <row r="9386" spans="2:4" ht="12.75" customHeight="1" x14ac:dyDescent="0.2">
      <c r="B9386" s="236"/>
      <c r="C9386" s="236"/>
      <c r="D9386" s="236"/>
    </row>
    <row r="9387" spans="2:4" ht="12.75" customHeight="1" x14ac:dyDescent="0.2">
      <c r="B9387" s="236"/>
      <c r="C9387" s="236"/>
      <c r="D9387" s="236"/>
    </row>
    <row r="9388" spans="2:4" x14ac:dyDescent="0.2">
      <c r="B9388" s="236"/>
      <c r="C9388" s="236"/>
      <c r="D9388" s="236"/>
    </row>
    <row r="9389" spans="2:4" ht="12.75" customHeight="1" x14ac:dyDescent="0.2">
      <c r="B9389" s="236"/>
      <c r="C9389" s="236"/>
      <c r="D9389" s="236"/>
    </row>
    <row r="9390" spans="2:4" x14ac:dyDescent="0.2">
      <c r="B9390" s="236"/>
      <c r="C9390" s="236"/>
      <c r="D9390" s="236"/>
    </row>
    <row r="9391" spans="2:4" ht="12.75" customHeight="1" x14ac:dyDescent="0.2">
      <c r="B9391" s="236"/>
      <c r="C9391" s="236"/>
      <c r="D9391" s="236"/>
    </row>
    <row r="9392" spans="2:4" x14ac:dyDescent="0.2">
      <c r="B9392" s="236"/>
      <c r="C9392" s="236"/>
      <c r="D9392" s="236"/>
    </row>
    <row r="9393" spans="2:4" ht="12.75" customHeight="1" x14ac:dyDescent="0.2">
      <c r="B9393" s="236"/>
      <c r="C9393" s="236"/>
      <c r="D9393" s="236"/>
    </row>
    <row r="9394" spans="2:4" x14ac:dyDescent="0.2">
      <c r="B9394" s="236"/>
      <c r="C9394" s="236"/>
      <c r="D9394" s="236"/>
    </row>
    <row r="9395" spans="2:4" ht="12.75" customHeight="1" x14ac:dyDescent="0.2">
      <c r="B9395" s="236"/>
      <c r="C9395" s="236"/>
      <c r="D9395" s="236"/>
    </row>
    <row r="9396" spans="2:4" x14ac:dyDescent="0.2">
      <c r="B9396" s="236"/>
      <c r="C9396" s="236"/>
      <c r="D9396" s="236"/>
    </row>
    <row r="9397" spans="2:4" ht="12.75" customHeight="1" x14ac:dyDescent="0.2">
      <c r="B9397" s="236"/>
      <c r="C9397" s="236"/>
      <c r="D9397" s="236"/>
    </row>
    <row r="9398" spans="2:4" ht="12.75" customHeight="1" x14ac:dyDescent="0.2">
      <c r="B9398" s="236"/>
      <c r="C9398" s="236"/>
      <c r="D9398" s="236"/>
    </row>
    <row r="9399" spans="2:4" x14ac:dyDescent="0.2">
      <c r="B9399" s="236"/>
      <c r="C9399" s="236"/>
      <c r="D9399" s="236"/>
    </row>
    <row r="9400" spans="2:4" ht="12.75" customHeight="1" x14ac:dyDescent="0.2">
      <c r="B9400" s="236"/>
      <c r="C9400" s="236"/>
      <c r="D9400" s="236"/>
    </row>
    <row r="9401" spans="2:4" ht="12.75" customHeight="1" x14ac:dyDescent="0.2">
      <c r="B9401" s="236"/>
      <c r="C9401" s="236"/>
      <c r="D9401" s="236"/>
    </row>
    <row r="9402" spans="2:4" ht="12.75" customHeight="1" x14ac:dyDescent="0.2">
      <c r="B9402" s="236"/>
      <c r="C9402" s="236"/>
      <c r="D9402" s="236"/>
    </row>
    <row r="9403" spans="2:4" ht="12.75" customHeight="1" x14ac:dyDescent="0.2">
      <c r="B9403" s="236"/>
      <c r="C9403" s="236"/>
      <c r="D9403" s="236"/>
    </row>
    <row r="9404" spans="2:4" ht="12.75" customHeight="1" x14ac:dyDescent="0.2">
      <c r="B9404" s="236"/>
      <c r="C9404" s="236"/>
      <c r="D9404" s="236"/>
    </row>
    <row r="9405" spans="2:4" ht="12.75" customHeight="1" x14ac:dyDescent="0.2">
      <c r="B9405" s="236"/>
      <c r="C9405" s="236"/>
      <c r="D9405" s="236"/>
    </row>
    <row r="9406" spans="2:4" ht="12.75" customHeight="1" x14ac:dyDescent="0.2">
      <c r="B9406" s="236"/>
      <c r="C9406" s="236"/>
      <c r="D9406" s="236"/>
    </row>
    <row r="9407" spans="2:4" ht="12.75" customHeight="1" x14ac:dyDescent="0.2">
      <c r="B9407" s="236"/>
      <c r="C9407" s="236"/>
      <c r="D9407" s="236"/>
    </row>
    <row r="9408" spans="2:4" x14ac:dyDescent="0.2">
      <c r="B9408" s="236"/>
      <c r="C9408" s="236"/>
      <c r="D9408" s="236"/>
    </row>
    <row r="9409" spans="2:4" ht="12.75" customHeight="1" x14ac:dyDescent="0.2">
      <c r="B9409" s="236"/>
      <c r="C9409" s="236"/>
      <c r="D9409" s="236"/>
    </row>
    <row r="9410" spans="2:4" ht="12.75" customHeight="1" x14ac:dyDescent="0.2">
      <c r="B9410" s="236"/>
      <c r="C9410" s="236"/>
      <c r="D9410" s="236"/>
    </row>
    <row r="9411" spans="2:4" ht="12.75" customHeight="1" x14ac:dyDescent="0.2">
      <c r="B9411" s="236"/>
      <c r="C9411" s="236"/>
      <c r="D9411" s="236"/>
    </row>
    <row r="9412" spans="2:4" ht="12.75" customHeight="1" x14ac:dyDescent="0.2">
      <c r="B9412" s="236"/>
      <c r="C9412" s="236"/>
      <c r="D9412" s="236"/>
    </row>
    <row r="9413" spans="2:4" ht="12.75" customHeight="1" x14ac:dyDescent="0.2">
      <c r="B9413" s="236"/>
      <c r="C9413" s="236"/>
      <c r="D9413" s="236"/>
    </row>
    <row r="9414" spans="2:4" ht="12.75" customHeight="1" x14ac:dyDescent="0.2">
      <c r="B9414" s="236"/>
      <c r="C9414" s="236"/>
      <c r="D9414" s="236"/>
    </row>
    <row r="9415" spans="2:4" x14ac:dyDescent="0.2">
      <c r="B9415" s="236"/>
      <c r="C9415" s="236"/>
      <c r="D9415" s="236"/>
    </row>
    <row r="9416" spans="2:4" ht="12.75" customHeight="1" x14ac:dyDescent="0.2">
      <c r="B9416" s="236"/>
      <c r="C9416" s="236"/>
      <c r="D9416" s="236"/>
    </row>
    <row r="9417" spans="2:4" ht="12.75" customHeight="1" x14ac:dyDescent="0.2">
      <c r="B9417" s="236"/>
      <c r="C9417" s="236"/>
      <c r="D9417" s="236"/>
    </row>
    <row r="9418" spans="2:4" x14ac:dyDescent="0.2">
      <c r="B9418" s="236"/>
      <c r="C9418" s="236"/>
      <c r="D9418" s="236"/>
    </row>
    <row r="9419" spans="2:4" ht="12.75" customHeight="1" x14ac:dyDescent="0.2">
      <c r="B9419" s="236"/>
      <c r="C9419" s="236"/>
      <c r="D9419" s="236"/>
    </row>
    <row r="9420" spans="2:4" ht="12.75" customHeight="1" x14ac:dyDescent="0.2">
      <c r="B9420" s="236"/>
      <c r="C9420" s="236"/>
      <c r="D9420" s="236"/>
    </row>
    <row r="9421" spans="2:4" ht="12.75" customHeight="1" x14ac:dyDescent="0.2">
      <c r="B9421" s="236"/>
      <c r="C9421" s="236"/>
      <c r="D9421" s="236"/>
    </row>
    <row r="9422" spans="2:4" ht="12.75" customHeight="1" x14ac:dyDescent="0.2">
      <c r="B9422" s="236"/>
      <c r="C9422" s="236"/>
      <c r="D9422" s="236"/>
    </row>
    <row r="9423" spans="2:4" ht="12.75" customHeight="1" x14ac:dyDescent="0.2">
      <c r="B9423" s="236"/>
      <c r="C9423" s="236"/>
      <c r="D9423" s="236"/>
    </row>
    <row r="9424" spans="2:4" ht="12.75" customHeight="1" x14ac:dyDescent="0.2">
      <c r="B9424" s="236"/>
      <c r="C9424" s="236"/>
      <c r="D9424" s="236"/>
    </row>
    <row r="9425" spans="2:4" ht="12.75" customHeight="1" x14ac:dyDescent="0.2">
      <c r="B9425" s="236"/>
      <c r="C9425" s="236"/>
      <c r="D9425" s="236"/>
    </row>
    <row r="9426" spans="2:4" x14ac:dyDescent="0.2">
      <c r="B9426" s="236"/>
      <c r="C9426" s="236"/>
      <c r="D9426" s="236"/>
    </row>
    <row r="9427" spans="2:4" ht="12.75" customHeight="1" x14ac:dyDescent="0.2">
      <c r="B9427" s="236"/>
      <c r="C9427" s="236"/>
      <c r="D9427" s="236"/>
    </row>
    <row r="9428" spans="2:4" x14ac:dyDescent="0.2">
      <c r="B9428" s="236"/>
      <c r="C9428" s="236"/>
      <c r="D9428" s="236"/>
    </row>
    <row r="9429" spans="2:4" ht="12.75" customHeight="1" x14ac:dyDescent="0.2">
      <c r="B9429" s="236"/>
      <c r="C9429" s="236"/>
      <c r="D9429" s="236"/>
    </row>
    <row r="9430" spans="2:4" ht="12.75" customHeight="1" x14ac:dyDescent="0.2">
      <c r="B9430" s="236"/>
      <c r="C9430" s="236"/>
      <c r="D9430" s="236"/>
    </row>
    <row r="9431" spans="2:4" x14ac:dyDescent="0.2">
      <c r="B9431" s="236"/>
      <c r="C9431" s="236"/>
      <c r="D9431" s="236"/>
    </row>
    <row r="9432" spans="2:4" ht="12.75" customHeight="1" x14ac:dyDescent="0.2">
      <c r="B9432" s="236"/>
      <c r="C9432" s="236"/>
      <c r="D9432" s="236"/>
    </row>
    <row r="9433" spans="2:4" ht="12.75" customHeight="1" x14ac:dyDescent="0.2">
      <c r="B9433" s="236"/>
      <c r="C9433" s="236"/>
      <c r="D9433" s="236"/>
    </row>
    <row r="9434" spans="2:4" x14ac:dyDescent="0.2">
      <c r="B9434" s="236"/>
      <c r="C9434" s="236"/>
      <c r="D9434" s="236"/>
    </row>
    <row r="9435" spans="2:4" ht="12.75" customHeight="1" x14ac:dyDescent="0.2">
      <c r="B9435" s="236"/>
      <c r="C9435" s="236"/>
      <c r="D9435" s="236"/>
    </row>
    <row r="9436" spans="2:4" ht="12.75" customHeight="1" x14ac:dyDescent="0.2">
      <c r="B9436" s="236"/>
      <c r="C9436" s="236"/>
      <c r="D9436" s="236"/>
    </row>
    <row r="9437" spans="2:4" ht="12.75" customHeight="1" x14ac:dyDescent="0.2">
      <c r="B9437" s="236"/>
      <c r="C9437" s="236"/>
      <c r="D9437" s="236"/>
    </row>
    <row r="9438" spans="2:4" x14ac:dyDescent="0.2">
      <c r="B9438" s="236"/>
      <c r="C9438" s="236"/>
      <c r="D9438" s="236"/>
    </row>
    <row r="9439" spans="2:4" x14ac:dyDescent="0.2">
      <c r="B9439" s="236"/>
      <c r="C9439" s="236"/>
      <c r="D9439" s="236"/>
    </row>
    <row r="9440" spans="2:4" ht="12.75" customHeight="1" x14ac:dyDescent="0.2">
      <c r="B9440" s="236"/>
      <c r="C9440" s="236"/>
      <c r="D9440" s="236"/>
    </row>
    <row r="9441" spans="2:4" x14ac:dyDescent="0.2">
      <c r="B9441" s="236"/>
      <c r="C9441" s="236"/>
      <c r="D9441" s="236"/>
    </row>
    <row r="9442" spans="2:4" ht="12.75" customHeight="1" x14ac:dyDescent="0.2">
      <c r="B9442" s="236"/>
      <c r="C9442" s="236"/>
      <c r="D9442" s="236"/>
    </row>
    <row r="9443" spans="2:4" x14ac:dyDescent="0.2">
      <c r="B9443" s="236"/>
      <c r="C9443" s="236"/>
      <c r="D9443" s="236"/>
    </row>
    <row r="9444" spans="2:4" ht="12.75" customHeight="1" x14ac:dyDescent="0.2">
      <c r="B9444" s="236"/>
      <c r="C9444" s="236"/>
      <c r="D9444" s="236"/>
    </row>
    <row r="9445" spans="2:4" x14ac:dyDescent="0.2">
      <c r="B9445" s="236"/>
      <c r="C9445" s="236"/>
      <c r="D9445" s="236"/>
    </row>
    <row r="9446" spans="2:4" ht="12.75" customHeight="1" x14ac:dyDescent="0.2">
      <c r="B9446" s="236"/>
      <c r="C9446" s="236"/>
      <c r="D9446" s="236"/>
    </row>
    <row r="9447" spans="2:4" x14ac:dyDescent="0.2">
      <c r="B9447" s="236"/>
      <c r="C9447" s="236"/>
      <c r="D9447" s="236"/>
    </row>
    <row r="9448" spans="2:4" ht="12.75" customHeight="1" x14ac:dyDescent="0.2">
      <c r="B9448" s="236"/>
      <c r="C9448" s="236"/>
      <c r="D9448" s="236"/>
    </row>
    <row r="9449" spans="2:4" ht="12.75" customHeight="1" x14ac:dyDescent="0.2">
      <c r="B9449" s="236"/>
      <c r="C9449" s="236"/>
      <c r="D9449" s="236"/>
    </row>
    <row r="9450" spans="2:4" ht="12.75" customHeight="1" x14ac:dyDescent="0.2">
      <c r="B9450" s="236"/>
      <c r="C9450" s="236"/>
      <c r="D9450" s="236"/>
    </row>
    <row r="9451" spans="2:4" ht="12.75" customHeight="1" x14ac:dyDescent="0.2">
      <c r="B9451" s="236"/>
      <c r="C9451" s="236"/>
      <c r="D9451" s="236"/>
    </row>
    <row r="9452" spans="2:4" ht="12.75" customHeight="1" x14ac:dyDescent="0.2">
      <c r="B9452" s="236"/>
      <c r="C9452" s="236"/>
      <c r="D9452" s="236"/>
    </row>
    <row r="9453" spans="2:4" ht="12.75" customHeight="1" x14ac:dyDescent="0.2">
      <c r="B9453" s="236"/>
      <c r="C9453" s="236"/>
      <c r="D9453" s="236"/>
    </row>
    <row r="9454" spans="2:4" ht="12.75" customHeight="1" x14ac:dyDescent="0.2">
      <c r="B9454" s="236"/>
      <c r="C9454" s="236"/>
      <c r="D9454" s="236"/>
    </row>
    <row r="9455" spans="2:4" ht="12.75" customHeight="1" x14ac:dyDescent="0.2">
      <c r="B9455" s="236"/>
      <c r="C9455" s="236"/>
      <c r="D9455" s="236"/>
    </row>
    <row r="9456" spans="2:4" ht="12.75" customHeight="1" x14ac:dyDescent="0.2">
      <c r="B9456" s="236"/>
      <c r="C9456" s="236"/>
      <c r="D9456" s="236"/>
    </row>
    <row r="9457" spans="2:4" ht="12.75" customHeight="1" x14ac:dyDescent="0.2">
      <c r="B9457" s="236"/>
      <c r="C9457" s="236"/>
      <c r="D9457" s="236"/>
    </row>
    <row r="9458" spans="2:4" ht="12.75" customHeight="1" x14ac:dyDescent="0.2">
      <c r="B9458" s="236"/>
      <c r="C9458" s="236"/>
      <c r="D9458" s="236"/>
    </row>
    <row r="9459" spans="2:4" ht="12.75" customHeight="1" x14ac:dyDescent="0.2">
      <c r="B9459" s="236"/>
      <c r="C9459" s="236"/>
      <c r="D9459" s="236"/>
    </row>
    <row r="9460" spans="2:4" ht="12.75" customHeight="1" x14ac:dyDescent="0.2">
      <c r="B9460" s="236"/>
      <c r="C9460" s="236"/>
      <c r="D9460" s="236"/>
    </row>
    <row r="9461" spans="2:4" ht="12.75" customHeight="1" x14ac:dyDescent="0.2">
      <c r="B9461" s="236"/>
      <c r="C9461" s="236"/>
      <c r="D9461" s="236"/>
    </row>
    <row r="9462" spans="2:4" ht="12.75" customHeight="1" x14ac:dyDescent="0.2">
      <c r="B9462" s="236"/>
      <c r="C9462" s="236"/>
      <c r="D9462" s="236"/>
    </row>
    <row r="9463" spans="2:4" ht="12.75" customHeight="1" x14ac:dyDescent="0.2">
      <c r="B9463" s="236"/>
      <c r="C9463" s="236"/>
      <c r="D9463" s="236"/>
    </row>
    <row r="9464" spans="2:4" ht="12.75" customHeight="1" x14ac:dyDescent="0.2">
      <c r="B9464" s="236"/>
      <c r="C9464" s="236"/>
      <c r="D9464" s="236"/>
    </row>
    <row r="9465" spans="2:4" ht="12.75" customHeight="1" x14ac:dyDescent="0.2">
      <c r="B9465" s="236"/>
      <c r="C9465" s="236"/>
      <c r="D9465" s="236"/>
    </row>
    <row r="9466" spans="2:4" ht="12.75" customHeight="1" x14ac:dyDescent="0.2">
      <c r="B9466" s="236"/>
      <c r="C9466" s="236"/>
      <c r="D9466" s="236"/>
    </row>
    <row r="9467" spans="2:4" ht="12.75" customHeight="1" x14ac:dyDescent="0.2">
      <c r="B9467" s="236"/>
      <c r="C9467" s="236"/>
      <c r="D9467" s="236"/>
    </row>
    <row r="9468" spans="2:4" x14ac:dyDescent="0.2">
      <c r="B9468" s="236"/>
      <c r="C9468" s="236"/>
      <c r="D9468" s="236"/>
    </row>
    <row r="9469" spans="2:4" ht="12.75" customHeight="1" x14ac:dyDescent="0.2">
      <c r="B9469" s="236"/>
      <c r="C9469" s="236"/>
      <c r="D9469" s="236"/>
    </row>
    <row r="9470" spans="2:4" ht="12.75" customHeight="1" x14ac:dyDescent="0.2">
      <c r="B9470" s="236"/>
      <c r="C9470" s="236"/>
      <c r="D9470" s="236"/>
    </row>
    <row r="9471" spans="2:4" ht="12.75" customHeight="1" x14ac:dyDescent="0.2">
      <c r="B9471" s="236"/>
      <c r="C9471" s="236"/>
      <c r="D9471" s="236"/>
    </row>
    <row r="9472" spans="2:4" ht="12.75" customHeight="1" x14ac:dyDescent="0.2">
      <c r="B9472" s="236"/>
      <c r="C9472" s="236"/>
      <c r="D9472" s="236"/>
    </row>
    <row r="9473" spans="2:4" ht="12.75" customHeight="1" x14ac:dyDescent="0.2">
      <c r="B9473" s="236"/>
      <c r="C9473" s="236"/>
      <c r="D9473" s="236"/>
    </row>
    <row r="9474" spans="2:4" ht="12.75" customHeight="1" x14ac:dyDescent="0.2">
      <c r="B9474" s="236"/>
      <c r="C9474" s="236"/>
      <c r="D9474" s="236"/>
    </row>
    <row r="9475" spans="2:4" ht="12.75" customHeight="1" x14ac:dyDescent="0.2">
      <c r="B9475" s="236"/>
      <c r="C9475" s="236"/>
      <c r="D9475" s="236"/>
    </row>
    <row r="9476" spans="2:4" ht="12.75" customHeight="1" x14ac:dyDescent="0.2">
      <c r="B9476" s="236"/>
      <c r="C9476" s="236"/>
      <c r="D9476" s="236"/>
    </row>
    <row r="9477" spans="2:4" ht="12.75" customHeight="1" x14ac:dyDescent="0.2">
      <c r="B9477" s="236"/>
      <c r="C9477" s="236"/>
      <c r="D9477" s="236"/>
    </row>
    <row r="9478" spans="2:4" ht="12.75" customHeight="1" x14ac:dyDescent="0.2">
      <c r="B9478" s="236"/>
      <c r="C9478" s="236"/>
      <c r="D9478" s="236"/>
    </row>
    <row r="9479" spans="2:4" ht="12.75" customHeight="1" x14ac:dyDescent="0.2">
      <c r="B9479" s="236"/>
      <c r="C9479" s="236"/>
      <c r="D9479" s="236"/>
    </row>
    <row r="9480" spans="2:4" ht="12.75" customHeight="1" x14ac:dyDescent="0.2">
      <c r="B9480" s="236"/>
      <c r="C9480" s="236"/>
      <c r="D9480" s="236"/>
    </row>
    <row r="9481" spans="2:4" x14ac:dyDescent="0.2">
      <c r="B9481" s="236"/>
      <c r="C9481" s="236"/>
      <c r="D9481" s="236"/>
    </row>
    <row r="9482" spans="2:4" ht="12.75" customHeight="1" x14ac:dyDescent="0.2">
      <c r="B9482" s="236"/>
      <c r="C9482" s="236"/>
      <c r="D9482" s="236"/>
    </row>
    <row r="9483" spans="2:4" ht="12.75" customHeight="1" x14ac:dyDescent="0.2">
      <c r="B9483" s="236"/>
      <c r="C9483" s="236"/>
      <c r="D9483" s="236"/>
    </row>
    <row r="9484" spans="2:4" ht="12.75" customHeight="1" x14ac:dyDescent="0.2">
      <c r="B9484" s="236"/>
      <c r="C9484" s="236"/>
      <c r="D9484" s="236"/>
    </row>
    <row r="9485" spans="2:4" ht="12.75" customHeight="1" x14ac:dyDescent="0.2">
      <c r="B9485" s="236"/>
      <c r="C9485" s="236"/>
      <c r="D9485" s="236"/>
    </row>
    <row r="9486" spans="2:4" ht="12.75" customHeight="1" x14ac:dyDescent="0.2">
      <c r="B9486" s="236"/>
      <c r="C9486" s="236"/>
      <c r="D9486" s="236"/>
    </row>
    <row r="9487" spans="2:4" x14ac:dyDescent="0.2">
      <c r="B9487" s="236"/>
      <c r="C9487" s="236"/>
      <c r="D9487" s="236"/>
    </row>
    <row r="9488" spans="2:4" ht="12.75" customHeight="1" x14ac:dyDescent="0.2">
      <c r="B9488" s="236"/>
      <c r="C9488" s="236"/>
      <c r="D9488" s="236"/>
    </row>
    <row r="9489" spans="2:4" ht="12.75" customHeight="1" x14ac:dyDescent="0.2">
      <c r="B9489" s="236"/>
      <c r="C9489" s="236"/>
      <c r="D9489" s="236"/>
    </row>
    <row r="9490" spans="2:4" ht="12.75" customHeight="1" x14ac:dyDescent="0.2">
      <c r="B9490" s="236"/>
      <c r="C9490" s="236"/>
      <c r="D9490" s="236"/>
    </row>
    <row r="9491" spans="2:4" ht="12.75" customHeight="1" x14ac:dyDescent="0.2">
      <c r="B9491" s="236"/>
      <c r="C9491" s="236"/>
      <c r="D9491" s="236"/>
    </row>
    <row r="9492" spans="2:4" x14ac:dyDescent="0.2">
      <c r="B9492" s="236"/>
      <c r="C9492" s="236"/>
      <c r="D9492" s="236"/>
    </row>
    <row r="9493" spans="2:4" ht="12.75" customHeight="1" x14ac:dyDescent="0.2">
      <c r="B9493" s="236"/>
      <c r="C9493" s="236"/>
      <c r="D9493" s="236"/>
    </row>
    <row r="9494" spans="2:4" x14ac:dyDescent="0.2">
      <c r="B9494" s="236"/>
      <c r="C9494" s="236"/>
      <c r="D9494" s="236"/>
    </row>
    <row r="9495" spans="2:4" ht="12.75" customHeight="1" x14ac:dyDescent="0.2">
      <c r="B9495" s="236"/>
      <c r="C9495" s="236"/>
      <c r="D9495" s="236"/>
    </row>
    <row r="9496" spans="2:4" ht="12.75" customHeight="1" x14ac:dyDescent="0.2">
      <c r="B9496" s="236"/>
      <c r="C9496" s="236"/>
      <c r="D9496" s="236"/>
    </row>
    <row r="9497" spans="2:4" ht="12.75" customHeight="1" x14ac:dyDescent="0.2">
      <c r="B9497" s="236"/>
      <c r="C9497" s="236"/>
      <c r="D9497" s="236"/>
    </row>
    <row r="9498" spans="2:4" x14ac:dyDescent="0.2">
      <c r="B9498" s="236"/>
      <c r="C9498" s="236"/>
      <c r="D9498" s="236"/>
    </row>
    <row r="9499" spans="2:4" ht="12.75" customHeight="1" x14ac:dyDescent="0.2">
      <c r="B9499" s="236"/>
      <c r="C9499" s="236"/>
      <c r="D9499" s="236"/>
    </row>
    <row r="9500" spans="2:4" ht="12.75" customHeight="1" x14ac:dyDescent="0.2">
      <c r="B9500" s="236"/>
      <c r="C9500" s="236"/>
      <c r="D9500" s="236"/>
    </row>
    <row r="9501" spans="2:4" x14ac:dyDescent="0.2">
      <c r="B9501" s="236"/>
      <c r="C9501" s="236"/>
      <c r="D9501" s="236"/>
    </row>
    <row r="9502" spans="2:4" ht="12.75" customHeight="1" x14ac:dyDescent="0.2">
      <c r="B9502" s="236"/>
      <c r="C9502" s="236"/>
      <c r="D9502" s="236"/>
    </row>
    <row r="9503" spans="2:4" ht="12.75" customHeight="1" x14ac:dyDescent="0.2">
      <c r="B9503" s="236"/>
      <c r="C9503" s="236"/>
      <c r="D9503" s="236"/>
    </row>
    <row r="9504" spans="2:4" x14ac:dyDescent="0.2">
      <c r="B9504" s="236"/>
      <c r="C9504" s="236"/>
      <c r="D9504" s="236"/>
    </row>
    <row r="9505" spans="2:4" ht="12.75" customHeight="1" x14ac:dyDescent="0.2">
      <c r="B9505" s="236"/>
      <c r="C9505" s="236"/>
      <c r="D9505" s="236"/>
    </row>
    <row r="9506" spans="2:4" ht="12.75" customHeight="1" x14ac:dyDescent="0.2">
      <c r="B9506" s="236"/>
      <c r="C9506" s="236"/>
      <c r="D9506" s="236"/>
    </row>
    <row r="9507" spans="2:4" ht="12.75" customHeight="1" x14ac:dyDescent="0.2">
      <c r="B9507" s="236"/>
      <c r="C9507" s="236"/>
      <c r="D9507" s="236"/>
    </row>
    <row r="9508" spans="2:4" ht="12.75" customHeight="1" x14ac:dyDescent="0.2">
      <c r="B9508" s="236"/>
      <c r="C9508" s="236"/>
      <c r="D9508" s="236"/>
    </row>
    <row r="9509" spans="2:4" x14ac:dyDescent="0.2">
      <c r="B9509" s="236"/>
      <c r="C9509" s="236"/>
      <c r="D9509" s="236"/>
    </row>
    <row r="9510" spans="2:4" ht="12.75" customHeight="1" x14ac:dyDescent="0.2">
      <c r="B9510" s="236"/>
      <c r="C9510" s="236"/>
      <c r="D9510" s="236"/>
    </row>
    <row r="9511" spans="2:4" ht="12.75" customHeight="1" x14ac:dyDescent="0.2">
      <c r="B9511" s="236"/>
      <c r="C9511" s="236"/>
      <c r="D9511" s="236"/>
    </row>
    <row r="9512" spans="2:4" ht="12.75" customHeight="1" x14ac:dyDescent="0.2">
      <c r="B9512" s="236"/>
      <c r="C9512" s="236"/>
      <c r="D9512" s="236"/>
    </row>
    <row r="9513" spans="2:4" ht="12.75" customHeight="1" x14ac:dyDescent="0.2">
      <c r="B9513" s="236"/>
      <c r="C9513" s="236"/>
      <c r="D9513" s="236"/>
    </row>
    <row r="9514" spans="2:4" ht="12.75" customHeight="1" x14ac:dyDescent="0.2">
      <c r="B9514" s="236"/>
      <c r="C9514" s="236"/>
      <c r="D9514" s="236"/>
    </row>
    <row r="9515" spans="2:4" x14ac:dyDescent="0.2">
      <c r="B9515" s="236"/>
      <c r="C9515" s="236"/>
      <c r="D9515" s="236"/>
    </row>
    <row r="9516" spans="2:4" ht="12.75" customHeight="1" x14ac:dyDescent="0.2">
      <c r="B9516" s="236"/>
      <c r="C9516" s="236"/>
      <c r="D9516" s="236"/>
    </row>
    <row r="9517" spans="2:4" ht="12.75" customHeight="1" x14ac:dyDescent="0.2">
      <c r="B9517" s="236"/>
      <c r="C9517" s="236"/>
      <c r="D9517" s="236"/>
    </row>
    <row r="9518" spans="2:4" ht="12.75" customHeight="1" x14ac:dyDescent="0.2">
      <c r="B9518" s="236"/>
      <c r="C9518" s="236"/>
      <c r="D9518" s="236"/>
    </row>
    <row r="9519" spans="2:4" ht="12.75" customHeight="1" x14ac:dyDescent="0.2">
      <c r="B9519" s="236"/>
      <c r="C9519" s="236"/>
      <c r="D9519" s="236"/>
    </row>
    <row r="9520" spans="2:4" ht="12.75" customHeight="1" x14ac:dyDescent="0.2">
      <c r="B9520" s="236"/>
      <c r="C9520" s="236"/>
      <c r="D9520" s="236"/>
    </row>
    <row r="9521" spans="2:4" x14ac:dyDescent="0.2">
      <c r="B9521" s="236"/>
      <c r="C9521" s="236"/>
      <c r="D9521" s="236"/>
    </row>
    <row r="9522" spans="2:4" ht="12.75" customHeight="1" x14ac:dyDescent="0.2">
      <c r="B9522" s="236"/>
      <c r="C9522" s="236"/>
      <c r="D9522" s="236"/>
    </row>
    <row r="9523" spans="2:4" ht="12.75" customHeight="1" x14ac:dyDescent="0.2">
      <c r="B9523" s="236"/>
      <c r="C9523" s="236"/>
      <c r="D9523" s="236"/>
    </row>
    <row r="9524" spans="2:4" x14ac:dyDescent="0.2">
      <c r="B9524" s="236"/>
      <c r="C9524" s="236"/>
      <c r="D9524" s="236"/>
    </row>
    <row r="9525" spans="2:4" ht="12.75" customHeight="1" x14ac:dyDescent="0.2">
      <c r="B9525" s="236"/>
      <c r="C9525" s="236"/>
      <c r="D9525" s="236"/>
    </row>
    <row r="9526" spans="2:4" ht="12.75" customHeight="1" x14ac:dyDescent="0.2">
      <c r="B9526" s="236"/>
      <c r="C9526" s="236"/>
      <c r="D9526" s="236"/>
    </row>
    <row r="9527" spans="2:4" ht="12.75" customHeight="1" x14ac:dyDescent="0.2">
      <c r="B9527" s="236"/>
      <c r="C9527" s="236"/>
      <c r="D9527" s="236"/>
    </row>
    <row r="9528" spans="2:4" ht="12.75" customHeight="1" x14ac:dyDescent="0.2">
      <c r="B9528" s="236"/>
      <c r="C9528" s="236"/>
      <c r="D9528" s="236"/>
    </row>
    <row r="9529" spans="2:4" x14ac:dyDescent="0.2">
      <c r="B9529" s="236"/>
      <c r="C9529" s="236"/>
      <c r="D9529" s="236"/>
    </row>
    <row r="9530" spans="2:4" ht="12.75" customHeight="1" x14ac:dyDescent="0.2">
      <c r="B9530" s="236"/>
      <c r="C9530" s="236"/>
      <c r="D9530" s="236"/>
    </row>
    <row r="9531" spans="2:4" ht="12.75" customHeight="1" x14ac:dyDescent="0.2">
      <c r="B9531" s="236"/>
      <c r="C9531" s="236"/>
      <c r="D9531" s="236"/>
    </row>
    <row r="9532" spans="2:4" x14ac:dyDescent="0.2">
      <c r="B9532" s="236"/>
      <c r="C9532" s="236"/>
      <c r="D9532" s="236"/>
    </row>
    <row r="9533" spans="2:4" ht="12.75" customHeight="1" x14ac:dyDescent="0.2">
      <c r="B9533" s="236"/>
      <c r="C9533" s="236"/>
      <c r="D9533" s="236"/>
    </row>
    <row r="9534" spans="2:4" ht="12.75" customHeight="1" x14ac:dyDescent="0.2">
      <c r="B9534" s="236"/>
      <c r="C9534" s="236"/>
      <c r="D9534" s="236"/>
    </row>
    <row r="9535" spans="2:4" ht="12.75" customHeight="1" x14ac:dyDescent="0.2">
      <c r="B9535" s="236"/>
      <c r="C9535" s="236"/>
      <c r="D9535" s="236"/>
    </row>
    <row r="9536" spans="2:4" ht="12.75" customHeight="1" x14ac:dyDescent="0.2">
      <c r="B9536" s="236"/>
      <c r="C9536" s="236"/>
      <c r="D9536" s="236"/>
    </row>
    <row r="9537" spans="2:4" ht="12.75" customHeight="1" x14ac:dyDescent="0.2">
      <c r="B9537" s="236"/>
      <c r="C9537" s="236"/>
      <c r="D9537" s="236"/>
    </row>
    <row r="9538" spans="2:4" ht="12.75" customHeight="1" x14ac:dyDescent="0.2">
      <c r="B9538" s="236"/>
      <c r="C9538" s="236"/>
      <c r="D9538" s="236"/>
    </row>
    <row r="9539" spans="2:4" ht="12.75" customHeight="1" x14ac:dyDescent="0.2">
      <c r="B9539" s="236"/>
      <c r="C9539" s="236"/>
      <c r="D9539" s="236"/>
    </row>
    <row r="9540" spans="2:4" ht="12.75" customHeight="1" x14ac:dyDescent="0.2">
      <c r="B9540" s="236"/>
      <c r="C9540" s="236"/>
      <c r="D9540" s="236"/>
    </row>
    <row r="9541" spans="2:4" ht="12.75" customHeight="1" x14ac:dyDescent="0.2">
      <c r="B9541" s="236"/>
      <c r="C9541" s="236"/>
      <c r="D9541" s="236"/>
    </row>
    <row r="9542" spans="2:4" ht="12.75" customHeight="1" x14ac:dyDescent="0.2">
      <c r="B9542" s="236"/>
      <c r="C9542" s="236"/>
      <c r="D9542" s="236"/>
    </row>
    <row r="9543" spans="2:4" ht="12.75" customHeight="1" x14ac:dyDescent="0.2">
      <c r="B9543" s="236"/>
      <c r="C9543" s="236"/>
      <c r="D9543" s="236"/>
    </row>
    <row r="9544" spans="2:4" ht="12.75" customHeight="1" x14ac:dyDescent="0.2">
      <c r="B9544" s="236"/>
      <c r="C9544" s="236"/>
      <c r="D9544" s="236"/>
    </row>
    <row r="9545" spans="2:4" ht="12.75" customHeight="1" x14ac:dyDescent="0.2">
      <c r="B9545" s="236"/>
      <c r="C9545" s="236"/>
      <c r="D9545" s="236"/>
    </row>
    <row r="9546" spans="2:4" ht="12.75" customHeight="1" x14ac:dyDescent="0.2">
      <c r="B9546" s="236"/>
      <c r="C9546" s="236"/>
      <c r="D9546" s="236"/>
    </row>
    <row r="9547" spans="2:4" ht="12.75" customHeight="1" x14ac:dyDescent="0.2">
      <c r="B9547" s="236"/>
      <c r="C9547" s="236"/>
      <c r="D9547" s="236"/>
    </row>
    <row r="9548" spans="2:4" x14ac:dyDescent="0.2">
      <c r="B9548" s="236"/>
      <c r="C9548" s="236"/>
      <c r="D9548" s="236"/>
    </row>
    <row r="9549" spans="2:4" ht="12.75" customHeight="1" x14ac:dyDescent="0.2">
      <c r="B9549" s="236"/>
      <c r="C9549" s="236"/>
      <c r="D9549" s="236"/>
    </row>
    <row r="9550" spans="2:4" x14ac:dyDescent="0.2">
      <c r="B9550" s="236"/>
      <c r="C9550" s="236"/>
      <c r="D9550" s="236"/>
    </row>
    <row r="9551" spans="2:4" ht="12.75" customHeight="1" x14ac:dyDescent="0.2">
      <c r="B9551" s="236"/>
      <c r="C9551" s="236"/>
      <c r="D9551" s="236"/>
    </row>
    <row r="9552" spans="2:4" ht="12.75" customHeight="1" x14ac:dyDescent="0.2">
      <c r="B9552" s="236"/>
      <c r="C9552" s="236"/>
      <c r="D9552" s="236"/>
    </row>
    <row r="9553" spans="2:4" x14ac:dyDescent="0.2">
      <c r="B9553" s="236"/>
      <c r="C9553" s="236"/>
      <c r="D9553" s="236"/>
    </row>
    <row r="9554" spans="2:4" ht="12.75" customHeight="1" x14ac:dyDescent="0.2">
      <c r="B9554" s="236"/>
      <c r="C9554" s="236"/>
      <c r="D9554" s="236"/>
    </row>
    <row r="9555" spans="2:4" x14ac:dyDescent="0.2">
      <c r="B9555" s="236"/>
      <c r="C9555" s="236"/>
      <c r="D9555" s="236"/>
    </row>
    <row r="9556" spans="2:4" ht="12.75" customHeight="1" x14ac:dyDescent="0.2">
      <c r="B9556" s="236"/>
      <c r="C9556" s="236"/>
      <c r="D9556" s="236"/>
    </row>
    <row r="9557" spans="2:4" x14ac:dyDescent="0.2">
      <c r="B9557" s="236"/>
      <c r="C9557" s="236"/>
      <c r="D9557" s="236"/>
    </row>
    <row r="9558" spans="2:4" ht="12.75" customHeight="1" x14ac:dyDescent="0.2">
      <c r="B9558" s="236"/>
      <c r="C9558" s="236"/>
      <c r="D9558" s="236"/>
    </row>
    <row r="9559" spans="2:4" ht="12.75" customHeight="1" x14ac:dyDescent="0.2">
      <c r="B9559" s="236"/>
      <c r="C9559" s="236"/>
      <c r="D9559" s="236"/>
    </row>
    <row r="9560" spans="2:4" ht="12.75" customHeight="1" x14ac:dyDescent="0.2">
      <c r="B9560" s="236"/>
      <c r="C9560" s="236"/>
      <c r="D9560" s="236"/>
    </row>
    <row r="9561" spans="2:4" ht="12.75" customHeight="1" x14ac:dyDescent="0.2">
      <c r="B9561" s="236"/>
      <c r="C9561" s="236"/>
      <c r="D9561" s="236"/>
    </row>
    <row r="9562" spans="2:4" x14ac:dyDescent="0.2">
      <c r="B9562" s="236"/>
      <c r="C9562" s="236"/>
      <c r="D9562" s="236"/>
    </row>
    <row r="9563" spans="2:4" ht="12.75" customHeight="1" x14ac:dyDescent="0.2">
      <c r="B9563" s="236"/>
      <c r="C9563" s="236"/>
      <c r="D9563" s="236"/>
    </row>
    <row r="9564" spans="2:4" x14ac:dyDescent="0.2">
      <c r="B9564" s="236"/>
      <c r="C9564" s="236"/>
      <c r="D9564" s="236"/>
    </row>
    <row r="9565" spans="2:4" ht="12.75" customHeight="1" x14ac:dyDescent="0.2">
      <c r="B9565" s="236"/>
      <c r="C9565" s="236"/>
      <c r="D9565" s="236"/>
    </row>
    <row r="9566" spans="2:4" ht="12.75" customHeight="1" x14ac:dyDescent="0.2">
      <c r="B9566" s="236"/>
      <c r="C9566" s="236"/>
      <c r="D9566" s="236"/>
    </row>
    <row r="9567" spans="2:4" ht="12.75" customHeight="1" x14ac:dyDescent="0.2">
      <c r="B9567" s="236"/>
      <c r="C9567" s="236"/>
      <c r="D9567" s="236"/>
    </row>
    <row r="9568" spans="2:4" ht="12.75" customHeight="1" x14ac:dyDescent="0.2">
      <c r="B9568" s="236"/>
      <c r="C9568" s="236"/>
      <c r="D9568" s="236"/>
    </row>
    <row r="9569" spans="2:4" x14ac:dyDescent="0.2">
      <c r="B9569" s="236"/>
      <c r="C9569" s="236"/>
      <c r="D9569" s="236"/>
    </row>
    <row r="9570" spans="2:4" ht="12.75" customHeight="1" x14ac:dyDescent="0.2">
      <c r="B9570" s="236"/>
      <c r="C9570" s="236"/>
      <c r="D9570" s="236"/>
    </row>
    <row r="9571" spans="2:4" x14ac:dyDescent="0.2">
      <c r="B9571" s="236"/>
      <c r="C9571" s="236"/>
      <c r="D9571" s="236"/>
    </row>
    <row r="9572" spans="2:4" ht="12.75" customHeight="1" x14ac:dyDescent="0.2">
      <c r="B9572" s="236"/>
      <c r="C9572" s="236"/>
      <c r="D9572" s="236"/>
    </row>
    <row r="9573" spans="2:4" ht="12.75" customHeight="1" x14ac:dyDescent="0.2">
      <c r="B9573" s="236"/>
      <c r="C9573" s="236"/>
      <c r="D9573" s="236"/>
    </row>
    <row r="9574" spans="2:4" ht="12.75" customHeight="1" x14ac:dyDescent="0.2">
      <c r="B9574" s="236"/>
      <c r="C9574" s="236"/>
      <c r="D9574" s="236"/>
    </row>
    <row r="9575" spans="2:4" ht="12.75" customHeight="1" x14ac:dyDescent="0.2">
      <c r="B9575" s="236"/>
      <c r="C9575" s="236"/>
      <c r="D9575" s="236"/>
    </row>
    <row r="9576" spans="2:4" ht="12.75" customHeight="1" x14ac:dyDescent="0.2">
      <c r="B9576" s="236"/>
      <c r="C9576" s="236"/>
      <c r="D9576" s="236"/>
    </row>
    <row r="9577" spans="2:4" ht="12.75" customHeight="1" x14ac:dyDescent="0.2">
      <c r="B9577" s="236"/>
      <c r="C9577" s="236"/>
      <c r="D9577" s="236"/>
    </row>
    <row r="9578" spans="2:4" ht="12.75" customHeight="1" x14ac:dyDescent="0.2">
      <c r="B9578" s="236"/>
      <c r="C9578" s="236"/>
      <c r="D9578" s="236"/>
    </row>
    <row r="9579" spans="2:4" x14ac:dyDescent="0.2">
      <c r="B9579" s="236"/>
      <c r="C9579" s="236"/>
      <c r="D9579" s="236"/>
    </row>
    <row r="9580" spans="2:4" ht="12.75" customHeight="1" x14ac:dyDescent="0.2">
      <c r="B9580" s="236"/>
      <c r="C9580" s="236"/>
      <c r="D9580" s="236"/>
    </row>
    <row r="9581" spans="2:4" x14ac:dyDescent="0.2">
      <c r="B9581" s="236"/>
      <c r="C9581" s="236"/>
      <c r="D9581" s="236"/>
    </row>
    <row r="9582" spans="2:4" ht="12.75" customHeight="1" x14ac:dyDescent="0.2">
      <c r="B9582" s="236"/>
      <c r="C9582" s="236"/>
      <c r="D9582" s="236"/>
    </row>
    <row r="9583" spans="2:4" ht="12.75" customHeight="1" x14ac:dyDescent="0.2">
      <c r="B9583" s="236"/>
      <c r="C9583" s="236"/>
      <c r="D9583" s="236"/>
    </row>
    <row r="9584" spans="2:4" ht="12.75" customHeight="1" x14ac:dyDescent="0.2">
      <c r="B9584" s="236"/>
      <c r="C9584" s="236"/>
      <c r="D9584" s="236"/>
    </row>
    <row r="9585" spans="2:4" x14ac:dyDescent="0.2">
      <c r="B9585" s="236"/>
      <c r="C9585" s="236"/>
      <c r="D9585" s="236"/>
    </row>
    <row r="9586" spans="2:4" ht="12.75" customHeight="1" x14ac:dyDescent="0.2">
      <c r="B9586" s="236"/>
      <c r="C9586" s="236"/>
      <c r="D9586" s="236"/>
    </row>
    <row r="9587" spans="2:4" ht="12.75" customHeight="1" x14ac:dyDescent="0.2">
      <c r="B9587" s="236"/>
      <c r="C9587" s="236"/>
      <c r="D9587" s="236"/>
    </row>
    <row r="9588" spans="2:4" x14ac:dyDescent="0.2">
      <c r="B9588" s="236"/>
      <c r="C9588" s="236"/>
      <c r="D9588" s="236"/>
    </row>
    <row r="9589" spans="2:4" ht="12.75" customHeight="1" x14ac:dyDescent="0.2">
      <c r="B9589" s="236"/>
      <c r="C9589" s="236"/>
      <c r="D9589" s="236"/>
    </row>
    <row r="9590" spans="2:4" x14ac:dyDescent="0.2">
      <c r="B9590" s="236"/>
      <c r="C9590" s="236"/>
      <c r="D9590" s="236"/>
    </row>
    <row r="9591" spans="2:4" ht="12.75" customHeight="1" x14ac:dyDescent="0.2">
      <c r="B9591" s="236"/>
      <c r="C9591" s="236"/>
      <c r="D9591" s="236"/>
    </row>
    <row r="9592" spans="2:4" ht="12.75" customHeight="1" x14ac:dyDescent="0.2">
      <c r="B9592" s="236"/>
      <c r="C9592" s="236"/>
      <c r="D9592" s="236"/>
    </row>
    <row r="9593" spans="2:4" x14ac:dyDescent="0.2">
      <c r="B9593" s="236"/>
      <c r="C9593" s="236"/>
      <c r="D9593" s="236"/>
    </row>
    <row r="9594" spans="2:4" ht="12.75" customHeight="1" x14ac:dyDescent="0.2">
      <c r="B9594" s="236"/>
      <c r="C9594" s="236"/>
      <c r="D9594" s="236"/>
    </row>
    <row r="9595" spans="2:4" x14ac:dyDescent="0.2">
      <c r="B9595" s="236"/>
      <c r="C9595" s="236"/>
      <c r="D9595" s="236"/>
    </row>
    <row r="9596" spans="2:4" ht="12.75" customHeight="1" x14ac:dyDescent="0.2">
      <c r="B9596" s="236"/>
      <c r="C9596" s="236"/>
      <c r="D9596" s="236"/>
    </row>
    <row r="9597" spans="2:4" ht="12.75" customHeight="1" x14ac:dyDescent="0.2">
      <c r="B9597" s="236"/>
      <c r="C9597" s="236"/>
      <c r="D9597" s="236"/>
    </row>
    <row r="9598" spans="2:4" ht="12.75" customHeight="1" x14ac:dyDescent="0.2">
      <c r="B9598" s="236"/>
      <c r="C9598" s="236"/>
      <c r="D9598" s="236"/>
    </row>
    <row r="9599" spans="2:4" ht="12.75" customHeight="1" x14ac:dyDescent="0.2">
      <c r="B9599" s="236"/>
      <c r="C9599" s="236"/>
      <c r="D9599" s="236"/>
    </row>
    <row r="9600" spans="2:4" x14ac:dyDescent="0.2">
      <c r="B9600" s="236"/>
      <c r="C9600" s="236"/>
      <c r="D9600" s="236"/>
    </row>
    <row r="9601" spans="2:4" ht="12.75" customHeight="1" x14ac:dyDescent="0.2">
      <c r="B9601" s="236"/>
      <c r="C9601" s="236"/>
      <c r="D9601" s="236"/>
    </row>
    <row r="9602" spans="2:4" ht="12.75" customHeight="1" x14ac:dyDescent="0.2">
      <c r="B9602" s="236"/>
      <c r="C9602" s="236"/>
      <c r="D9602" s="236"/>
    </row>
    <row r="9603" spans="2:4" x14ac:dyDescent="0.2">
      <c r="B9603" s="236"/>
      <c r="C9603" s="236"/>
      <c r="D9603" s="236"/>
    </row>
    <row r="9604" spans="2:4" ht="12.75" customHeight="1" x14ac:dyDescent="0.2">
      <c r="B9604" s="236"/>
      <c r="C9604" s="236"/>
      <c r="D9604" s="236"/>
    </row>
    <row r="9605" spans="2:4" x14ac:dyDescent="0.2">
      <c r="B9605" s="236"/>
      <c r="C9605" s="236"/>
      <c r="D9605" s="236"/>
    </row>
    <row r="9606" spans="2:4" ht="12.75" customHeight="1" x14ac:dyDescent="0.2">
      <c r="B9606" s="236"/>
      <c r="C9606" s="236"/>
      <c r="D9606" s="236"/>
    </row>
    <row r="9607" spans="2:4" x14ac:dyDescent="0.2">
      <c r="B9607" s="236"/>
      <c r="C9607" s="236"/>
      <c r="D9607" s="236"/>
    </row>
    <row r="9608" spans="2:4" ht="12.75" customHeight="1" x14ac:dyDescent="0.2">
      <c r="B9608" s="236"/>
      <c r="C9608" s="236"/>
      <c r="D9608" s="236"/>
    </row>
    <row r="9609" spans="2:4" ht="12.75" customHeight="1" x14ac:dyDescent="0.2">
      <c r="B9609" s="236"/>
      <c r="C9609" s="236"/>
      <c r="D9609" s="236"/>
    </row>
    <row r="9610" spans="2:4" x14ac:dyDescent="0.2">
      <c r="B9610" s="236"/>
      <c r="C9610" s="236"/>
      <c r="D9610" s="236"/>
    </row>
    <row r="9611" spans="2:4" ht="12.75" customHeight="1" x14ac:dyDescent="0.2">
      <c r="B9611" s="236"/>
      <c r="C9611" s="236"/>
      <c r="D9611" s="236"/>
    </row>
    <row r="9612" spans="2:4" ht="12.75" customHeight="1" x14ac:dyDescent="0.2">
      <c r="B9612" s="236"/>
      <c r="C9612" s="236"/>
      <c r="D9612" s="236"/>
    </row>
    <row r="9613" spans="2:4" ht="12.75" customHeight="1" x14ac:dyDescent="0.2">
      <c r="B9613" s="236"/>
      <c r="C9613" s="236"/>
      <c r="D9613" s="236"/>
    </row>
    <row r="9614" spans="2:4" ht="12.75" customHeight="1" x14ac:dyDescent="0.2">
      <c r="B9614" s="236"/>
      <c r="C9614" s="236"/>
      <c r="D9614" s="236"/>
    </row>
    <row r="9615" spans="2:4" ht="12.75" customHeight="1" x14ac:dyDescent="0.2">
      <c r="B9615" s="236"/>
      <c r="C9615" s="236"/>
      <c r="D9615" s="236"/>
    </row>
    <row r="9616" spans="2:4" ht="12.75" customHeight="1" x14ac:dyDescent="0.2">
      <c r="B9616" s="236"/>
      <c r="C9616" s="236"/>
      <c r="D9616" s="236"/>
    </row>
    <row r="9617" spans="2:4" ht="12.75" customHeight="1" x14ac:dyDescent="0.2">
      <c r="B9617" s="236"/>
      <c r="C9617" s="236"/>
      <c r="D9617" s="236"/>
    </row>
    <row r="9618" spans="2:4" x14ac:dyDescent="0.2">
      <c r="B9618" s="236"/>
      <c r="C9618" s="236"/>
      <c r="D9618" s="236"/>
    </row>
    <row r="9619" spans="2:4" ht="12.75" customHeight="1" x14ac:dyDescent="0.2">
      <c r="B9619" s="236"/>
      <c r="C9619" s="236"/>
      <c r="D9619" s="236"/>
    </row>
    <row r="9620" spans="2:4" ht="12.75" customHeight="1" x14ac:dyDescent="0.2">
      <c r="B9620" s="236"/>
      <c r="C9620" s="236"/>
      <c r="D9620" s="236"/>
    </row>
    <row r="9621" spans="2:4" ht="12.75" customHeight="1" x14ac:dyDescent="0.2">
      <c r="B9621" s="236"/>
      <c r="C9621" s="236"/>
      <c r="D9621" s="236"/>
    </row>
    <row r="9622" spans="2:4" ht="12.75" customHeight="1" x14ac:dyDescent="0.2">
      <c r="B9622" s="236"/>
      <c r="C9622" s="236"/>
      <c r="D9622" s="236"/>
    </row>
    <row r="9623" spans="2:4" ht="12.75" customHeight="1" x14ac:dyDescent="0.2">
      <c r="B9623" s="236"/>
      <c r="C9623" s="236"/>
      <c r="D9623" s="236"/>
    </row>
    <row r="9624" spans="2:4" x14ac:dyDescent="0.2">
      <c r="B9624" s="236"/>
      <c r="C9624" s="236"/>
      <c r="D9624" s="236"/>
    </row>
    <row r="9625" spans="2:4" ht="12.75" customHeight="1" x14ac:dyDescent="0.2">
      <c r="B9625" s="236"/>
      <c r="C9625" s="236"/>
      <c r="D9625" s="236"/>
    </row>
    <row r="9626" spans="2:4" x14ac:dyDescent="0.2">
      <c r="B9626" s="236"/>
      <c r="C9626" s="236"/>
      <c r="D9626" s="236"/>
    </row>
    <row r="9627" spans="2:4" ht="12.75" customHeight="1" x14ac:dyDescent="0.2">
      <c r="B9627" s="236"/>
      <c r="C9627" s="236"/>
      <c r="D9627" s="236"/>
    </row>
    <row r="9628" spans="2:4" ht="12.75" customHeight="1" x14ac:dyDescent="0.2">
      <c r="B9628" s="236"/>
      <c r="C9628" s="236"/>
      <c r="D9628" s="236"/>
    </row>
    <row r="9629" spans="2:4" ht="12.75" customHeight="1" x14ac:dyDescent="0.2">
      <c r="B9629" s="236"/>
      <c r="C9629" s="236"/>
      <c r="D9629" s="236"/>
    </row>
    <row r="9630" spans="2:4" ht="12.75" customHeight="1" x14ac:dyDescent="0.2">
      <c r="B9630" s="236"/>
      <c r="C9630" s="236"/>
      <c r="D9630" s="236"/>
    </row>
    <row r="9631" spans="2:4" ht="12.75" customHeight="1" x14ac:dyDescent="0.2">
      <c r="B9631" s="236"/>
      <c r="C9631" s="236"/>
      <c r="D9631" s="236"/>
    </row>
    <row r="9632" spans="2:4" ht="12.75" customHeight="1" x14ac:dyDescent="0.2">
      <c r="B9632" s="236"/>
      <c r="C9632" s="236"/>
      <c r="D9632" s="236"/>
    </row>
    <row r="9633" spans="2:4" x14ac:dyDescent="0.2">
      <c r="B9633" s="236"/>
      <c r="C9633" s="236"/>
      <c r="D9633" s="236"/>
    </row>
    <row r="9634" spans="2:4" ht="12.75" customHeight="1" x14ac:dyDescent="0.2">
      <c r="B9634" s="236"/>
      <c r="C9634" s="236"/>
      <c r="D9634" s="236"/>
    </row>
    <row r="9635" spans="2:4" x14ac:dyDescent="0.2">
      <c r="B9635" s="236"/>
      <c r="C9635" s="236"/>
      <c r="D9635" s="236"/>
    </row>
    <row r="9636" spans="2:4" ht="12.75" customHeight="1" x14ac:dyDescent="0.2">
      <c r="B9636" s="236"/>
      <c r="C9636" s="236"/>
      <c r="D9636" s="236"/>
    </row>
    <row r="9637" spans="2:4" x14ac:dyDescent="0.2">
      <c r="B9637" s="236"/>
      <c r="C9637" s="236"/>
      <c r="D9637" s="236"/>
    </row>
    <row r="9638" spans="2:4" ht="12.75" customHeight="1" x14ac:dyDescent="0.2">
      <c r="B9638" s="236"/>
      <c r="C9638" s="236"/>
      <c r="D9638" s="236"/>
    </row>
    <row r="9639" spans="2:4" ht="12.75" customHeight="1" x14ac:dyDescent="0.2">
      <c r="B9639" s="236"/>
      <c r="C9639" s="236"/>
      <c r="D9639" s="236"/>
    </row>
    <row r="9640" spans="2:4" ht="12.75" customHeight="1" x14ac:dyDescent="0.2">
      <c r="B9640" s="236"/>
      <c r="C9640" s="236"/>
      <c r="D9640" s="236"/>
    </row>
    <row r="9641" spans="2:4" ht="12.75" customHeight="1" x14ac:dyDescent="0.2">
      <c r="B9641" s="236"/>
      <c r="C9641" s="236"/>
      <c r="D9641" s="236"/>
    </row>
    <row r="9642" spans="2:4" ht="12.75" customHeight="1" x14ac:dyDescent="0.2">
      <c r="B9642" s="236"/>
      <c r="C9642" s="236"/>
      <c r="D9642" s="236"/>
    </row>
    <row r="9643" spans="2:4" ht="12.75" customHeight="1" x14ac:dyDescent="0.2">
      <c r="B9643" s="236"/>
      <c r="C9643" s="236"/>
      <c r="D9643" s="236"/>
    </row>
    <row r="9644" spans="2:4" ht="12.75" customHeight="1" x14ac:dyDescent="0.2">
      <c r="B9644" s="236"/>
      <c r="C9644" s="236"/>
      <c r="D9644" s="236"/>
    </row>
    <row r="9645" spans="2:4" x14ac:dyDescent="0.2">
      <c r="B9645" s="236"/>
      <c r="C9645" s="236"/>
      <c r="D9645" s="236"/>
    </row>
    <row r="9646" spans="2:4" ht="12.75" customHeight="1" x14ac:dyDescent="0.2">
      <c r="B9646" s="236"/>
      <c r="C9646" s="236"/>
      <c r="D9646" s="236"/>
    </row>
    <row r="9647" spans="2:4" x14ac:dyDescent="0.2">
      <c r="B9647" s="236"/>
      <c r="C9647" s="236"/>
      <c r="D9647" s="236"/>
    </row>
    <row r="9648" spans="2:4" ht="12.75" customHeight="1" x14ac:dyDescent="0.2">
      <c r="B9648" s="236"/>
      <c r="C9648" s="236"/>
      <c r="D9648" s="236"/>
    </row>
    <row r="9649" spans="2:4" ht="12.75" customHeight="1" x14ac:dyDescent="0.2">
      <c r="B9649" s="236"/>
      <c r="C9649" s="236"/>
      <c r="D9649" s="236"/>
    </row>
    <row r="9650" spans="2:4" x14ac:dyDescent="0.2">
      <c r="B9650" s="236"/>
      <c r="C9650" s="236"/>
      <c r="D9650" s="236"/>
    </row>
    <row r="9651" spans="2:4" ht="12.75" customHeight="1" x14ac:dyDescent="0.2">
      <c r="B9651" s="236"/>
      <c r="C9651" s="236"/>
      <c r="D9651" s="236"/>
    </row>
    <row r="9652" spans="2:4" ht="12.75" customHeight="1" x14ac:dyDescent="0.2">
      <c r="B9652" s="236"/>
      <c r="C9652" s="236"/>
      <c r="D9652" s="236"/>
    </row>
    <row r="9653" spans="2:4" ht="12.75" customHeight="1" x14ac:dyDescent="0.2">
      <c r="B9653" s="236"/>
      <c r="C9653" s="236"/>
      <c r="D9653" s="236"/>
    </row>
    <row r="9654" spans="2:4" ht="12.75" customHeight="1" x14ac:dyDescent="0.2">
      <c r="B9654" s="236"/>
      <c r="C9654" s="236"/>
      <c r="D9654" s="236"/>
    </row>
    <row r="9655" spans="2:4" ht="12.75" customHeight="1" x14ac:dyDescent="0.2">
      <c r="B9655" s="236"/>
      <c r="C9655" s="236"/>
      <c r="D9655" s="236"/>
    </row>
    <row r="9656" spans="2:4" ht="12.75" customHeight="1" x14ac:dyDescent="0.2">
      <c r="B9656" s="236"/>
      <c r="C9656" s="236"/>
      <c r="D9656" s="236"/>
    </row>
    <row r="9657" spans="2:4" ht="12.75" customHeight="1" x14ac:dyDescent="0.2">
      <c r="B9657" s="236"/>
      <c r="C9657" s="236"/>
      <c r="D9657" s="236"/>
    </row>
    <row r="9658" spans="2:4" ht="12.75" customHeight="1" x14ac:dyDescent="0.2">
      <c r="B9658" s="236"/>
      <c r="C9658" s="236"/>
      <c r="D9658" s="236"/>
    </row>
    <row r="9659" spans="2:4" x14ac:dyDescent="0.2">
      <c r="B9659" s="236"/>
      <c r="C9659" s="236"/>
      <c r="D9659" s="236"/>
    </row>
    <row r="9660" spans="2:4" ht="12.75" customHeight="1" x14ac:dyDescent="0.2">
      <c r="B9660" s="236"/>
      <c r="C9660" s="236"/>
      <c r="D9660" s="236"/>
    </row>
    <row r="9661" spans="2:4" x14ac:dyDescent="0.2">
      <c r="B9661" s="236"/>
      <c r="C9661" s="236"/>
      <c r="D9661" s="236"/>
    </row>
    <row r="9662" spans="2:4" ht="12.75" customHeight="1" x14ac:dyDescent="0.2">
      <c r="B9662" s="236"/>
      <c r="C9662" s="236"/>
      <c r="D9662" s="236"/>
    </row>
    <row r="9663" spans="2:4" ht="12.75" customHeight="1" x14ac:dyDescent="0.2">
      <c r="B9663" s="236"/>
      <c r="C9663" s="236"/>
      <c r="D9663" s="236"/>
    </row>
    <row r="9664" spans="2:4" ht="12.75" customHeight="1" x14ac:dyDescent="0.2">
      <c r="B9664" s="236"/>
      <c r="C9664" s="236"/>
      <c r="D9664" s="236"/>
    </row>
    <row r="9665" spans="2:4" x14ac:dyDescent="0.2">
      <c r="B9665" s="236"/>
      <c r="C9665" s="236"/>
      <c r="D9665" s="236"/>
    </row>
    <row r="9666" spans="2:4" ht="12.75" customHeight="1" x14ac:dyDescent="0.2">
      <c r="B9666" s="236"/>
      <c r="C9666" s="236"/>
      <c r="D9666" s="236"/>
    </row>
    <row r="9667" spans="2:4" ht="12.75" customHeight="1" x14ac:dyDescent="0.2">
      <c r="B9667" s="236"/>
      <c r="C9667" s="236"/>
      <c r="D9667" s="236"/>
    </row>
    <row r="9668" spans="2:4" ht="12.75" customHeight="1" x14ac:dyDescent="0.2">
      <c r="B9668" s="236"/>
      <c r="C9668" s="236"/>
      <c r="D9668" s="236"/>
    </row>
    <row r="9669" spans="2:4" x14ac:dyDescent="0.2">
      <c r="B9669" s="236"/>
      <c r="C9669" s="236"/>
      <c r="D9669" s="236"/>
    </row>
    <row r="9670" spans="2:4" ht="12.75" customHeight="1" x14ac:dyDescent="0.2">
      <c r="B9670" s="236"/>
      <c r="C9670" s="236"/>
      <c r="D9670" s="236"/>
    </row>
    <row r="9671" spans="2:4" x14ac:dyDescent="0.2">
      <c r="B9671" s="236"/>
      <c r="C9671" s="236"/>
      <c r="D9671" s="236"/>
    </row>
    <row r="9672" spans="2:4" ht="12.75" customHeight="1" x14ac:dyDescent="0.2">
      <c r="B9672" s="236"/>
      <c r="C9672" s="236"/>
      <c r="D9672" s="236"/>
    </row>
    <row r="9673" spans="2:4" ht="12.75" customHeight="1" x14ac:dyDescent="0.2">
      <c r="B9673" s="236"/>
      <c r="C9673" s="236"/>
      <c r="D9673" s="236"/>
    </row>
    <row r="9674" spans="2:4" ht="12.75" customHeight="1" x14ac:dyDescent="0.2">
      <c r="B9674" s="236"/>
      <c r="C9674" s="236"/>
      <c r="D9674" s="236"/>
    </row>
    <row r="9675" spans="2:4" ht="12.75" customHeight="1" x14ac:dyDescent="0.2">
      <c r="B9675" s="236"/>
      <c r="C9675" s="236"/>
      <c r="D9675" s="236"/>
    </row>
    <row r="9676" spans="2:4" ht="12.75" customHeight="1" x14ac:dyDescent="0.2">
      <c r="B9676" s="236"/>
      <c r="C9676" s="236"/>
      <c r="D9676" s="236"/>
    </row>
    <row r="9677" spans="2:4" x14ac:dyDescent="0.2">
      <c r="B9677" s="236"/>
      <c r="C9677" s="236"/>
      <c r="D9677" s="236"/>
    </row>
    <row r="9678" spans="2:4" ht="12.75" customHeight="1" x14ac:dyDescent="0.2">
      <c r="B9678" s="236"/>
      <c r="C9678" s="236"/>
      <c r="D9678" s="236"/>
    </row>
    <row r="9679" spans="2:4" ht="12.75" customHeight="1" x14ac:dyDescent="0.2">
      <c r="B9679" s="236"/>
      <c r="C9679" s="236"/>
      <c r="D9679" s="236"/>
    </row>
    <row r="9680" spans="2:4" ht="12.75" customHeight="1" x14ac:dyDescent="0.2">
      <c r="B9680" s="236"/>
      <c r="C9680" s="236"/>
      <c r="D9680" s="236"/>
    </row>
    <row r="9681" spans="2:4" x14ac:dyDescent="0.2">
      <c r="B9681" s="236"/>
      <c r="C9681" s="236"/>
      <c r="D9681" s="236"/>
    </row>
    <row r="9682" spans="2:4" ht="12.75" customHeight="1" x14ac:dyDescent="0.2">
      <c r="B9682" s="236"/>
      <c r="C9682" s="236"/>
      <c r="D9682" s="236"/>
    </row>
    <row r="9683" spans="2:4" ht="12.75" customHeight="1" x14ac:dyDescent="0.2">
      <c r="B9683" s="236"/>
      <c r="C9683" s="236"/>
      <c r="D9683" s="236"/>
    </row>
    <row r="9684" spans="2:4" ht="12.75" customHeight="1" x14ac:dyDescent="0.2">
      <c r="B9684" s="236"/>
      <c r="C9684" s="236"/>
      <c r="D9684" s="236"/>
    </row>
    <row r="9685" spans="2:4" ht="12.75" customHeight="1" x14ac:dyDescent="0.2">
      <c r="B9685" s="236"/>
      <c r="C9685" s="236"/>
      <c r="D9685" s="236"/>
    </row>
    <row r="9686" spans="2:4" ht="12.75" customHeight="1" x14ac:dyDescent="0.2">
      <c r="B9686" s="236"/>
      <c r="C9686" s="236"/>
      <c r="D9686" s="236"/>
    </row>
    <row r="9687" spans="2:4" ht="12.75" customHeight="1" x14ac:dyDescent="0.2">
      <c r="B9687" s="236"/>
      <c r="C9687" s="236"/>
      <c r="D9687" s="236"/>
    </row>
    <row r="9688" spans="2:4" ht="12.75" customHeight="1" x14ac:dyDescent="0.2">
      <c r="B9688" s="236"/>
      <c r="C9688" s="236"/>
      <c r="D9688" s="236"/>
    </row>
    <row r="9689" spans="2:4" ht="12.75" customHeight="1" x14ac:dyDescent="0.2">
      <c r="B9689" s="236"/>
      <c r="C9689" s="236"/>
      <c r="D9689" s="236"/>
    </row>
    <row r="9690" spans="2:4" ht="12.75" customHeight="1" x14ac:dyDescent="0.2">
      <c r="B9690" s="236"/>
      <c r="C9690" s="236"/>
      <c r="D9690" s="236"/>
    </row>
    <row r="9691" spans="2:4" ht="12.75" customHeight="1" x14ac:dyDescent="0.2">
      <c r="B9691" s="236"/>
      <c r="C9691" s="236"/>
      <c r="D9691" s="236"/>
    </row>
    <row r="9692" spans="2:4" ht="12.75" customHeight="1" x14ac:dyDescent="0.2">
      <c r="B9692" s="236"/>
      <c r="C9692" s="236"/>
      <c r="D9692" s="236"/>
    </row>
    <row r="9693" spans="2:4" ht="12.75" customHeight="1" x14ac:dyDescent="0.2">
      <c r="B9693" s="236"/>
      <c r="C9693" s="236"/>
      <c r="D9693" s="236"/>
    </row>
    <row r="9694" spans="2:4" x14ac:dyDescent="0.2">
      <c r="B9694" s="236"/>
      <c r="C9694" s="236"/>
      <c r="D9694" s="236"/>
    </row>
    <row r="9695" spans="2:4" ht="12.75" customHeight="1" x14ac:dyDescent="0.2">
      <c r="B9695" s="236"/>
      <c r="C9695" s="236"/>
      <c r="D9695" s="236"/>
    </row>
    <row r="9696" spans="2:4" x14ac:dyDescent="0.2">
      <c r="B9696" s="236"/>
      <c r="C9696" s="236"/>
      <c r="D9696" s="236"/>
    </row>
    <row r="9697" spans="2:4" ht="12.75" customHeight="1" x14ac:dyDescent="0.2">
      <c r="B9697" s="236"/>
      <c r="C9697" s="236"/>
      <c r="D9697" s="236"/>
    </row>
    <row r="9698" spans="2:4" x14ac:dyDescent="0.2">
      <c r="B9698" s="236"/>
      <c r="C9698" s="236"/>
      <c r="D9698" s="236"/>
    </row>
    <row r="9699" spans="2:4" ht="12.75" customHeight="1" x14ac:dyDescent="0.2">
      <c r="B9699" s="236"/>
      <c r="C9699" s="236"/>
      <c r="D9699" s="236"/>
    </row>
    <row r="9700" spans="2:4" ht="12.75" customHeight="1" x14ac:dyDescent="0.2">
      <c r="B9700" s="236"/>
      <c r="C9700" s="236"/>
      <c r="D9700" s="236"/>
    </row>
    <row r="9701" spans="2:4" ht="12.75" customHeight="1" x14ac:dyDescent="0.2">
      <c r="B9701" s="236"/>
      <c r="C9701" s="236"/>
      <c r="D9701" s="236"/>
    </row>
    <row r="9702" spans="2:4" ht="12.75" customHeight="1" x14ac:dyDescent="0.2">
      <c r="B9702" s="236"/>
      <c r="C9702" s="236"/>
      <c r="D9702" s="236"/>
    </row>
    <row r="9703" spans="2:4" ht="12.75" customHeight="1" x14ac:dyDescent="0.2">
      <c r="B9703" s="236"/>
      <c r="C9703" s="236"/>
      <c r="D9703" s="236"/>
    </row>
    <row r="9704" spans="2:4" ht="12.75" customHeight="1" x14ac:dyDescent="0.2">
      <c r="B9704" s="236"/>
      <c r="C9704" s="236"/>
      <c r="D9704" s="236"/>
    </row>
    <row r="9705" spans="2:4" ht="12.75" customHeight="1" x14ac:dyDescent="0.2">
      <c r="B9705" s="236"/>
      <c r="C9705" s="236"/>
      <c r="D9705" s="236"/>
    </row>
    <row r="9706" spans="2:4" ht="12.75" customHeight="1" x14ac:dyDescent="0.2">
      <c r="B9706" s="236"/>
      <c r="C9706" s="236"/>
      <c r="D9706" s="236"/>
    </row>
    <row r="9707" spans="2:4" ht="12.75" customHeight="1" x14ac:dyDescent="0.2">
      <c r="B9707" s="236"/>
      <c r="C9707" s="236"/>
      <c r="D9707" s="236"/>
    </row>
    <row r="9708" spans="2:4" ht="12.75" customHeight="1" x14ac:dyDescent="0.2">
      <c r="B9708" s="236"/>
      <c r="C9708" s="236"/>
      <c r="D9708" s="236"/>
    </row>
    <row r="9709" spans="2:4" ht="12.75" customHeight="1" x14ac:dyDescent="0.2">
      <c r="B9709" s="236"/>
      <c r="C9709" s="236"/>
      <c r="D9709" s="236"/>
    </row>
    <row r="9710" spans="2:4" ht="12.75" customHeight="1" x14ac:dyDescent="0.2">
      <c r="B9710" s="236"/>
      <c r="C9710" s="236"/>
      <c r="D9710" s="236"/>
    </row>
    <row r="9711" spans="2:4" ht="12.75" customHeight="1" x14ac:dyDescent="0.2">
      <c r="B9711" s="236"/>
      <c r="C9711" s="236"/>
      <c r="D9711" s="236"/>
    </row>
    <row r="9712" spans="2:4" ht="12.75" customHeight="1" x14ac:dyDescent="0.2">
      <c r="B9712" s="236"/>
      <c r="C9712" s="236"/>
      <c r="D9712" s="236"/>
    </row>
    <row r="9713" spans="2:4" ht="12.75" customHeight="1" x14ac:dyDescent="0.2">
      <c r="B9713" s="236"/>
      <c r="C9713" s="236"/>
      <c r="D9713" s="236"/>
    </row>
    <row r="9714" spans="2:4" x14ac:dyDescent="0.2">
      <c r="B9714" s="236"/>
      <c r="C9714" s="236"/>
      <c r="D9714" s="236"/>
    </row>
    <row r="9715" spans="2:4" ht="12.75" customHeight="1" x14ac:dyDescent="0.2">
      <c r="B9715" s="236"/>
      <c r="C9715" s="236"/>
      <c r="D9715" s="236"/>
    </row>
    <row r="9716" spans="2:4" x14ac:dyDescent="0.2">
      <c r="B9716" s="236"/>
      <c r="C9716" s="236"/>
      <c r="D9716" s="236"/>
    </row>
    <row r="9717" spans="2:4" ht="12.75" customHeight="1" x14ac:dyDescent="0.2">
      <c r="B9717" s="236"/>
      <c r="C9717" s="236"/>
      <c r="D9717" s="236"/>
    </row>
    <row r="9718" spans="2:4" ht="12.75" customHeight="1" x14ac:dyDescent="0.2">
      <c r="B9718" s="236"/>
      <c r="C9718" s="236"/>
      <c r="D9718" s="236"/>
    </row>
    <row r="9719" spans="2:4" ht="12.75" customHeight="1" x14ac:dyDescent="0.2">
      <c r="B9719" s="236"/>
      <c r="C9719" s="236"/>
      <c r="D9719" s="236"/>
    </row>
    <row r="9720" spans="2:4" x14ac:dyDescent="0.2">
      <c r="B9720" s="236"/>
      <c r="C9720" s="236"/>
      <c r="D9720" s="236"/>
    </row>
    <row r="9721" spans="2:4" ht="12.75" customHeight="1" x14ac:dyDescent="0.2">
      <c r="B9721" s="236"/>
      <c r="C9721" s="236"/>
      <c r="D9721" s="236"/>
    </row>
    <row r="9722" spans="2:4" x14ac:dyDescent="0.2">
      <c r="B9722" s="236"/>
      <c r="C9722" s="236"/>
      <c r="D9722" s="236"/>
    </row>
    <row r="9723" spans="2:4" ht="12.75" customHeight="1" x14ac:dyDescent="0.2">
      <c r="B9723" s="236"/>
      <c r="C9723" s="236"/>
      <c r="D9723" s="236"/>
    </row>
    <row r="9724" spans="2:4" x14ac:dyDescent="0.2">
      <c r="B9724" s="236"/>
      <c r="C9724" s="236"/>
      <c r="D9724" s="236"/>
    </row>
    <row r="9725" spans="2:4" ht="12.75" customHeight="1" x14ac:dyDescent="0.2">
      <c r="B9725" s="236"/>
      <c r="C9725" s="236"/>
      <c r="D9725" s="236"/>
    </row>
    <row r="9726" spans="2:4" ht="12.75" customHeight="1" x14ac:dyDescent="0.2">
      <c r="B9726" s="236"/>
      <c r="C9726" s="236"/>
      <c r="D9726" s="236"/>
    </row>
    <row r="9727" spans="2:4" ht="12.75" customHeight="1" x14ac:dyDescent="0.2">
      <c r="B9727" s="236"/>
      <c r="C9727" s="236"/>
      <c r="D9727" s="236"/>
    </row>
    <row r="9728" spans="2:4" ht="12.75" customHeight="1" x14ac:dyDescent="0.2">
      <c r="B9728" s="236"/>
      <c r="C9728" s="236"/>
      <c r="D9728" s="236"/>
    </row>
    <row r="9729" spans="2:4" ht="12.75" customHeight="1" x14ac:dyDescent="0.2">
      <c r="B9729" s="236"/>
      <c r="C9729" s="236"/>
      <c r="D9729" s="236"/>
    </row>
    <row r="9730" spans="2:4" ht="12.75" customHeight="1" x14ac:dyDescent="0.2">
      <c r="B9730" s="236"/>
      <c r="C9730" s="236"/>
      <c r="D9730" s="236"/>
    </row>
    <row r="9731" spans="2:4" ht="12.75" customHeight="1" x14ac:dyDescent="0.2">
      <c r="B9731" s="236"/>
      <c r="C9731" s="236"/>
      <c r="D9731" s="236"/>
    </row>
    <row r="9732" spans="2:4" ht="12.75" customHeight="1" x14ac:dyDescent="0.2">
      <c r="B9732" s="236"/>
      <c r="C9732" s="236"/>
      <c r="D9732" s="236"/>
    </row>
    <row r="9733" spans="2:4" x14ac:dyDescent="0.2">
      <c r="B9733" s="236"/>
      <c r="C9733" s="236"/>
      <c r="D9733" s="236"/>
    </row>
    <row r="9734" spans="2:4" ht="12.75" customHeight="1" x14ac:dyDescent="0.2">
      <c r="B9734" s="236"/>
      <c r="C9734" s="236"/>
      <c r="D9734" s="236"/>
    </row>
    <row r="9735" spans="2:4" x14ac:dyDescent="0.2">
      <c r="B9735" s="236"/>
      <c r="C9735" s="236"/>
      <c r="D9735" s="236"/>
    </row>
    <row r="9736" spans="2:4" ht="12.75" customHeight="1" x14ac:dyDescent="0.2">
      <c r="B9736" s="236"/>
      <c r="C9736" s="236"/>
      <c r="D9736" s="236"/>
    </row>
    <row r="9737" spans="2:4" ht="12.75" customHeight="1" x14ac:dyDescent="0.2">
      <c r="B9737" s="236"/>
      <c r="C9737" s="236"/>
      <c r="D9737" s="236"/>
    </row>
    <row r="9738" spans="2:4" x14ac:dyDescent="0.2">
      <c r="B9738" s="236"/>
      <c r="C9738" s="236"/>
      <c r="D9738" s="236"/>
    </row>
    <row r="9739" spans="2:4" ht="12.75" customHeight="1" x14ac:dyDescent="0.2">
      <c r="B9739" s="236"/>
      <c r="C9739" s="236"/>
      <c r="D9739" s="236"/>
    </row>
    <row r="9740" spans="2:4" x14ac:dyDescent="0.2">
      <c r="B9740" s="236"/>
      <c r="C9740" s="236"/>
      <c r="D9740" s="236"/>
    </row>
    <row r="9741" spans="2:4" ht="12.75" customHeight="1" x14ac:dyDescent="0.2">
      <c r="B9741" s="236"/>
      <c r="C9741" s="236"/>
      <c r="D9741" s="236"/>
    </row>
    <row r="9742" spans="2:4" ht="12.75" customHeight="1" x14ac:dyDescent="0.2">
      <c r="B9742" s="236"/>
      <c r="C9742" s="236"/>
      <c r="D9742" s="236"/>
    </row>
    <row r="9743" spans="2:4" ht="12.75" customHeight="1" x14ac:dyDescent="0.2">
      <c r="B9743" s="236"/>
      <c r="C9743" s="236"/>
      <c r="D9743" s="236"/>
    </row>
    <row r="9744" spans="2:4" ht="12.75" customHeight="1" x14ac:dyDescent="0.2">
      <c r="B9744" s="236"/>
      <c r="C9744" s="236"/>
      <c r="D9744" s="236"/>
    </row>
    <row r="9745" spans="2:4" x14ac:dyDescent="0.2">
      <c r="B9745" s="236"/>
      <c r="C9745" s="236"/>
      <c r="D9745" s="236"/>
    </row>
    <row r="9746" spans="2:4" ht="12.75" customHeight="1" x14ac:dyDescent="0.2">
      <c r="B9746" s="236"/>
      <c r="C9746" s="236"/>
      <c r="D9746" s="236"/>
    </row>
    <row r="9747" spans="2:4" ht="12.75" customHeight="1" x14ac:dyDescent="0.2">
      <c r="B9747" s="236"/>
      <c r="C9747" s="236"/>
      <c r="D9747" s="236"/>
    </row>
    <row r="9748" spans="2:4" ht="12.75" customHeight="1" x14ac:dyDescent="0.2">
      <c r="B9748" s="236"/>
      <c r="C9748" s="236"/>
      <c r="D9748" s="236"/>
    </row>
    <row r="9749" spans="2:4" ht="12.75" customHeight="1" x14ac:dyDescent="0.2">
      <c r="B9749" s="236"/>
      <c r="C9749" s="236"/>
      <c r="D9749" s="236"/>
    </row>
    <row r="9750" spans="2:4" x14ac:dyDescent="0.2">
      <c r="B9750" s="236"/>
      <c r="C9750" s="236"/>
      <c r="D9750" s="236"/>
    </row>
    <row r="9751" spans="2:4" ht="12.75" customHeight="1" x14ac:dyDescent="0.2">
      <c r="B9751" s="236"/>
      <c r="C9751" s="236"/>
      <c r="D9751" s="236"/>
    </row>
    <row r="9752" spans="2:4" x14ac:dyDescent="0.2">
      <c r="B9752" s="236"/>
      <c r="C9752" s="236"/>
      <c r="D9752" s="236"/>
    </row>
    <row r="9753" spans="2:4" ht="12.75" customHeight="1" x14ac:dyDescent="0.2">
      <c r="B9753" s="236"/>
      <c r="C9753" s="236"/>
      <c r="D9753" s="236"/>
    </row>
    <row r="9754" spans="2:4" ht="12.75" customHeight="1" x14ac:dyDescent="0.2">
      <c r="B9754" s="236"/>
      <c r="C9754" s="236"/>
      <c r="D9754" s="236"/>
    </row>
    <row r="9755" spans="2:4" x14ac:dyDescent="0.2">
      <c r="B9755" s="236"/>
      <c r="C9755" s="236"/>
      <c r="D9755" s="236"/>
    </row>
    <row r="9756" spans="2:4" ht="12.75" customHeight="1" x14ac:dyDescent="0.2">
      <c r="B9756" s="236"/>
      <c r="C9756" s="236"/>
      <c r="D9756" s="236"/>
    </row>
    <row r="9757" spans="2:4" ht="12.75" customHeight="1" x14ac:dyDescent="0.2">
      <c r="B9757" s="236"/>
      <c r="C9757" s="236"/>
      <c r="D9757" s="236"/>
    </row>
    <row r="9758" spans="2:4" ht="12.75" customHeight="1" x14ac:dyDescent="0.2">
      <c r="B9758" s="236"/>
      <c r="C9758" s="236"/>
      <c r="D9758" s="236"/>
    </row>
    <row r="9759" spans="2:4" x14ac:dyDescent="0.2">
      <c r="B9759" s="236"/>
      <c r="C9759" s="236"/>
      <c r="D9759" s="236"/>
    </row>
    <row r="9760" spans="2:4" ht="12.75" customHeight="1" x14ac:dyDescent="0.2">
      <c r="B9760" s="236"/>
      <c r="C9760" s="236"/>
      <c r="D9760" s="236"/>
    </row>
    <row r="9761" spans="2:4" x14ac:dyDescent="0.2">
      <c r="B9761" s="236"/>
      <c r="C9761" s="236"/>
      <c r="D9761" s="236"/>
    </row>
    <row r="9762" spans="2:4" ht="12.75" customHeight="1" x14ac:dyDescent="0.2">
      <c r="B9762" s="236"/>
      <c r="C9762" s="236"/>
      <c r="D9762" s="236"/>
    </row>
    <row r="9763" spans="2:4" ht="12.75" customHeight="1" x14ac:dyDescent="0.2">
      <c r="B9763" s="236"/>
      <c r="C9763" s="236"/>
      <c r="D9763" s="236"/>
    </row>
    <row r="9764" spans="2:4" ht="12.75" customHeight="1" x14ac:dyDescent="0.2">
      <c r="B9764" s="236"/>
      <c r="C9764" s="236"/>
      <c r="D9764" s="236"/>
    </row>
    <row r="9765" spans="2:4" ht="12.75" customHeight="1" x14ac:dyDescent="0.2">
      <c r="B9765" s="236"/>
      <c r="C9765" s="236"/>
      <c r="D9765" s="236"/>
    </row>
    <row r="9766" spans="2:4" ht="12.75" customHeight="1" x14ac:dyDescent="0.2">
      <c r="B9766" s="236"/>
      <c r="C9766" s="236"/>
      <c r="D9766" s="236"/>
    </row>
    <row r="9767" spans="2:4" ht="12.75" customHeight="1" x14ac:dyDescent="0.2">
      <c r="B9767" s="236"/>
      <c r="C9767" s="236"/>
      <c r="D9767" s="236"/>
    </row>
    <row r="9768" spans="2:4" ht="12.75" customHeight="1" x14ac:dyDescent="0.2">
      <c r="B9768" s="236"/>
      <c r="C9768" s="236"/>
      <c r="D9768" s="236"/>
    </row>
    <row r="9769" spans="2:4" x14ac:dyDescent="0.2">
      <c r="B9769" s="236"/>
      <c r="C9769" s="236"/>
      <c r="D9769" s="236"/>
    </row>
    <row r="9770" spans="2:4" ht="12.75" customHeight="1" x14ac:dyDescent="0.2">
      <c r="B9770" s="236"/>
      <c r="C9770" s="236"/>
      <c r="D9770" s="236"/>
    </row>
    <row r="9771" spans="2:4" ht="12.75" customHeight="1" x14ac:dyDescent="0.2">
      <c r="B9771" s="236"/>
      <c r="C9771" s="236"/>
      <c r="D9771" s="236"/>
    </row>
    <row r="9772" spans="2:4" x14ac:dyDescent="0.2">
      <c r="B9772" s="236"/>
      <c r="C9772" s="236"/>
      <c r="D9772" s="236"/>
    </row>
    <row r="9773" spans="2:4" ht="12.75" customHeight="1" x14ac:dyDescent="0.2">
      <c r="B9773" s="236"/>
      <c r="C9773" s="236"/>
      <c r="D9773" s="236"/>
    </row>
    <row r="9774" spans="2:4" ht="12.75" customHeight="1" x14ac:dyDescent="0.2">
      <c r="B9774" s="236"/>
      <c r="C9774" s="236"/>
      <c r="D9774" s="236"/>
    </row>
    <row r="9775" spans="2:4" x14ac:dyDescent="0.2">
      <c r="B9775" s="236"/>
      <c r="C9775" s="236"/>
      <c r="D9775" s="236"/>
    </row>
    <row r="9776" spans="2:4" ht="12.75" customHeight="1" x14ac:dyDescent="0.2">
      <c r="B9776" s="236"/>
      <c r="C9776" s="236"/>
      <c r="D9776" s="236"/>
    </row>
    <row r="9777" spans="2:4" x14ac:dyDescent="0.2">
      <c r="B9777" s="236"/>
      <c r="C9777" s="236"/>
      <c r="D9777" s="236"/>
    </row>
    <row r="9778" spans="2:4" ht="12.75" customHeight="1" x14ac:dyDescent="0.2">
      <c r="B9778" s="236"/>
      <c r="C9778" s="236"/>
      <c r="D9778" s="236"/>
    </row>
    <row r="9779" spans="2:4" x14ac:dyDescent="0.2">
      <c r="B9779" s="236"/>
      <c r="C9779" s="236"/>
      <c r="D9779" s="236"/>
    </row>
    <row r="9780" spans="2:4" ht="12.75" customHeight="1" x14ac:dyDescent="0.2">
      <c r="B9780" s="236"/>
      <c r="C9780" s="236"/>
      <c r="D9780" s="236"/>
    </row>
    <row r="9781" spans="2:4" ht="12.75" customHeight="1" x14ac:dyDescent="0.2">
      <c r="B9781" s="236"/>
      <c r="C9781" s="236"/>
      <c r="D9781" s="236"/>
    </row>
    <row r="9782" spans="2:4" ht="12.75" customHeight="1" x14ac:dyDescent="0.2">
      <c r="B9782" s="236"/>
      <c r="C9782" s="236"/>
      <c r="D9782" s="236"/>
    </row>
    <row r="9783" spans="2:4" ht="12.75" customHeight="1" x14ac:dyDescent="0.2">
      <c r="B9783" s="236"/>
      <c r="C9783" s="236"/>
      <c r="D9783" s="236"/>
    </row>
    <row r="9784" spans="2:4" ht="12.75" customHeight="1" x14ac:dyDescent="0.2">
      <c r="B9784" s="236"/>
      <c r="C9784" s="236"/>
      <c r="D9784" s="236"/>
    </row>
    <row r="9785" spans="2:4" ht="12.75" customHeight="1" x14ac:dyDescent="0.2">
      <c r="B9785" s="236"/>
      <c r="C9785" s="236"/>
      <c r="D9785" s="236"/>
    </row>
    <row r="9786" spans="2:4" ht="12.75" customHeight="1" x14ac:dyDescent="0.2">
      <c r="B9786" s="236"/>
      <c r="C9786" s="236"/>
      <c r="D9786" s="236"/>
    </row>
    <row r="9787" spans="2:4" ht="12.75" customHeight="1" x14ac:dyDescent="0.2">
      <c r="B9787" s="236"/>
      <c r="C9787" s="236"/>
      <c r="D9787" s="236"/>
    </row>
    <row r="9788" spans="2:4" ht="12.75" customHeight="1" x14ac:dyDescent="0.2">
      <c r="B9788" s="236"/>
      <c r="C9788" s="236"/>
      <c r="D9788" s="236"/>
    </row>
    <row r="9789" spans="2:4" ht="12.75" customHeight="1" x14ac:dyDescent="0.2">
      <c r="B9789" s="236"/>
      <c r="C9789" s="236"/>
      <c r="D9789" s="236"/>
    </row>
    <row r="9790" spans="2:4" ht="12.75" customHeight="1" x14ac:dyDescent="0.2">
      <c r="B9790" s="236"/>
      <c r="C9790" s="236"/>
      <c r="D9790" s="236"/>
    </row>
    <row r="9791" spans="2:4" ht="12.75" customHeight="1" x14ac:dyDescent="0.2">
      <c r="B9791" s="236"/>
      <c r="C9791" s="236"/>
      <c r="D9791" s="236"/>
    </row>
    <row r="9792" spans="2:4" x14ac:dyDescent="0.2">
      <c r="B9792" s="236"/>
      <c r="C9792" s="236"/>
      <c r="D9792" s="236"/>
    </row>
    <row r="9793" spans="2:4" ht="12.75" customHeight="1" x14ac:dyDescent="0.2">
      <c r="B9793" s="236"/>
      <c r="C9793" s="236"/>
      <c r="D9793" s="236"/>
    </row>
    <row r="9794" spans="2:4" x14ac:dyDescent="0.2">
      <c r="B9794" s="236"/>
      <c r="C9794" s="236"/>
      <c r="D9794" s="236"/>
    </row>
    <row r="9795" spans="2:4" ht="12.75" customHeight="1" x14ac:dyDescent="0.2">
      <c r="B9795" s="236"/>
      <c r="C9795" s="236"/>
      <c r="D9795" s="236"/>
    </row>
    <row r="9796" spans="2:4" ht="12.75" customHeight="1" x14ac:dyDescent="0.2">
      <c r="B9796" s="236"/>
      <c r="C9796" s="236"/>
      <c r="D9796" s="236"/>
    </row>
    <row r="9797" spans="2:4" ht="12.75" customHeight="1" x14ac:dyDescent="0.2">
      <c r="B9797" s="236"/>
      <c r="C9797" s="236"/>
      <c r="D9797" s="236"/>
    </row>
    <row r="9798" spans="2:4" ht="12.75" customHeight="1" x14ac:dyDescent="0.2">
      <c r="B9798" s="236"/>
      <c r="C9798" s="236"/>
      <c r="D9798" s="236"/>
    </row>
    <row r="9799" spans="2:4" ht="12.75" customHeight="1" x14ac:dyDescent="0.2">
      <c r="B9799" s="236"/>
      <c r="C9799" s="236"/>
      <c r="D9799" s="236"/>
    </row>
    <row r="9800" spans="2:4" ht="12.75" customHeight="1" x14ac:dyDescent="0.2">
      <c r="B9800" s="236"/>
      <c r="C9800" s="236"/>
      <c r="D9800" s="236"/>
    </row>
    <row r="9801" spans="2:4" x14ac:dyDescent="0.2">
      <c r="B9801" s="236"/>
      <c r="C9801" s="236"/>
      <c r="D9801" s="236"/>
    </row>
    <row r="9802" spans="2:4" ht="12.75" customHeight="1" x14ac:dyDescent="0.2">
      <c r="B9802" s="236"/>
      <c r="C9802" s="236"/>
      <c r="D9802" s="236"/>
    </row>
    <row r="9803" spans="2:4" ht="12.75" customHeight="1" x14ac:dyDescent="0.2">
      <c r="B9803" s="236"/>
      <c r="C9803" s="236"/>
      <c r="D9803" s="236"/>
    </row>
    <row r="9804" spans="2:4" ht="12.75" customHeight="1" x14ac:dyDescent="0.2">
      <c r="B9804" s="236"/>
      <c r="C9804" s="236"/>
      <c r="D9804" s="236"/>
    </row>
    <row r="9805" spans="2:4" x14ac:dyDescent="0.2">
      <c r="B9805" s="236"/>
      <c r="C9805" s="236"/>
      <c r="D9805" s="236"/>
    </row>
    <row r="9806" spans="2:4" ht="12.75" customHeight="1" x14ac:dyDescent="0.2">
      <c r="B9806" s="236"/>
      <c r="C9806" s="236"/>
      <c r="D9806" s="236"/>
    </row>
    <row r="9807" spans="2:4" ht="12.75" customHeight="1" x14ac:dyDescent="0.2">
      <c r="B9807" s="236"/>
      <c r="C9807" s="236"/>
      <c r="D9807" s="236"/>
    </row>
    <row r="9808" spans="2:4" ht="12.75" customHeight="1" x14ac:dyDescent="0.2">
      <c r="B9808" s="236"/>
      <c r="C9808" s="236"/>
      <c r="D9808" s="236"/>
    </row>
    <row r="9809" spans="2:4" ht="12.75" customHeight="1" x14ac:dyDescent="0.2">
      <c r="B9809" s="236"/>
      <c r="C9809" s="236"/>
      <c r="D9809" s="236"/>
    </row>
    <row r="9810" spans="2:4" x14ac:dyDescent="0.2">
      <c r="B9810" s="236"/>
      <c r="C9810" s="236"/>
      <c r="D9810" s="236"/>
    </row>
    <row r="9811" spans="2:4" ht="12.75" customHeight="1" x14ac:dyDescent="0.2">
      <c r="B9811" s="236"/>
      <c r="C9811" s="236"/>
      <c r="D9811" s="236"/>
    </row>
    <row r="9812" spans="2:4" ht="12.75" customHeight="1" x14ac:dyDescent="0.2">
      <c r="B9812" s="236"/>
      <c r="C9812" s="236"/>
      <c r="D9812" s="236"/>
    </row>
    <row r="9813" spans="2:4" ht="12.75" customHeight="1" x14ac:dyDescent="0.2">
      <c r="B9813" s="236"/>
      <c r="C9813" s="236"/>
      <c r="D9813" s="236"/>
    </row>
    <row r="9814" spans="2:4" ht="12.75" customHeight="1" x14ac:dyDescent="0.2">
      <c r="B9814" s="236"/>
      <c r="C9814" s="236"/>
      <c r="D9814" s="236"/>
    </row>
    <row r="9815" spans="2:4" ht="12.75" customHeight="1" x14ac:dyDescent="0.2">
      <c r="B9815" s="236"/>
      <c r="C9815" s="236"/>
      <c r="D9815" s="236"/>
    </row>
    <row r="9816" spans="2:4" x14ac:dyDescent="0.2">
      <c r="B9816" s="236"/>
      <c r="C9816" s="236"/>
      <c r="D9816" s="236"/>
    </row>
    <row r="9817" spans="2:4" ht="12.75" customHeight="1" x14ac:dyDescent="0.2">
      <c r="B9817" s="236"/>
      <c r="C9817" s="236"/>
      <c r="D9817" s="236"/>
    </row>
    <row r="9818" spans="2:4" x14ac:dyDescent="0.2">
      <c r="B9818" s="236"/>
      <c r="C9818" s="236"/>
      <c r="D9818" s="236"/>
    </row>
    <row r="9819" spans="2:4" ht="12.75" customHeight="1" x14ac:dyDescent="0.2">
      <c r="B9819" s="236"/>
      <c r="C9819" s="236"/>
      <c r="D9819" s="236"/>
    </row>
    <row r="9820" spans="2:4" x14ac:dyDescent="0.2">
      <c r="B9820" s="236"/>
      <c r="C9820" s="236"/>
      <c r="D9820" s="236"/>
    </row>
    <row r="9821" spans="2:4" ht="12.75" customHeight="1" x14ac:dyDescent="0.2">
      <c r="B9821" s="236"/>
      <c r="C9821" s="236"/>
      <c r="D9821" s="236"/>
    </row>
    <row r="9822" spans="2:4" ht="12.75" customHeight="1" x14ac:dyDescent="0.2">
      <c r="B9822" s="236"/>
      <c r="C9822" s="236"/>
      <c r="D9822" s="236"/>
    </row>
    <row r="9823" spans="2:4" ht="12.75" customHeight="1" x14ac:dyDescent="0.2">
      <c r="B9823" s="236"/>
      <c r="C9823" s="236"/>
      <c r="D9823" s="236"/>
    </row>
    <row r="9824" spans="2:4" ht="12.75" customHeight="1" x14ac:dyDescent="0.2">
      <c r="B9824" s="236"/>
      <c r="C9824" s="236"/>
      <c r="D9824" s="236"/>
    </row>
    <row r="9825" spans="2:4" x14ac:dyDescent="0.2">
      <c r="B9825" s="236"/>
      <c r="C9825" s="236"/>
      <c r="D9825" s="236"/>
    </row>
    <row r="9826" spans="2:4" ht="12.75" customHeight="1" x14ac:dyDescent="0.2">
      <c r="B9826" s="236"/>
      <c r="C9826" s="236"/>
      <c r="D9826" s="236"/>
    </row>
    <row r="9827" spans="2:4" ht="12.75" customHeight="1" x14ac:dyDescent="0.2">
      <c r="B9827" s="236"/>
      <c r="C9827" s="236"/>
      <c r="D9827" s="236"/>
    </row>
    <row r="9828" spans="2:4" ht="12.75" customHeight="1" x14ac:dyDescent="0.2">
      <c r="B9828" s="236"/>
      <c r="C9828" s="236"/>
      <c r="D9828" s="236"/>
    </row>
    <row r="9829" spans="2:4" ht="12.75" customHeight="1" x14ac:dyDescent="0.2">
      <c r="B9829" s="236"/>
      <c r="C9829" s="236"/>
      <c r="D9829" s="236"/>
    </row>
    <row r="9830" spans="2:4" x14ac:dyDescent="0.2">
      <c r="B9830" s="236"/>
      <c r="C9830" s="236"/>
      <c r="D9830" s="236"/>
    </row>
    <row r="9831" spans="2:4" ht="12.75" customHeight="1" x14ac:dyDescent="0.2">
      <c r="B9831" s="236"/>
      <c r="C9831" s="236"/>
      <c r="D9831" s="236"/>
    </row>
    <row r="9832" spans="2:4" x14ac:dyDescent="0.2">
      <c r="B9832" s="236"/>
      <c r="C9832" s="236"/>
      <c r="D9832" s="236"/>
    </row>
    <row r="9833" spans="2:4" ht="12.75" customHeight="1" x14ac:dyDescent="0.2">
      <c r="B9833" s="236"/>
      <c r="C9833" s="236"/>
      <c r="D9833" s="236"/>
    </row>
    <row r="9834" spans="2:4" ht="12.75" customHeight="1" x14ac:dyDescent="0.2">
      <c r="B9834" s="236"/>
      <c r="C9834" s="236"/>
      <c r="D9834" s="236"/>
    </row>
    <row r="9835" spans="2:4" x14ac:dyDescent="0.2">
      <c r="B9835" s="236"/>
      <c r="C9835" s="236"/>
      <c r="D9835" s="236"/>
    </row>
    <row r="9836" spans="2:4" ht="12.75" customHeight="1" x14ac:dyDescent="0.2">
      <c r="B9836" s="236"/>
      <c r="C9836" s="236"/>
      <c r="D9836" s="236"/>
    </row>
    <row r="9837" spans="2:4" x14ac:dyDescent="0.2">
      <c r="B9837" s="236"/>
      <c r="C9837" s="236"/>
      <c r="D9837" s="236"/>
    </row>
    <row r="9838" spans="2:4" ht="12.75" customHeight="1" x14ac:dyDescent="0.2">
      <c r="B9838" s="236"/>
      <c r="C9838" s="236"/>
      <c r="D9838" s="236"/>
    </row>
    <row r="9839" spans="2:4" x14ac:dyDescent="0.2">
      <c r="B9839" s="236"/>
      <c r="C9839" s="236"/>
      <c r="D9839" s="236"/>
    </row>
    <row r="9840" spans="2:4" ht="12.75" customHeight="1" x14ac:dyDescent="0.2">
      <c r="B9840" s="236"/>
      <c r="C9840" s="236"/>
      <c r="D9840" s="236"/>
    </row>
    <row r="9841" spans="2:4" ht="12.75" customHeight="1" x14ac:dyDescent="0.2">
      <c r="B9841" s="236"/>
      <c r="C9841" s="236"/>
      <c r="D9841" s="236"/>
    </row>
    <row r="9842" spans="2:4" ht="12.75" customHeight="1" x14ac:dyDescent="0.2">
      <c r="B9842" s="236"/>
      <c r="C9842" s="236"/>
      <c r="D9842" s="236"/>
    </row>
    <row r="9843" spans="2:4" ht="12.75" customHeight="1" x14ac:dyDescent="0.2">
      <c r="B9843" s="236"/>
      <c r="C9843" s="236"/>
      <c r="D9843" s="236"/>
    </row>
    <row r="9844" spans="2:4" ht="12.75" customHeight="1" x14ac:dyDescent="0.2">
      <c r="B9844" s="236"/>
      <c r="C9844" s="236"/>
      <c r="D9844" s="236"/>
    </row>
    <row r="9845" spans="2:4" x14ac:dyDescent="0.2">
      <c r="B9845" s="236"/>
      <c r="C9845" s="236"/>
      <c r="D9845" s="236"/>
    </row>
    <row r="9846" spans="2:4" ht="12.75" customHeight="1" x14ac:dyDescent="0.2">
      <c r="B9846" s="236"/>
      <c r="C9846" s="236"/>
      <c r="D9846" s="236"/>
    </row>
    <row r="9847" spans="2:4" ht="12.75" customHeight="1" x14ac:dyDescent="0.2">
      <c r="B9847" s="236"/>
      <c r="C9847" s="236"/>
      <c r="D9847" s="236"/>
    </row>
    <row r="9848" spans="2:4" ht="12.75" customHeight="1" x14ac:dyDescent="0.2">
      <c r="B9848" s="236"/>
      <c r="C9848" s="236"/>
      <c r="D9848" s="236"/>
    </row>
    <row r="9849" spans="2:4" ht="12.75" customHeight="1" x14ac:dyDescent="0.2">
      <c r="B9849" s="236"/>
      <c r="C9849" s="236"/>
      <c r="D9849" s="236"/>
    </row>
    <row r="9850" spans="2:4" ht="12.75" customHeight="1" x14ac:dyDescent="0.2">
      <c r="B9850" s="236"/>
      <c r="C9850" s="236"/>
      <c r="D9850" s="236"/>
    </row>
    <row r="9851" spans="2:4" ht="12.75" customHeight="1" x14ac:dyDescent="0.2">
      <c r="B9851" s="236"/>
      <c r="C9851" s="236"/>
      <c r="D9851" s="236"/>
    </row>
    <row r="9852" spans="2:4" ht="12.75" customHeight="1" x14ac:dyDescent="0.2">
      <c r="B9852" s="236"/>
      <c r="C9852" s="236"/>
      <c r="D9852" s="236"/>
    </row>
    <row r="9853" spans="2:4" ht="12.75" customHeight="1" x14ac:dyDescent="0.2">
      <c r="B9853" s="236"/>
      <c r="C9853" s="236"/>
      <c r="D9853" s="236"/>
    </row>
    <row r="9854" spans="2:4" ht="12.75" customHeight="1" x14ac:dyDescent="0.2">
      <c r="B9854" s="236"/>
      <c r="C9854" s="236"/>
      <c r="D9854" s="236"/>
    </row>
    <row r="9855" spans="2:4" ht="12.75" customHeight="1" x14ac:dyDescent="0.2">
      <c r="B9855" s="236"/>
      <c r="C9855" s="236"/>
      <c r="D9855" s="236"/>
    </row>
    <row r="9856" spans="2:4" ht="12.75" customHeight="1" x14ac:dyDescent="0.2">
      <c r="B9856" s="236"/>
      <c r="C9856" s="236"/>
      <c r="D9856" s="236"/>
    </row>
    <row r="9857" spans="2:4" ht="12.75" customHeight="1" x14ac:dyDescent="0.2">
      <c r="B9857" s="236"/>
      <c r="C9857" s="236"/>
      <c r="D9857" s="236"/>
    </row>
    <row r="9858" spans="2:4" ht="12.75" customHeight="1" x14ac:dyDescent="0.2">
      <c r="B9858" s="236"/>
      <c r="C9858" s="236"/>
      <c r="D9858" s="236"/>
    </row>
    <row r="9859" spans="2:4" x14ac:dyDescent="0.2">
      <c r="B9859" s="236"/>
      <c r="C9859" s="236"/>
      <c r="D9859" s="236"/>
    </row>
    <row r="9860" spans="2:4" ht="12.75" customHeight="1" x14ac:dyDescent="0.2">
      <c r="B9860" s="236"/>
      <c r="C9860" s="236"/>
      <c r="D9860" s="236"/>
    </row>
    <row r="9861" spans="2:4" x14ac:dyDescent="0.2">
      <c r="B9861" s="236"/>
      <c r="C9861" s="236"/>
      <c r="D9861" s="236"/>
    </row>
    <row r="9862" spans="2:4" ht="12.75" customHeight="1" x14ac:dyDescent="0.2">
      <c r="B9862" s="236"/>
      <c r="C9862" s="236"/>
      <c r="D9862" s="236"/>
    </row>
    <row r="9863" spans="2:4" x14ac:dyDescent="0.2">
      <c r="B9863" s="236"/>
      <c r="C9863" s="236"/>
      <c r="D9863" s="236"/>
    </row>
    <row r="9864" spans="2:4" ht="12.75" customHeight="1" x14ac:dyDescent="0.2">
      <c r="B9864" s="236"/>
      <c r="C9864" s="236"/>
      <c r="D9864" s="236"/>
    </row>
    <row r="9865" spans="2:4" x14ac:dyDescent="0.2">
      <c r="B9865" s="236"/>
      <c r="C9865" s="236"/>
      <c r="D9865" s="236"/>
    </row>
    <row r="9866" spans="2:4" ht="12.75" customHeight="1" x14ac:dyDescent="0.2">
      <c r="B9866" s="236"/>
      <c r="C9866" s="236"/>
      <c r="D9866" s="236"/>
    </row>
    <row r="9867" spans="2:4" ht="12.75" customHeight="1" x14ac:dyDescent="0.2">
      <c r="B9867" s="236"/>
      <c r="C9867" s="236"/>
      <c r="D9867" s="236"/>
    </row>
    <row r="9868" spans="2:4" ht="12.75" customHeight="1" x14ac:dyDescent="0.2">
      <c r="B9868" s="236"/>
      <c r="C9868" s="236"/>
      <c r="D9868" s="236"/>
    </row>
    <row r="9869" spans="2:4" ht="12.75" customHeight="1" x14ac:dyDescent="0.2">
      <c r="B9869" s="236"/>
      <c r="C9869" s="236"/>
      <c r="D9869" s="236"/>
    </row>
    <row r="9870" spans="2:4" ht="12.75" customHeight="1" x14ac:dyDescent="0.2">
      <c r="B9870" s="236"/>
      <c r="C9870" s="236"/>
      <c r="D9870" s="236"/>
    </row>
    <row r="9871" spans="2:4" x14ac:dyDescent="0.2">
      <c r="B9871" s="236"/>
      <c r="C9871" s="236"/>
      <c r="D9871" s="236"/>
    </row>
    <row r="9872" spans="2:4" ht="12.75" customHeight="1" x14ac:dyDescent="0.2">
      <c r="B9872" s="236"/>
      <c r="C9872" s="236"/>
      <c r="D9872" s="236"/>
    </row>
    <row r="9873" spans="2:4" ht="12.75" customHeight="1" x14ac:dyDescent="0.2">
      <c r="B9873" s="236"/>
      <c r="C9873" s="236"/>
      <c r="D9873" s="236"/>
    </row>
    <row r="9874" spans="2:4" ht="12.75" customHeight="1" x14ac:dyDescent="0.2">
      <c r="B9874" s="236"/>
      <c r="C9874" s="236"/>
      <c r="D9874" s="236"/>
    </row>
    <row r="9875" spans="2:4" ht="12.75" customHeight="1" x14ac:dyDescent="0.2">
      <c r="B9875" s="236"/>
      <c r="C9875" s="236"/>
      <c r="D9875" s="236"/>
    </row>
    <row r="9876" spans="2:4" ht="12.75" customHeight="1" x14ac:dyDescent="0.2">
      <c r="B9876" s="236"/>
      <c r="C9876" s="236"/>
      <c r="D9876" s="236"/>
    </row>
    <row r="9877" spans="2:4" ht="12.75" customHeight="1" x14ac:dyDescent="0.2">
      <c r="B9877" s="236"/>
      <c r="C9877" s="236"/>
      <c r="D9877" s="236"/>
    </row>
    <row r="9878" spans="2:4" ht="12.75" customHeight="1" x14ac:dyDescent="0.2">
      <c r="B9878" s="236"/>
      <c r="C9878" s="236"/>
      <c r="D9878" s="236"/>
    </row>
    <row r="9879" spans="2:4" x14ac:dyDescent="0.2">
      <c r="B9879" s="236"/>
      <c r="C9879" s="236"/>
      <c r="D9879" s="236"/>
    </row>
    <row r="9880" spans="2:4" ht="12.75" customHeight="1" x14ac:dyDescent="0.2">
      <c r="B9880" s="236"/>
      <c r="C9880" s="236"/>
      <c r="D9880" s="236"/>
    </row>
    <row r="9881" spans="2:4" x14ac:dyDescent="0.2">
      <c r="B9881" s="236"/>
      <c r="C9881" s="236"/>
      <c r="D9881" s="236"/>
    </row>
    <row r="9882" spans="2:4" ht="12.75" customHeight="1" x14ac:dyDescent="0.2">
      <c r="B9882" s="236"/>
      <c r="C9882" s="236"/>
      <c r="D9882" s="236"/>
    </row>
    <row r="9883" spans="2:4" ht="12.75" customHeight="1" x14ac:dyDescent="0.2">
      <c r="B9883" s="236"/>
      <c r="C9883" s="236"/>
      <c r="D9883" s="236"/>
    </row>
    <row r="9884" spans="2:4" ht="12.75" customHeight="1" x14ac:dyDescent="0.2">
      <c r="B9884" s="236"/>
      <c r="C9884" s="236"/>
      <c r="D9884" s="236"/>
    </row>
    <row r="9885" spans="2:4" ht="12.75" customHeight="1" x14ac:dyDescent="0.2">
      <c r="B9885" s="236"/>
      <c r="C9885" s="236"/>
      <c r="D9885" s="236"/>
    </row>
    <row r="9886" spans="2:4" ht="12.75" customHeight="1" x14ac:dyDescent="0.2">
      <c r="B9886" s="236"/>
      <c r="C9886" s="236"/>
      <c r="D9886" s="236"/>
    </row>
    <row r="9887" spans="2:4" x14ac:dyDescent="0.2">
      <c r="B9887" s="236"/>
      <c r="C9887" s="236"/>
      <c r="D9887" s="236"/>
    </row>
    <row r="9888" spans="2:4" ht="12.75" customHeight="1" x14ac:dyDescent="0.2">
      <c r="B9888" s="236"/>
      <c r="C9888" s="236"/>
      <c r="D9888" s="236"/>
    </row>
    <row r="9889" spans="2:4" x14ac:dyDescent="0.2">
      <c r="B9889" s="236"/>
      <c r="C9889" s="236"/>
      <c r="D9889" s="236"/>
    </row>
    <row r="9890" spans="2:4" ht="12.75" customHeight="1" x14ac:dyDescent="0.2">
      <c r="B9890" s="236"/>
      <c r="C9890" s="236"/>
      <c r="D9890" s="236"/>
    </row>
    <row r="9891" spans="2:4" x14ac:dyDescent="0.2">
      <c r="B9891" s="236"/>
      <c r="C9891" s="236"/>
      <c r="D9891" s="236"/>
    </row>
    <row r="9892" spans="2:4" ht="12.75" customHeight="1" x14ac:dyDescent="0.2">
      <c r="B9892" s="236"/>
      <c r="C9892" s="236"/>
      <c r="D9892" s="236"/>
    </row>
    <row r="9893" spans="2:4" x14ac:dyDescent="0.2">
      <c r="B9893" s="236"/>
      <c r="C9893" s="236"/>
      <c r="D9893" s="236"/>
    </row>
    <row r="9894" spans="2:4" ht="12.75" customHeight="1" x14ac:dyDescent="0.2">
      <c r="B9894" s="236"/>
      <c r="C9894" s="236"/>
      <c r="D9894" s="236"/>
    </row>
    <row r="9895" spans="2:4" ht="12.75" customHeight="1" x14ac:dyDescent="0.2">
      <c r="B9895" s="236"/>
      <c r="C9895" s="236"/>
      <c r="D9895" s="236"/>
    </row>
    <row r="9896" spans="2:4" ht="12.75" customHeight="1" x14ac:dyDescent="0.2">
      <c r="B9896" s="236"/>
      <c r="C9896" s="236"/>
      <c r="D9896" s="236"/>
    </row>
    <row r="9897" spans="2:4" ht="12.75" customHeight="1" x14ac:dyDescent="0.2">
      <c r="B9897" s="236"/>
      <c r="C9897" s="236"/>
      <c r="D9897" s="236"/>
    </row>
    <row r="9898" spans="2:4" ht="12.75" customHeight="1" x14ac:dyDescent="0.2">
      <c r="B9898" s="236"/>
      <c r="C9898" s="236"/>
      <c r="D9898" s="236"/>
    </row>
    <row r="9899" spans="2:4" ht="12.75" customHeight="1" x14ac:dyDescent="0.2">
      <c r="B9899" s="236"/>
      <c r="C9899" s="236"/>
      <c r="D9899" s="236"/>
    </row>
    <row r="9900" spans="2:4" x14ac:dyDescent="0.2">
      <c r="B9900" s="236"/>
      <c r="C9900" s="236"/>
      <c r="D9900" s="236"/>
    </row>
    <row r="9901" spans="2:4" ht="12.75" customHeight="1" x14ac:dyDescent="0.2">
      <c r="B9901" s="236"/>
      <c r="C9901" s="236"/>
      <c r="D9901" s="236"/>
    </row>
    <row r="9902" spans="2:4" x14ac:dyDescent="0.2">
      <c r="B9902" s="236"/>
      <c r="C9902" s="236"/>
      <c r="D9902" s="236"/>
    </row>
    <row r="9903" spans="2:4" ht="12.75" customHeight="1" x14ac:dyDescent="0.2">
      <c r="B9903" s="236"/>
      <c r="C9903" s="236"/>
      <c r="D9903" s="236"/>
    </row>
    <row r="9904" spans="2:4" ht="12.75" customHeight="1" x14ac:dyDescent="0.2">
      <c r="B9904" s="236"/>
      <c r="C9904" s="236"/>
      <c r="D9904" s="236"/>
    </row>
    <row r="9905" spans="2:4" ht="12.75" customHeight="1" x14ac:dyDescent="0.2">
      <c r="B9905" s="236"/>
      <c r="C9905" s="236"/>
      <c r="D9905" s="236"/>
    </row>
    <row r="9906" spans="2:4" ht="12.75" customHeight="1" x14ac:dyDescent="0.2">
      <c r="B9906" s="236"/>
      <c r="C9906" s="236"/>
      <c r="D9906" s="236"/>
    </row>
    <row r="9907" spans="2:4" ht="12.75" customHeight="1" x14ac:dyDescent="0.2">
      <c r="B9907" s="236"/>
      <c r="C9907" s="236"/>
      <c r="D9907" s="236"/>
    </row>
    <row r="9908" spans="2:4" ht="12.75" customHeight="1" x14ac:dyDescent="0.2">
      <c r="B9908" s="236"/>
      <c r="C9908" s="236"/>
      <c r="D9908" s="236"/>
    </row>
    <row r="9909" spans="2:4" ht="12.75" customHeight="1" x14ac:dyDescent="0.2">
      <c r="B9909" s="236"/>
      <c r="C9909" s="236"/>
      <c r="D9909" s="236"/>
    </row>
    <row r="9910" spans="2:4" x14ac:dyDescent="0.2">
      <c r="B9910" s="236"/>
      <c r="C9910" s="236"/>
      <c r="D9910" s="236"/>
    </row>
    <row r="9911" spans="2:4" ht="12.75" customHeight="1" x14ac:dyDescent="0.2">
      <c r="B9911" s="236"/>
      <c r="C9911" s="236"/>
      <c r="D9911" s="236"/>
    </row>
    <row r="9912" spans="2:4" x14ac:dyDescent="0.2">
      <c r="B9912" s="236"/>
      <c r="C9912" s="236"/>
      <c r="D9912" s="236"/>
    </row>
    <row r="9913" spans="2:4" ht="12.75" customHeight="1" x14ac:dyDescent="0.2">
      <c r="B9913" s="236"/>
      <c r="C9913" s="236"/>
      <c r="D9913" s="236"/>
    </row>
    <row r="9914" spans="2:4" ht="12.75" customHeight="1" x14ac:dyDescent="0.2">
      <c r="B9914" s="236"/>
      <c r="C9914" s="236"/>
      <c r="D9914" s="236"/>
    </row>
    <row r="9915" spans="2:4" ht="12.75" customHeight="1" x14ac:dyDescent="0.2">
      <c r="B9915" s="236"/>
      <c r="C9915" s="236"/>
      <c r="D9915" s="236"/>
    </row>
    <row r="9916" spans="2:4" ht="12.75" customHeight="1" x14ac:dyDescent="0.2">
      <c r="B9916" s="236"/>
      <c r="C9916" s="236"/>
      <c r="D9916" s="236"/>
    </row>
    <row r="9917" spans="2:4" ht="12.75" customHeight="1" x14ac:dyDescent="0.2">
      <c r="B9917" s="236"/>
      <c r="C9917" s="236"/>
      <c r="D9917" s="236"/>
    </row>
    <row r="9918" spans="2:4" ht="12.75" customHeight="1" x14ac:dyDescent="0.2">
      <c r="B9918" s="236"/>
      <c r="C9918" s="236"/>
      <c r="D9918" s="236"/>
    </row>
    <row r="9919" spans="2:4" ht="12.75" customHeight="1" x14ac:dyDescent="0.2">
      <c r="B9919" s="236"/>
      <c r="C9919" s="236"/>
      <c r="D9919" s="236"/>
    </row>
    <row r="9920" spans="2:4" x14ac:dyDescent="0.2">
      <c r="B9920" s="236"/>
      <c r="C9920" s="236"/>
      <c r="D9920" s="236"/>
    </row>
    <row r="9921" spans="2:4" ht="12.75" customHeight="1" x14ac:dyDescent="0.2">
      <c r="B9921" s="236"/>
      <c r="C9921" s="236"/>
      <c r="D9921" s="236"/>
    </row>
    <row r="9922" spans="2:4" ht="12.75" customHeight="1" x14ac:dyDescent="0.2">
      <c r="B9922" s="236"/>
      <c r="C9922" s="236"/>
      <c r="D9922" s="236"/>
    </row>
    <row r="9923" spans="2:4" x14ac:dyDescent="0.2">
      <c r="B9923" s="236"/>
      <c r="C9923" s="236"/>
      <c r="D9923" s="236"/>
    </row>
    <row r="9924" spans="2:4" ht="12.75" customHeight="1" x14ac:dyDescent="0.2">
      <c r="B9924" s="236"/>
      <c r="C9924" s="236"/>
      <c r="D9924" s="236"/>
    </row>
    <row r="9925" spans="2:4" ht="12.75" customHeight="1" x14ac:dyDescent="0.2">
      <c r="B9925" s="236"/>
      <c r="C9925" s="236"/>
      <c r="D9925" s="236"/>
    </row>
    <row r="9926" spans="2:4" x14ac:dyDescent="0.2">
      <c r="B9926" s="236"/>
      <c r="C9926" s="236"/>
      <c r="D9926" s="236"/>
    </row>
    <row r="9927" spans="2:4" ht="12.75" customHeight="1" x14ac:dyDescent="0.2">
      <c r="B9927" s="236"/>
      <c r="C9927" s="236"/>
      <c r="D9927" s="236"/>
    </row>
    <row r="9928" spans="2:4" x14ac:dyDescent="0.2">
      <c r="B9928" s="236"/>
      <c r="C9928" s="236"/>
      <c r="D9928" s="236"/>
    </row>
    <row r="9929" spans="2:4" ht="12.75" customHeight="1" x14ac:dyDescent="0.2">
      <c r="B9929" s="236"/>
      <c r="C9929" s="236"/>
      <c r="D9929" s="236"/>
    </row>
    <row r="9930" spans="2:4" ht="12.75" customHeight="1" x14ac:dyDescent="0.2">
      <c r="B9930" s="236"/>
      <c r="C9930" s="236"/>
      <c r="D9930" s="236"/>
    </row>
    <row r="9931" spans="2:4" ht="12.75" customHeight="1" x14ac:dyDescent="0.2">
      <c r="B9931" s="236"/>
      <c r="C9931" s="236"/>
      <c r="D9931" s="236"/>
    </row>
    <row r="9932" spans="2:4" ht="12.75" customHeight="1" x14ac:dyDescent="0.2">
      <c r="B9932" s="236"/>
      <c r="C9932" s="236"/>
      <c r="D9932" s="236"/>
    </row>
    <row r="9933" spans="2:4" ht="12.75" customHeight="1" x14ac:dyDescent="0.2">
      <c r="B9933" s="236"/>
      <c r="C9933" s="236"/>
      <c r="D9933" s="236"/>
    </row>
    <row r="9934" spans="2:4" x14ac:dyDescent="0.2">
      <c r="B9934" s="236"/>
      <c r="C9934" s="236"/>
      <c r="D9934" s="236"/>
    </row>
    <row r="9935" spans="2:4" ht="12.75" customHeight="1" x14ac:dyDescent="0.2">
      <c r="B9935" s="236"/>
      <c r="C9935" s="236"/>
      <c r="D9935" s="236"/>
    </row>
    <row r="9936" spans="2:4" ht="12.75" customHeight="1" x14ac:dyDescent="0.2">
      <c r="B9936" s="236"/>
      <c r="C9936" s="236"/>
      <c r="D9936" s="236"/>
    </row>
    <row r="9937" spans="2:4" ht="12.75" customHeight="1" x14ac:dyDescent="0.2">
      <c r="B9937" s="236"/>
      <c r="C9937" s="236"/>
      <c r="D9937" s="236"/>
    </row>
    <row r="9938" spans="2:4" x14ac:dyDescent="0.2">
      <c r="B9938" s="236"/>
      <c r="C9938" s="236"/>
      <c r="D9938" s="236"/>
    </row>
    <row r="9939" spans="2:4" ht="12.75" customHeight="1" x14ac:dyDescent="0.2">
      <c r="B9939" s="236"/>
      <c r="C9939" s="236"/>
      <c r="D9939" s="236"/>
    </row>
    <row r="9940" spans="2:4" x14ac:dyDescent="0.2">
      <c r="B9940" s="236"/>
      <c r="C9940" s="236"/>
      <c r="D9940" s="236"/>
    </row>
    <row r="9941" spans="2:4" ht="12.75" customHeight="1" x14ac:dyDescent="0.2">
      <c r="B9941" s="236"/>
      <c r="C9941" s="236"/>
      <c r="D9941" s="236"/>
    </row>
    <row r="9942" spans="2:4" ht="12.75" customHeight="1" x14ac:dyDescent="0.2">
      <c r="B9942" s="236"/>
      <c r="C9942" s="236"/>
      <c r="D9942" s="236"/>
    </row>
    <row r="9943" spans="2:4" ht="12.75" customHeight="1" x14ac:dyDescent="0.2">
      <c r="B9943" s="236"/>
      <c r="C9943" s="236"/>
      <c r="D9943" s="236"/>
    </row>
    <row r="9944" spans="2:4" ht="12.75" customHeight="1" x14ac:dyDescent="0.2">
      <c r="B9944" s="236"/>
      <c r="C9944" s="236"/>
      <c r="D9944" s="236"/>
    </row>
    <row r="9945" spans="2:4" ht="12.75" customHeight="1" x14ac:dyDescent="0.2">
      <c r="B9945" s="236"/>
      <c r="C9945" s="236"/>
      <c r="D9945" s="236"/>
    </row>
    <row r="9946" spans="2:4" ht="12.75" customHeight="1" x14ac:dyDescent="0.2">
      <c r="B9946" s="236"/>
      <c r="C9946" s="236"/>
      <c r="D9946" s="236"/>
    </row>
    <row r="9947" spans="2:4" ht="12.75" customHeight="1" x14ac:dyDescent="0.2">
      <c r="B9947" s="236"/>
      <c r="C9947" s="236"/>
      <c r="D9947" s="236"/>
    </row>
    <row r="9948" spans="2:4" ht="12.75" customHeight="1" x14ac:dyDescent="0.2">
      <c r="B9948" s="236"/>
      <c r="C9948" s="236"/>
      <c r="D9948" s="236"/>
    </row>
    <row r="9949" spans="2:4" ht="12.75" customHeight="1" x14ac:dyDescent="0.2">
      <c r="B9949" s="236"/>
      <c r="C9949" s="236"/>
      <c r="D9949" s="236"/>
    </row>
    <row r="9950" spans="2:4" ht="12.75" customHeight="1" x14ac:dyDescent="0.2">
      <c r="B9950" s="236"/>
      <c r="C9950" s="236"/>
      <c r="D9950" s="236"/>
    </row>
    <row r="9951" spans="2:4" ht="12.75" customHeight="1" x14ac:dyDescent="0.2">
      <c r="B9951" s="236"/>
      <c r="C9951" s="236"/>
      <c r="D9951" s="236"/>
    </row>
    <row r="9952" spans="2:4" x14ac:dyDescent="0.2">
      <c r="B9952" s="236"/>
      <c r="C9952" s="236"/>
      <c r="D9952" s="236"/>
    </row>
    <row r="9953" spans="2:4" ht="12.75" customHeight="1" x14ac:dyDescent="0.2">
      <c r="B9953" s="236"/>
      <c r="C9953" s="236"/>
      <c r="D9953" s="236"/>
    </row>
    <row r="9954" spans="2:4" ht="12.75" customHeight="1" x14ac:dyDescent="0.2">
      <c r="B9954" s="236"/>
      <c r="C9954" s="236"/>
      <c r="D9954" s="236"/>
    </row>
    <row r="9955" spans="2:4" x14ac:dyDescent="0.2">
      <c r="B9955" s="236"/>
      <c r="C9955" s="236"/>
      <c r="D9955" s="236"/>
    </row>
    <row r="9956" spans="2:4" ht="12.75" customHeight="1" x14ac:dyDescent="0.2">
      <c r="B9956" s="236"/>
      <c r="C9956" s="236"/>
      <c r="D9956" s="236"/>
    </row>
    <row r="9957" spans="2:4" ht="12.75" customHeight="1" x14ac:dyDescent="0.2">
      <c r="B9957" s="236"/>
      <c r="C9957" s="236"/>
      <c r="D9957" s="236"/>
    </row>
    <row r="9958" spans="2:4" ht="12.75" customHeight="1" x14ac:dyDescent="0.2">
      <c r="B9958" s="236"/>
      <c r="C9958" s="236"/>
      <c r="D9958" s="236"/>
    </row>
    <row r="9959" spans="2:4" ht="12.75" customHeight="1" x14ac:dyDescent="0.2">
      <c r="B9959" s="236"/>
      <c r="C9959" s="236"/>
      <c r="D9959" s="236"/>
    </row>
    <row r="9960" spans="2:4" x14ac:dyDescent="0.2">
      <c r="B9960" s="236"/>
      <c r="C9960" s="236"/>
      <c r="D9960" s="236"/>
    </row>
    <row r="9961" spans="2:4" ht="12.75" customHeight="1" x14ac:dyDescent="0.2">
      <c r="B9961" s="236"/>
      <c r="C9961" s="236"/>
      <c r="D9961" s="236"/>
    </row>
    <row r="9962" spans="2:4" ht="12.75" customHeight="1" x14ac:dyDescent="0.2">
      <c r="B9962" s="236"/>
      <c r="C9962" s="236"/>
      <c r="D9962" s="236"/>
    </row>
    <row r="9963" spans="2:4" x14ac:dyDescent="0.2">
      <c r="B9963" s="236"/>
      <c r="C9963" s="236"/>
      <c r="D9963" s="236"/>
    </row>
    <row r="9964" spans="2:4" ht="12.75" customHeight="1" x14ac:dyDescent="0.2">
      <c r="B9964" s="236"/>
      <c r="C9964" s="236"/>
      <c r="D9964" s="236"/>
    </row>
    <row r="9965" spans="2:4" ht="12.75" customHeight="1" x14ac:dyDescent="0.2">
      <c r="B9965" s="236"/>
      <c r="C9965" s="236"/>
      <c r="D9965" s="236"/>
    </row>
    <row r="9966" spans="2:4" x14ac:dyDescent="0.2">
      <c r="B9966" s="236"/>
      <c r="C9966" s="236"/>
      <c r="D9966" s="236"/>
    </row>
    <row r="9967" spans="2:4" ht="12.75" customHeight="1" x14ac:dyDescent="0.2">
      <c r="B9967" s="236"/>
      <c r="C9967" s="236"/>
      <c r="D9967" s="236"/>
    </row>
    <row r="9968" spans="2:4" ht="12.75" customHeight="1" x14ac:dyDescent="0.2">
      <c r="B9968" s="236"/>
      <c r="C9968" s="236"/>
      <c r="D9968" s="236"/>
    </row>
    <row r="9969" spans="2:4" ht="12.75" customHeight="1" x14ac:dyDescent="0.2">
      <c r="B9969" s="236"/>
      <c r="C9969" s="236"/>
      <c r="D9969" s="236"/>
    </row>
    <row r="9970" spans="2:4" x14ac:dyDescent="0.2">
      <c r="B9970" s="236"/>
      <c r="C9970" s="236"/>
      <c r="D9970" s="236"/>
    </row>
    <row r="9971" spans="2:4" ht="12.75" customHeight="1" x14ac:dyDescent="0.2">
      <c r="B9971" s="236"/>
      <c r="C9971" s="236"/>
      <c r="D9971" s="236"/>
    </row>
    <row r="9972" spans="2:4" ht="12.75" customHeight="1" x14ac:dyDescent="0.2">
      <c r="B9972" s="236"/>
      <c r="C9972" s="236"/>
      <c r="D9972" s="236"/>
    </row>
    <row r="9973" spans="2:4" x14ac:dyDescent="0.2">
      <c r="B9973" s="236"/>
      <c r="C9973" s="236"/>
      <c r="D9973" s="236"/>
    </row>
    <row r="9974" spans="2:4" ht="12.75" customHeight="1" x14ac:dyDescent="0.2">
      <c r="B9974" s="236"/>
      <c r="C9974" s="236"/>
      <c r="D9974" s="236"/>
    </row>
    <row r="9975" spans="2:4" ht="12.75" customHeight="1" x14ac:dyDescent="0.2">
      <c r="B9975" s="236"/>
      <c r="C9975" s="236"/>
      <c r="D9975" s="236"/>
    </row>
    <row r="9976" spans="2:4" ht="12.75" customHeight="1" x14ac:dyDescent="0.2">
      <c r="B9976" s="236"/>
      <c r="C9976" s="236"/>
      <c r="D9976" s="236"/>
    </row>
    <row r="9977" spans="2:4" x14ac:dyDescent="0.2">
      <c r="B9977" s="236"/>
      <c r="C9977" s="236"/>
      <c r="D9977" s="236"/>
    </row>
    <row r="9978" spans="2:4" ht="12.75" customHeight="1" x14ac:dyDescent="0.2">
      <c r="B9978" s="236"/>
      <c r="C9978" s="236"/>
      <c r="D9978" s="236"/>
    </row>
    <row r="9979" spans="2:4" ht="12.75" customHeight="1" x14ac:dyDescent="0.2">
      <c r="B9979" s="236"/>
      <c r="C9979" s="236"/>
      <c r="D9979" s="236"/>
    </row>
    <row r="9980" spans="2:4" ht="12.75" customHeight="1" x14ac:dyDescent="0.2">
      <c r="B9980" s="236"/>
      <c r="C9980" s="236"/>
      <c r="D9980" s="236"/>
    </row>
    <row r="9981" spans="2:4" ht="12.75" customHeight="1" x14ac:dyDescent="0.2">
      <c r="B9981" s="236"/>
      <c r="C9981" s="236"/>
      <c r="D9981" s="236"/>
    </row>
    <row r="9982" spans="2:4" x14ac:dyDescent="0.2">
      <c r="B9982" s="236"/>
      <c r="C9982" s="236"/>
      <c r="D9982" s="236"/>
    </row>
    <row r="9983" spans="2:4" ht="12.75" customHeight="1" x14ac:dyDescent="0.2">
      <c r="B9983" s="236"/>
      <c r="C9983" s="236"/>
      <c r="D9983" s="236"/>
    </row>
    <row r="9984" spans="2:4" ht="12.75" customHeight="1" x14ac:dyDescent="0.2">
      <c r="B9984" s="236"/>
      <c r="C9984" s="236"/>
      <c r="D9984" s="236"/>
    </row>
    <row r="9985" spans="2:4" x14ac:dyDescent="0.2">
      <c r="B9985" s="236"/>
      <c r="C9985" s="236"/>
      <c r="D9985" s="236"/>
    </row>
    <row r="9986" spans="2:4" ht="12.75" customHeight="1" x14ac:dyDescent="0.2">
      <c r="B9986" s="236"/>
      <c r="C9986" s="236"/>
      <c r="D9986" s="236"/>
    </row>
    <row r="9987" spans="2:4" ht="12.75" customHeight="1" x14ac:dyDescent="0.2">
      <c r="B9987" s="236"/>
      <c r="C9987" s="236"/>
      <c r="D9987" s="236"/>
    </row>
    <row r="9988" spans="2:4" ht="12.75" customHeight="1" x14ac:dyDescent="0.2">
      <c r="B9988" s="236"/>
      <c r="C9988" s="236"/>
      <c r="D9988" s="236"/>
    </row>
    <row r="9989" spans="2:4" ht="12.75" customHeight="1" x14ac:dyDescent="0.2">
      <c r="B9989" s="236"/>
      <c r="C9989" s="236"/>
      <c r="D9989" s="236"/>
    </row>
    <row r="9990" spans="2:4" ht="12.75" customHeight="1" x14ac:dyDescent="0.2">
      <c r="B9990" s="236"/>
      <c r="C9990" s="236"/>
      <c r="D9990" s="236"/>
    </row>
    <row r="9991" spans="2:4" x14ac:dyDescent="0.2">
      <c r="B9991" s="236"/>
      <c r="C9991" s="236"/>
      <c r="D9991" s="236"/>
    </row>
    <row r="9992" spans="2:4" ht="12.75" customHeight="1" x14ac:dyDescent="0.2">
      <c r="B9992" s="236"/>
      <c r="C9992" s="236"/>
      <c r="D9992" s="236"/>
    </row>
    <row r="9993" spans="2:4" x14ac:dyDescent="0.2">
      <c r="B9993" s="236"/>
      <c r="C9993" s="236"/>
      <c r="D9993" s="236"/>
    </row>
    <row r="9994" spans="2:4" ht="12.75" customHeight="1" x14ac:dyDescent="0.2">
      <c r="B9994" s="236"/>
      <c r="C9994" s="236"/>
      <c r="D9994" s="236"/>
    </row>
    <row r="9995" spans="2:4" x14ac:dyDescent="0.2">
      <c r="B9995" s="236"/>
      <c r="C9995" s="236"/>
      <c r="D9995" s="236"/>
    </row>
    <row r="9996" spans="2:4" ht="12.75" customHeight="1" x14ac:dyDescent="0.2">
      <c r="B9996" s="236"/>
      <c r="C9996" s="236"/>
      <c r="D9996" s="236"/>
    </row>
    <row r="9997" spans="2:4" x14ac:dyDescent="0.2">
      <c r="B9997" s="236"/>
      <c r="C9997" s="236"/>
      <c r="D9997" s="236"/>
    </row>
    <row r="9998" spans="2:4" ht="12.75" customHeight="1" x14ac:dyDescent="0.2">
      <c r="B9998" s="236"/>
      <c r="C9998" s="236"/>
      <c r="D9998" s="236"/>
    </row>
    <row r="9999" spans="2:4" x14ac:dyDescent="0.2">
      <c r="B9999" s="236"/>
      <c r="C9999" s="236"/>
      <c r="D9999" s="236"/>
    </row>
    <row r="10000" spans="2:4" ht="12.75" customHeight="1" x14ac:dyDescent="0.2">
      <c r="B10000" s="236"/>
      <c r="C10000" s="236"/>
      <c r="D10000" s="236"/>
    </row>
    <row r="10001" spans="2:4" x14ac:dyDescent="0.2">
      <c r="B10001" s="236"/>
      <c r="C10001" s="236"/>
      <c r="D10001" s="236"/>
    </row>
    <row r="10002" spans="2:4" ht="12.75" customHeight="1" x14ac:dyDescent="0.2">
      <c r="B10002" s="236"/>
      <c r="C10002" s="236"/>
      <c r="D10002" s="236"/>
    </row>
    <row r="10003" spans="2:4" x14ac:dyDescent="0.2">
      <c r="B10003" s="236"/>
      <c r="C10003" s="236"/>
      <c r="D10003" s="236"/>
    </row>
    <row r="10004" spans="2:4" ht="12.75" customHeight="1" x14ac:dyDescent="0.2">
      <c r="B10004" s="236"/>
      <c r="C10004" s="236"/>
      <c r="D10004" s="236"/>
    </row>
    <row r="10005" spans="2:4" ht="12.75" customHeight="1" x14ac:dyDescent="0.2">
      <c r="B10005" s="236"/>
      <c r="C10005" s="236"/>
      <c r="D10005" s="236"/>
    </row>
    <row r="10006" spans="2:4" ht="12.75" customHeight="1" x14ac:dyDescent="0.2">
      <c r="B10006" s="236"/>
      <c r="C10006" s="236"/>
      <c r="D10006" s="236"/>
    </row>
    <row r="10007" spans="2:4" ht="12.75" customHeight="1" x14ac:dyDescent="0.2">
      <c r="B10007" s="236"/>
      <c r="C10007" s="236"/>
      <c r="D10007" s="236"/>
    </row>
    <row r="10008" spans="2:4" x14ac:dyDescent="0.2">
      <c r="B10008" s="236"/>
      <c r="C10008" s="236"/>
      <c r="D10008" s="236"/>
    </row>
    <row r="10009" spans="2:4" ht="12.75" customHeight="1" x14ac:dyDescent="0.2">
      <c r="B10009" s="236"/>
      <c r="C10009" s="236"/>
      <c r="D10009" s="236"/>
    </row>
    <row r="10010" spans="2:4" x14ac:dyDescent="0.2">
      <c r="B10010" s="236"/>
      <c r="C10010" s="236"/>
      <c r="D10010" s="236"/>
    </row>
    <row r="10011" spans="2:4" ht="12.75" customHeight="1" x14ac:dyDescent="0.2">
      <c r="B10011" s="236"/>
      <c r="C10011" s="236"/>
      <c r="D10011" s="236"/>
    </row>
    <row r="10012" spans="2:4" x14ac:dyDescent="0.2">
      <c r="B10012" s="236"/>
      <c r="C10012" s="236"/>
      <c r="D10012" s="236"/>
    </row>
    <row r="10013" spans="2:4" ht="12.75" customHeight="1" x14ac:dyDescent="0.2">
      <c r="B10013" s="236"/>
      <c r="C10013" s="236"/>
      <c r="D10013" s="236"/>
    </row>
    <row r="10014" spans="2:4" ht="12.75" customHeight="1" x14ac:dyDescent="0.2">
      <c r="B10014" s="236"/>
      <c r="C10014" s="236"/>
      <c r="D10014" s="236"/>
    </row>
    <row r="10015" spans="2:4" ht="12.75" customHeight="1" x14ac:dyDescent="0.2">
      <c r="B10015" s="236"/>
      <c r="C10015" s="236"/>
      <c r="D10015" s="236"/>
    </row>
    <row r="10016" spans="2:4" ht="12.75" customHeight="1" x14ac:dyDescent="0.2">
      <c r="B10016" s="236"/>
      <c r="C10016" s="236"/>
      <c r="D10016" s="236"/>
    </row>
    <row r="10017" spans="2:4" ht="12.75" customHeight="1" x14ac:dyDescent="0.2">
      <c r="B10017" s="236"/>
      <c r="C10017" s="236"/>
      <c r="D10017" s="236"/>
    </row>
    <row r="10018" spans="2:4" ht="12.75" customHeight="1" x14ac:dyDescent="0.2">
      <c r="B10018" s="236"/>
      <c r="C10018" s="236"/>
      <c r="D10018" s="236"/>
    </row>
    <row r="10019" spans="2:4" ht="12.75" customHeight="1" x14ac:dyDescent="0.2">
      <c r="B10019" s="236"/>
      <c r="C10019" s="236"/>
      <c r="D10019" s="236"/>
    </row>
    <row r="10020" spans="2:4" ht="12.75" customHeight="1" x14ac:dyDescent="0.2">
      <c r="B10020" s="236"/>
      <c r="C10020" s="236"/>
      <c r="D10020" s="236"/>
    </row>
    <row r="10021" spans="2:4" ht="12.75" customHeight="1" x14ac:dyDescent="0.2">
      <c r="B10021" s="236"/>
      <c r="C10021" s="236"/>
      <c r="D10021" s="236"/>
    </row>
    <row r="10022" spans="2:4" x14ac:dyDescent="0.2">
      <c r="B10022" s="236"/>
      <c r="C10022" s="236"/>
      <c r="D10022" s="236"/>
    </row>
    <row r="10023" spans="2:4" ht="12.75" customHeight="1" x14ac:dyDescent="0.2">
      <c r="B10023" s="236"/>
      <c r="C10023" s="236"/>
      <c r="D10023" s="236"/>
    </row>
    <row r="10024" spans="2:4" x14ac:dyDescent="0.2">
      <c r="B10024" s="236"/>
      <c r="C10024" s="236"/>
      <c r="D10024" s="236"/>
    </row>
    <row r="10025" spans="2:4" ht="12.75" customHeight="1" x14ac:dyDescent="0.2">
      <c r="B10025" s="236"/>
      <c r="C10025" s="236"/>
      <c r="D10025" s="236"/>
    </row>
    <row r="10026" spans="2:4" ht="12.75" customHeight="1" x14ac:dyDescent="0.2">
      <c r="B10026" s="236"/>
      <c r="C10026" s="236"/>
      <c r="D10026" s="236"/>
    </row>
    <row r="10027" spans="2:4" ht="12.75" customHeight="1" x14ac:dyDescent="0.2">
      <c r="B10027" s="236"/>
      <c r="C10027" s="236"/>
      <c r="D10027" s="236"/>
    </row>
    <row r="10028" spans="2:4" ht="12.75" customHeight="1" x14ac:dyDescent="0.2">
      <c r="B10028" s="236"/>
      <c r="C10028" s="236"/>
      <c r="D10028" s="236"/>
    </row>
    <row r="10029" spans="2:4" ht="12.75" customHeight="1" x14ac:dyDescent="0.2">
      <c r="B10029" s="236"/>
      <c r="C10029" s="236"/>
      <c r="D10029" s="236"/>
    </row>
    <row r="10030" spans="2:4" ht="12.75" customHeight="1" x14ac:dyDescent="0.2">
      <c r="B10030" s="236"/>
      <c r="C10030" s="236"/>
      <c r="D10030" s="236"/>
    </row>
    <row r="10031" spans="2:4" ht="12.75" customHeight="1" x14ac:dyDescent="0.2">
      <c r="B10031" s="236"/>
      <c r="C10031" s="236"/>
      <c r="D10031" s="236"/>
    </row>
    <row r="10032" spans="2:4" ht="12.75" customHeight="1" x14ac:dyDescent="0.2">
      <c r="B10032" s="236"/>
      <c r="C10032" s="236"/>
      <c r="D10032" s="236"/>
    </row>
    <row r="10033" spans="2:4" x14ac:dyDescent="0.2">
      <c r="B10033" s="236"/>
      <c r="C10033" s="236"/>
      <c r="D10033" s="236"/>
    </row>
    <row r="10034" spans="2:4" ht="12.75" customHeight="1" x14ac:dyDescent="0.2">
      <c r="B10034" s="236"/>
      <c r="C10034" s="236"/>
      <c r="D10034" s="236"/>
    </row>
    <row r="10035" spans="2:4" x14ac:dyDescent="0.2">
      <c r="B10035" s="236"/>
      <c r="C10035" s="236"/>
      <c r="D10035" s="236"/>
    </row>
    <row r="10036" spans="2:4" ht="12.75" customHeight="1" x14ac:dyDescent="0.2">
      <c r="B10036" s="236"/>
      <c r="C10036" s="236"/>
      <c r="D10036" s="236"/>
    </row>
    <row r="10037" spans="2:4" ht="12.75" customHeight="1" x14ac:dyDescent="0.2">
      <c r="B10037" s="236"/>
      <c r="C10037" s="236"/>
      <c r="D10037" s="236"/>
    </row>
    <row r="10038" spans="2:4" x14ac:dyDescent="0.2">
      <c r="B10038" s="236"/>
      <c r="C10038" s="236"/>
      <c r="D10038" s="236"/>
    </row>
    <row r="10039" spans="2:4" ht="12.75" customHeight="1" x14ac:dyDescent="0.2">
      <c r="B10039" s="236"/>
      <c r="C10039" s="236"/>
      <c r="D10039" s="236"/>
    </row>
    <row r="10040" spans="2:4" ht="12.75" customHeight="1" x14ac:dyDescent="0.2">
      <c r="B10040" s="236"/>
      <c r="C10040" s="236"/>
      <c r="D10040" s="236"/>
    </row>
    <row r="10041" spans="2:4" ht="12.75" customHeight="1" x14ac:dyDescent="0.2">
      <c r="B10041" s="236"/>
      <c r="C10041" s="236"/>
      <c r="D10041" s="236"/>
    </row>
    <row r="10042" spans="2:4" ht="12.75" customHeight="1" x14ac:dyDescent="0.2">
      <c r="B10042" s="236"/>
      <c r="C10042" s="236"/>
      <c r="D10042" s="236"/>
    </row>
    <row r="10043" spans="2:4" ht="12.75" customHeight="1" x14ac:dyDescent="0.2">
      <c r="B10043" s="236"/>
      <c r="C10043" s="236"/>
      <c r="D10043" s="236"/>
    </row>
    <row r="10044" spans="2:4" ht="12.75" customHeight="1" x14ac:dyDescent="0.2">
      <c r="B10044" s="236"/>
      <c r="C10044" s="236"/>
      <c r="D10044" s="236"/>
    </row>
    <row r="10045" spans="2:4" ht="12.75" customHeight="1" x14ac:dyDescent="0.2">
      <c r="B10045" s="236"/>
      <c r="C10045" s="236"/>
      <c r="D10045" s="236"/>
    </row>
    <row r="10046" spans="2:4" ht="12.75" customHeight="1" x14ac:dyDescent="0.2">
      <c r="B10046" s="236"/>
      <c r="C10046" s="236"/>
      <c r="D10046" s="236"/>
    </row>
    <row r="10047" spans="2:4" ht="12.75" customHeight="1" x14ac:dyDescent="0.2">
      <c r="B10047" s="236"/>
      <c r="C10047" s="236"/>
      <c r="D10047" s="236"/>
    </row>
    <row r="10048" spans="2:4" ht="12.75" customHeight="1" x14ac:dyDescent="0.2">
      <c r="B10048" s="236"/>
      <c r="C10048" s="236"/>
      <c r="D10048" s="236"/>
    </row>
    <row r="10049" spans="2:4" x14ac:dyDescent="0.2">
      <c r="B10049" s="236"/>
      <c r="C10049" s="236"/>
      <c r="D10049" s="236"/>
    </row>
    <row r="10050" spans="2:4" ht="12.75" customHeight="1" x14ac:dyDescent="0.2">
      <c r="B10050" s="236"/>
      <c r="C10050" s="236"/>
      <c r="D10050" s="236"/>
    </row>
    <row r="10051" spans="2:4" ht="12.75" customHeight="1" x14ac:dyDescent="0.2">
      <c r="B10051" s="236"/>
      <c r="C10051" s="236"/>
      <c r="D10051" s="236"/>
    </row>
    <row r="10052" spans="2:4" ht="12.75" customHeight="1" x14ac:dyDescent="0.2">
      <c r="B10052" s="236"/>
      <c r="C10052" s="236"/>
      <c r="D10052" s="236"/>
    </row>
    <row r="10053" spans="2:4" x14ac:dyDescent="0.2">
      <c r="B10053" s="236"/>
      <c r="C10053" s="236"/>
      <c r="D10053" s="236"/>
    </row>
    <row r="10054" spans="2:4" ht="12.75" customHeight="1" x14ac:dyDescent="0.2">
      <c r="B10054" s="236"/>
      <c r="C10054" s="236"/>
      <c r="D10054" s="236"/>
    </row>
    <row r="10055" spans="2:4" ht="12.75" customHeight="1" x14ac:dyDescent="0.2">
      <c r="B10055" s="236"/>
      <c r="C10055" s="236"/>
      <c r="D10055" s="236"/>
    </row>
    <row r="10056" spans="2:4" x14ac:dyDescent="0.2">
      <c r="B10056" s="236"/>
      <c r="C10056" s="236"/>
      <c r="D10056" s="236"/>
    </row>
    <row r="10057" spans="2:4" ht="12.75" customHeight="1" x14ac:dyDescent="0.2">
      <c r="B10057" s="236"/>
      <c r="C10057" s="236"/>
      <c r="D10057" s="236"/>
    </row>
    <row r="10058" spans="2:4" ht="12.75" customHeight="1" x14ac:dyDescent="0.2">
      <c r="B10058" s="236"/>
      <c r="C10058" s="236"/>
      <c r="D10058" s="236"/>
    </row>
    <row r="10059" spans="2:4" x14ac:dyDescent="0.2">
      <c r="B10059" s="236"/>
      <c r="C10059" s="236"/>
      <c r="D10059" s="236"/>
    </row>
    <row r="10060" spans="2:4" ht="12.75" customHeight="1" x14ac:dyDescent="0.2">
      <c r="B10060" s="236"/>
      <c r="C10060" s="236"/>
      <c r="D10060" s="236"/>
    </row>
    <row r="10061" spans="2:4" ht="12.75" customHeight="1" x14ac:dyDescent="0.2">
      <c r="B10061" s="236"/>
      <c r="C10061" s="236"/>
      <c r="D10061" s="236"/>
    </row>
    <row r="10062" spans="2:4" ht="12.75" customHeight="1" x14ac:dyDescent="0.2">
      <c r="B10062" s="236"/>
      <c r="C10062" s="236"/>
      <c r="D10062" s="236"/>
    </row>
    <row r="10063" spans="2:4" ht="12.75" customHeight="1" x14ac:dyDescent="0.2">
      <c r="B10063" s="236"/>
      <c r="C10063" s="236"/>
      <c r="D10063" s="236"/>
    </row>
    <row r="10064" spans="2:4" x14ac:dyDescent="0.2">
      <c r="B10064" s="236"/>
      <c r="C10064" s="236"/>
      <c r="D10064" s="236"/>
    </row>
    <row r="10065" spans="2:4" ht="12.75" customHeight="1" x14ac:dyDescent="0.2">
      <c r="B10065" s="236"/>
      <c r="C10065" s="236"/>
      <c r="D10065" s="236"/>
    </row>
    <row r="10066" spans="2:4" ht="12.75" customHeight="1" x14ac:dyDescent="0.2">
      <c r="B10066" s="236"/>
      <c r="C10066" s="236"/>
      <c r="D10066" s="236"/>
    </row>
    <row r="10067" spans="2:4" x14ac:dyDescent="0.2">
      <c r="B10067" s="236"/>
      <c r="C10067" s="236"/>
      <c r="D10067" s="236"/>
    </row>
    <row r="10068" spans="2:4" ht="12.75" customHeight="1" x14ac:dyDescent="0.2">
      <c r="B10068" s="236"/>
      <c r="C10068" s="236"/>
      <c r="D10068" s="236"/>
    </row>
    <row r="10069" spans="2:4" ht="12.75" customHeight="1" x14ac:dyDescent="0.2">
      <c r="B10069" s="236"/>
      <c r="C10069" s="236"/>
      <c r="D10069" s="236"/>
    </row>
    <row r="10070" spans="2:4" x14ac:dyDescent="0.2">
      <c r="B10070" s="236"/>
      <c r="C10070" s="236"/>
      <c r="D10070" s="236"/>
    </row>
    <row r="10071" spans="2:4" ht="12.75" customHeight="1" x14ac:dyDescent="0.2">
      <c r="B10071" s="236"/>
      <c r="C10071" s="236"/>
      <c r="D10071" s="236"/>
    </row>
    <row r="10072" spans="2:4" ht="12.75" customHeight="1" x14ac:dyDescent="0.2">
      <c r="B10072" s="236"/>
      <c r="C10072" s="236"/>
      <c r="D10072" s="236"/>
    </row>
    <row r="10073" spans="2:4" x14ac:dyDescent="0.2">
      <c r="B10073" s="236"/>
      <c r="C10073" s="236"/>
      <c r="D10073" s="236"/>
    </row>
    <row r="10074" spans="2:4" ht="12.75" customHeight="1" x14ac:dyDescent="0.2">
      <c r="B10074" s="236"/>
      <c r="C10074" s="236"/>
      <c r="D10074" s="236"/>
    </row>
    <row r="10075" spans="2:4" x14ac:dyDescent="0.2">
      <c r="B10075" s="236"/>
      <c r="C10075" s="236"/>
      <c r="D10075" s="236"/>
    </row>
    <row r="10076" spans="2:4" ht="12.75" customHeight="1" x14ac:dyDescent="0.2">
      <c r="B10076" s="236"/>
      <c r="C10076" s="236"/>
      <c r="D10076" s="236"/>
    </row>
    <row r="10077" spans="2:4" ht="12.75" customHeight="1" x14ac:dyDescent="0.2">
      <c r="B10077" s="236"/>
      <c r="C10077" s="236"/>
      <c r="D10077" s="236"/>
    </row>
    <row r="10078" spans="2:4" ht="12.75" customHeight="1" x14ac:dyDescent="0.2">
      <c r="B10078" s="236"/>
      <c r="C10078" s="236"/>
      <c r="D10078" s="236"/>
    </row>
    <row r="10079" spans="2:4" ht="12.75" customHeight="1" x14ac:dyDescent="0.2">
      <c r="B10079" s="236"/>
      <c r="C10079" s="236"/>
      <c r="D10079" s="236"/>
    </row>
    <row r="10080" spans="2:4" ht="12.75" customHeight="1" x14ac:dyDescent="0.2">
      <c r="B10080" s="236"/>
      <c r="C10080" s="236"/>
      <c r="D10080" s="236"/>
    </row>
    <row r="10081" spans="2:4" ht="12.75" customHeight="1" x14ac:dyDescent="0.2">
      <c r="B10081" s="236"/>
      <c r="C10081" s="236"/>
      <c r="D10081" s="236"/>
    </row>
    <row r="10082" spans="2:4" ht="12.75" customHeight="1" x14ac:dyDescent="0.2">
      <c r="B10082" s="236"/>
      <c r="C10082" s="236"/>
      <c r="D10082" s="236"/>
    </row>
    <row r="10083" spans="2:4" x14ac:dyDescent="0.2">
      <c r="B10083" s="236"/>
      <c r="C10083" s="236"/>
      <c r="D10083" s="236"/>
    </row>
    <row r="10084" spans="2:4" ht="12.75" customHeight="1" x14ac:dyDescent="0.2">
      <c r="B10084" s="236"/>
      <c r="C10084" s="236"/>
      <c r="D10084" s="236"/>
    </row>
    <row r="10085" spans="2:4" x14ac:dyDescent="0.2">
      <c r="B10085" s="236"/>
      <c r="C10085" s="236"/>
      <c r="D10085" s="236"/>
    </row>
    <row r="10086" spans="2:4" ht="12.75" customHeight="1" x14ac:dyDescent="0.2">
      <c r="B10086" s="236"/>
      <c r="C10086" s="236"/>
      <c r="D10086" s="236"/>
    </row>
    <row r="10087" spans="2:4" x14ac:dyDescent="0.2">
      <c r="B10087" s="236"/>
      <c r="C10087" s="236"/>
      <c r="D10087" s="236"/>
    </row>
    <row r="10088" spans="2:4" ht="12.75" customHeight="1" x14ac:dyDescent="0.2">
      <c r="B10088" s="236"/>
      <c r="C10088" s="236"/>
      <c r="D10088" s="236"/>
    </row>
    <row r="10089" spans="2:4" x14ac:dyDescent="0.2">
      <c r="B10089" s="236"/>
      <c r="C10089" s="236"/>
      <c r="D10089" s="236"/>
    </row>
    <row r="10090" spans="2:4" ht="12.75" customHeight="1" x14ac:dyDescent="0.2">
      <c r="B10090" s="236"/>
      <c r="C10090" s="236"/>
      <c r="D10090" s="236"/>
    </row>
    <row r="10091" spans="2:4" ht="12.75" customHeight="1" x14ac:dyDescent="0.2">
      <c r="B10091" s="236"/>
      <c r="C10091" s="236"/>
      <c r="D10091" s="236"/>
    </row>
    <row r="10092" spans="2:4" ht="12.75" customHeight="1" x14ac:dyDescent="0.2">
      <c r="B10092" s="236"/>
      <c r="C10092" s="236"/>
      <c r="D10092" s="236"/>
    </row>
    <row r="10093" spans="2:4" ht="12.75" customHeight="1" x14ac:dyDescent="0.2">
      <c r="B10093" s="236"/>
      <c r="C10093" s="236"/>
      <c r="D10093" s="236"/>
    </row>
    <row r="10094" spans="2:4" ht="12.75" customHeight="1" x14ac:dyDescent="0.2">
      <c r="B10094" s="236"/>
      <c r="C10094" s="236"/>
      <c r="D10094" s="236"/>
    </row>
    <row r="10095" spans="2:4" ht="12.75" customHeight="1" x14ac:dyDescent="0.2">
      <c r="B10095" s="236"/>
      <c r="C10095" s="236"/>
      <c r="D10095" s="236"/>
    </row>
    <row r="10096" spans="2:4" ht="12.75" customHeight="1" x14ac:dyDescent="0.2">
      <c r="B10096" s="236"/>
      <c r="C10096" s="236"/>
      <c r="D10096" s="236"/>
    </row>
    <row r="10097" spans="2:4" ht="12.75" customHeight="1" x14ac:dyDescent="0.2">
      <c r="B10097" s="236"/>
      <c r="C10097" s="236"/>
      <c r="D10097" s="236"/>
    </row>
    <row r="10098" spans="2:4" ht="12.75" customHeight="1" x14ac:dyDescent="0.2">
      <c r="B10098" s="236"/>
      <c r="C10098" s="236"/>
      <c r="D10098" s="236"/>
    </row>
    <row r="10099" spans="2:4" ht="12.75" customHeight="1" x14ac:dyDescent="0.2">
      <c r="B10099" s="236"/>
      <c r="C10099" s="236"/>
      <c r="D10099" s="236"/>
    </row>
    <row r="10100" spans="2:4" ht="12.75" customHeight="1" x14ac:dyDescent="0.2">
      <c r="B10100" s="236"/>
      <c r="C10100" s="236"/>
      <c r="D10100" s="236"/>
    </row>
    <row r="10101" spans="2:4" ht="12.75" customHeight="1" x14ac:dyDescent="0.2">
      <c r="B10101" s="236"/>
      <c r="C10101" s="236"/>
      <c r="D10101" s="236"/>
    </row>
    <row r="10102" spans="2:4" ht="12.75" customHeight="1" x14ac:dyDescent="0.2">
      <c r="B10102" s="236"/>
      <c r="C10102" s="236"/>
      <c r="D10102" s="236"/>
    </row>
    <row r="10103" spans="2:4" ht="12.75" customHeight="1" x14ac:dyDescent="0.2">
      <c r="B10103" s="236"/>
      <c r="C10103" s="236"/>
      <c r="D10103" s="236"/>
    </row>
    <row r="10104" spans="2:4" ht="12.75" customHeight="1" x14ac:dyDescent="0.2">
      <c r="B10104" s="236"/>
      <c r="C10104" s="236"/>
      <c r="D10104" s="236"/>
    </row>
    <row r="10105" spans="2:4" ht="12.75" customHeight="1" x14ac:dyDescent="0.2">
      <c r="B10105" s="236"/>
      <c r="C10105" s="236"/>
      <c r="D10105" s="236"/>
    </row>
    <row r="10106" spans="2:4" ht="12.75" customHeight="1" x14ac:dyDescent="0.2">
      <c r="B10106" s="236"/>
      <c r="C10106" s="236"/>
      <c r="D10106" s="236"/>
    </row>
    <row r="10107" spans="2:4" ht="12.75" customHeight="1" x14ac:dyDescent="0.2">
      <c r="B10107" s="236"/>
      <c r="C10107" s="236"/>
      <c r="D10107" s="236"/>
    </row>
    <row r="10108" spans="2:4" ht="12.75" customHeight="1" x14ac:dyDescent="0.2">
      <c r="B10108" s="236"/>
      <c r="C10108" s="236"/>
      <c r="D10108" s="236"/>
    </row>
    <row r="10109" spans="2:4" ht="12.75" customHeight="1" x14ac:dyDescent="0.2">
      <c r="B10109" s="236"/>
      <c r="C10109" s="236"/>
      <c r="D10109" s="236"/>
    </row>
    <row r="10110" spans="2:4" x14ac:dyDescent="0.2">
      <c r="B10110" s="236"/>
      <c r="C10110" s="236"/>
      <c r="D10110" s="236"/>
    </row>
    <row r="10111" spans="2:4" ht="12.75" customHeight="1" x14ac:dyDescent="0.2">
      <c r="B10111" s="236"/>
      <c r="C10111" s="236"/>
      <c r="D10111" s="236"/>
    </row>
    <row r="10112" spans="2:4" x14ac:dyDescent="0.2">
      <c r="B10112" s="236"/>
      <c r="C10112" s="236"/>
      <c r="D10112" s="236"/>
    </row>
    <row r="10113" spans="2:4" ht="12.75" customHeight="1" x14ac:dyDescent="0.2">
      <c r="B10113" s="236"/>
      <c r="C10113" s="236"/>
      <c r="D10113" s="236"/>
    </row>
    <row r="10114" spans="2:4" x14ac:dyDescent="0.2">
      <c r="B10114" s="236"/>
      <c r="C10114" s="236"/>
      <c r="D10114" s="236"/>
    </row>
    <row r="10115" spans="2:4" ht="12.75" customHeight="1" x14ac:dyDescent="0.2">
      <c r="B10115" s="236"/>
      <c r="C10115" s="236"/>
      <c r="D10115" s="236"/>
    </row>
    <row r="10116" spans="2:4" x14ac:dyDescent="0.2">
      <c r="B10116" s="236"/>
      <c r="C10116" s="236"/>
      <c r="D10116" s="236"/>
    </row>
    <row r="10117" spans="2:4" ht="12.75" customHeight="1" x14ac:dyDescent="0.2">
      <c r="B10117" s="236"/>
      <c r="C10117" s="236"/>
      <c r="D10117" s="236"/>
    </row>
    <row r="10118" spans="2:4" ht="12.75" customHeight="1" x14ac:dyDescent="0.2">
      <c r="B10118" s="236"/>
      <c r="C10118" s="236"/>
      <c r="D10118" s="236"/>
    </row>
    <row r="10119" spans="2:4" ht="12.75" customHeight="1" x14ac:dyDescent="0.2">
      <c r="B10119" s="236"/>
      <c r="C10119" s="236"/>
      <c r="D10119" s="236"/>
    </row>
    <row r="10120" spans="2:4" ht="12.75" customHeight="1" x14ac:dyDescent="0.2">
      <c r="B10120" s="236"/>
      <c r="C10120" s="236"/>
      <c r="D10120" s="236"/>
    </row>
    <row r="10121" spans="2:4" ht="12.75" customHeight="1" x14ac:dyDescent="0.2">
      <c r="B10121" s="236"/>
      <c r="C10121" s="236"/>
      <c r="D10121" s="236"/>
    </row>
    <row r="10122" spans="2:4" x14ac:dyDescent="0.2">
      <c r="B10122" s="236"/>
      <c r="C10122" s="236"/>
      <c r="D10122" s="236"/>
    </row>
    <row r="10123" spans="2:4" ht="12.75" customHeight="1" x14ac:dyDescent="0.2">
      <c r="B10123" s="236"/>
      <c r="C10123" s="236"/>
      <c r="D10123" s="236"/>
    </row>
    <row r="10124" spans="2:4" x14ac:dyDescent="0.2">
      <c r="B10124" s="236"/>
      <c r="C10124" s="236"/>
      <c r="D10124" s="236"/>
    </row>
    <row r="10125" spans="2:4" ht="12.75" customHeight="1" x14ac:dyDescent="0.2">
      <c r="B10125" s="236"/>
      <c r="C10125" s="236"/>
      <c r="D10125" s="236"/>
    </row>
    <row r="10126" spans="2:4" ht="12.75" customHeight="1" x14ac:dyDescent="0.2">
      <c r="B10126" s="236"/>
      <c r="C10126" s="236"/>
      <c r="D10126" s="236"/>
    </row>
    <row r="10127" spans="2:4" ht="12.75" customHeight="1" x14ac:dyDescent="0.2">
      <c r="B10127" s="236"/>
      <c r="C10127" s="236"/>
      <c r="D10127" s="236"/>
    </row>
    <row r="10128" spans="2:4" ht="12.75" customHeight="1" x14ac:dyDescent="0.2">
      <c r="B10128" s="236"/>
      <c r="C10128" s="236"/>
      <c r="D10128" s="236"/>
    </row>
    <row r="10129" spans="2:4" ht="12.75" customHeight="1" x14ac:dyDescent="0.2">
      <c r="B10129" s="236"/>
      <c r="C10129" s="236"/>
      <c r="D10129" s="236"/>
    </row>
    <row r="10130" spans="2:4" ht="12.75" customHeight="1" x14ac:dyDescent="0.2">
      <c r="B10130" s="236"/>
      <c r="C10130" s="236"/>
      <c r="D10130" s="236"/>
    </row>
    <row r="10131" spans="2:4" x14ac:dyDescent="0.2">
      <c r="B10131" s="236"/>
      <c r="C10131" s="236"/>
      <c r="D10131" s="236"/>
    </row>
    <row r="10132" spans="2:4" ht="12.75" customHeight="1" x14ac:dyDescent="0.2">
      <c r="B10132" s="236"/>
      <c r="C10132" s="236"/>
      <c r="D10132" s="236"/>
    </row>
    <row r="10133" spans="2:4" ht="12.75" customHeight="1" x14ac:dyDescent="0.2">
      <c r="B10133" s="236"/>
      <c r="C10133" s="236"/>
      <c r="D10133" s="236"/>
    </row>
    <row r="10134" spans="2:4" ht="12.75" customHeight="1" x14ac:dyDescent="0.2">
      <c r="B10134" s="236"/>
      <c r="C10134" s="236"/>
      <c r="D10134" s="236"/>
    </row>
    <row r="10135" spans="2:4" ht="12.75" customHeight="1" x14ac:dyDescent="0.2">
      <c r="B10135" s="236"/>
      <c r="C10135" s="236"/>
      <c r="D10135" s="236"/>
    </row>
    <row r="10136" spans="2:4" ht="12.75" customHeight="1" x14ac:dyDescent="0.2">
      <c r="B10136" s="236"/>
      <c r="C10136" s="236"/>
      <c r="D10136" s="236"/>
    </row>
    <row r="10137" spans="2:4" ht="12.75" customHeight="1" x14ac:dyDescent="0.2">
      <c r="B10137" s="236"/>
      <c r="C10137" s="236"/>
      <c r="D10137" s="236"/>
    </row>
    <row r="10138" spans="2:4" ht="12.75" customHeight="1" x14ac:dyDescent="0.2">
      <c r="B10138" s="236"/>
      <c r="C10138" s="236"/>
      <c r="D10138" s="236"/>
    </row>
    <row r="10139" spans="2:4" ht="12.75" customHeight="1" x14ac:dyDescent="0.2">
      <c r="B10139" s="236"/>
      <c r="C10139" s="236"/>
      <c r="D10139" s="236"/>
    </row>
    <row r="10140" spans="2:4" ht="12.75" customHeight="1" x14ac:dyDescent="0.2">
      <c r="B10140" s="236"/>
      <c r="C10140" s="236"/>
      <c r="D10140" s="236"/>
    </row>
    <row r="10141" spans="2:4" ht="12.75" customHeight="1" x14ac:dyDescent="0.2">
      <c r="B10141" s="236"/>
      <c r="C10141" s="236"/>
      <c r="D10141" s="236"/>
    </row>
    <row r="10142" spans="2:4" ht="12.75" customHeight="1" x14ac:dyDescent="0.2">
      <c r="B10142" s="236"/>
      <c r="C10142" s="236"/>
      <c r="D10142" s="236"/>
    </row>
    <row r="10143" spans="2:4" ht="12.75" customHeight="1" x14ac:dyDescent="0.2">
      <c r="B10143" s="236"/>
      <c r="C10143" s="236"/>
      <c r="D10143" s="236"/>
    </row>
    <row r="10144" spans="2:4" ht="12.75" customHeight="1" x14ac:dyDescent="0.2">
      <c r="B10144" s="236"/>
      <c r="C10144" s="236"/>
      <c r="D10144" s="236"/>
    </row>
    <row r="10145" spans="2:4" ht="12.75" customHeight="1" x14ac:dyDescent="0.2">
      <c r="B10145" s="236"/>
      <c r="C10145" s="236"/>
      <c r="D10145" s="236"/>
    </row>
    <row r="10146" spans="2:4" ht="12.75" customHeight="1" x14ac:dyDescent="0.2">
      <c r="B10146" s="236"/>
      <c r="C10146" s="236"/>
      <c r="D10146" s="236"/>
    </row>
    <row r="10147" spans="2:4" x14ac:dyDescent="0.2">
      <c r="B10147" s="236"/>
      <c r="C10147" s="236"/>
      <c r="D10147" s="236"/>
    </row>
    <row r="10148" spans="2:4" ht="12.75" customHeight="1" x14ac:dyDescent="0.2">
      <c r="B10148" s="236"/>
      <c r="C10148" s="236"/>
      <c r="D10148" s="236"/>
    </row>
    <row r="10149" spans="2:4" ht="12.75" customHeight="1" x14ac:dyDescent="0.2">
      <c r="B10149" s="236"/>
      <c r="C10149" s="236"/>
      <c r="D10149" s="236"/>
    </row>
    <row r="10150" spans="2:4" ht="12.75" customHeight="1" x14ac:dyDescent="0.2">
      <c r="B10150" s="236"/>
      <c r="C10150" s="236"/>
      <c r="D10150" s="236"/>
    </row>
    <row r="10151" spans="2:4" ht="12.75" customHeight="1" x14ac:dyDescent="0.2">
      <c r="B10151" s="236"/>
      <c r="C10151" s="236"/>
      <c r="D10151" s="236"/>
    </row>
    <row r="10152" spans="2:4" x14ac:dyDescent="0.2">
      <c r="B10152" s="236"/>
      <c r="C10152" s="236"/>
      <c r="D10152" s="236"/>
    </row>
    <row r="10153" spans="2:4" ht="12.75" customHeight="1" x14ac:dyDescent="0.2">
      <c r="B10153" s="236"/>
      <c r="C10153" s="236"/>
      <c r="D10153" s="236"/>
    </row>
    <row r="10154" spans="2:4" x14ac:dyDescent="0.2">
      <c r="B10154" s="236"/>
      <c r="C10154" s="236"/>
      <c r="D10154" s="236"/>
    </row>
    <row r="10155" spans="2:4" ht="12.75" customHeight="1" x14ac:dyDescent="0.2">
      <c r="B10155" s="236"/>
      <c r="C10155" s="236"/>
      <c r="D10155" s="236"/>
    </row>
    <row r="10156" spans="2:4" ht="12.75" customHeight="1" x14ac:dyDescent="0.2">
      <c r="B10156" s="236"/>
      <c r="C10156" s="236"/>
      <c r="D10156" s="236"/>
    </row>
    <row r="10157" spans="2:4" ht="12.75" customHeight="1" x14ac:dyDescent="0.2">
      <c r="B10157" s="236"/>
      <c r="C10157" s="236"/>
      <c r="D10157" s="236"/>
    </row>
    <row r="10158" spans="2:4" ht="12.75" customHeight="1" x14ac:dyDescent="0.2">
      <c r="B10158" s="236"/>
      <c r="C10158" s="236"/>
      <c r="D10158" s="236"/>
    </row>
    <row r="10159" spans="2:4" ht="12.75" customHeight="1" x14ac:dyDescent="0.2">
      <c r="B10159" s="236"/>
      <c r="C10159" s="236"/>
      <c r="D10159" s="236"/>
    </row>
    <row r="10160" spans="2:4" ht="12.75" customHeight="1" x14ac:dyDescent="0.2">
      <c r="B10160" s="236"/>
      <c r="C10160" s="236"/>
      <c r="D10160" s="236"/>
    </row>
    <row r="10161" spans="2:4" ht="12.75" customHeight="1" x14ac:dyDescent="0.2">
      <c r="B10161" s="236"/>
      <c r="C10161" s="236"/>
      <c r="D10161" s="236"/>
    </row>
    <row r="10162" spans="2:4" ht="12.75" customHeight="1" x14ac:dyDescent="0.2">
      <c r="B10162" s="236"/>
      <c r="C10162" s="236"/>
      <c r="D10162" s="236"/>
    </row>
    <row r="10163" spans="2:4" ht="12.75" customHeight="1" x14ac:dyDescent="0.2">
      <c r="B10163" s="236"/>
      <c r="C10163" s="236"/>
      <c r="D10163" s="236"/>
    </row>
    <row r="10164" spans="2:4" ht="12.75" customHeight="1" x14ac:dyDescent="0.2">
      <c r="B10164" s="236"/>
      <c r="C10164" s="236"/>
      <c r="D10164" s="236"/>
    </row>
    <row r="10165" spans="2:4" ht="12.75" customHeight="1" x14ac:dyDescent="0.2">
      <c r="B10165" s="236"/>
      <c r="C10165" s="236"/>
      <c r="D10165" s="236"/>
    </row>
    <row r="10166" spans="2:4" x14ac:dyDescent="0.2">
      <c r="B10166" s="236"/>
      <c r="C10166" s="236"/>
      <c r="D10166" s="236"/>
    </row>
    <row r="10167" spans="2:4" x14ac:dyDescent="0.2">
      <c r="B10167" s="236"/>
      <c r="C10167" s="236"/>
      <c r="D10167" s="236"/>
    </row>
    <row r="10168" spans="2:4" ht="12.75" customHeight="1" x14ac:dyDescent="0.2">
      <c r="B10168" s="236"/>
      <c r="C10168" s="236"/>
      <c r="D10168" s="236"/>
    </row>
    <row r="10169" spans="2:4" x14ac:dyDescent="0.2">
      <c r="B10169" s="236"/>
      <c r="C10169" s="236"/>
      <c r="D10169" s="236"/>
    </row>
    <row r="10170" spans="2:4" ht="12.75" customHeight="1" x14ac:dyDescent="0.2">
      <c r="B10170" s="236"/>
      <c r="C10170" s="236"/>
      <c r="D10170" s="236"/>
    </row>
    <row r="10171" spans="2:4" ht="12.75" customHeight="1" x14ac:dyDescent="0.2">
      <c r="B10171" s="236"/>
      <c r="C10171" s="236"/>
      <c r="D10171" s="236"/>
    </row>
    <row r="10172" spans="2:4" ht="12.75" customHeight="1" x14ac:dyDescent="0.2">
      <c r="B10172" s="236"/>
      <c r="C10172" s="236"/>
      <c r="D10172" s="236"/>
    </row>
    <row r="10173" spans="2:4" ht="12.75" customHeight="1" x14ac:dyDescent="0.2">
      <c r="B10173" s="236"/>
      <c r="C10173" s="236"/>
      <c r="D10173" s="236"/>
    </row>
    <row r="10174" spans="2:4" x14ac:dyDescent="0.2">
      <c r="B10174" s="236"/>
      <c r="C10174" s="236"/>
      <c r="D10174" s="236"/>
    </row>
    <row r="10175" spans="2:4" ht="12.75" customHeight="1" x14ac:dyDescent="0.2">
      <c r="B10175" s="236"/>
      <c r="C10175" s="236"/>
      <c r="D10175" s="236"/>
    </row>
    <row r="10176" spans="2:4" x14ac:dyDescent="0.2">
      <c r="B10176" s="236"/>
      <c r="C10176" s="236"/>
      <c r="D10176" s="236"/>
    </row>
    <row r="10177" spans="2:4" ht="12.75" customHeight="1" x14ac:dyDescent="0.2">
      <c r="B10177" s="236"/>
      <c r="C10177" s="236"/>
      <c r="D10177" s="236"/>
    </row>
    <row r="10178" spans="2:4" x14ac:dyDescent="0.2">
      <c r="B10178" s="236"/>
      <c r="C10178" s="236"/>
      <c r="D10178" s="236"/>
    </row>
    <row r="10179" spans="2:4" ht="12.75" customHeight="1" x14ac:dyDescent="0.2">
      <c r="B10179" s="236"/>
      <c r="C10179" s="236"/>
      <c r="D10179" s="236"/>
    </row>
    <row r="10180" spans="2:4" x14ac:dyDescent="0.2">
      <c r="B10180" s="236"/>
      <c r="C10180" s="236"/>
      <c r="D10180" s="236"/>
    </row>
    <row r="10181" spans="2:4" ht="12.75" customHeight="1" x14ac:dyDescent="0.2">
      <c r="B10181" s="236"/>
      <c r="C10181" s="236"/>
      <c r="D10181" s="236"/>
    </row>
    <row r="10182" spans="2:4" x14ac:dyDescent="0.2">
      <c r="B10182" s="236"/>
      <c r="C10182" s="236"/>
      <c r="D10182" s="236"/>
    </row>
    <row r="10183" spans="2:4" ht="12.75" customHeight="1" x14ac:dyDescent="0.2">
      <c r="B10183" s="236"/>
      <c r="C10183" s="236"/>
      <c r="D10183" s="236"/>
    </row>
    <row r="10184" spans="2:4" x14ac:dyDescent="0.2">
      <c r="B10184" s="236"/>
      <c r="C10184" s="236"/>
      <c r="D10184" s="236"/>
    </row>
    <row r="10185" spans="2:4" ht="12.75" customHeight="1" x14ac:dyDescent="0.2">
      <c r="B10185" s="236"/>
      <c r="C10185" s="236"/>
      <c r="D10185" s="236"/>
    </row>
    <row r="10186" spans="2:4" x14ac:dyDescent="0.2">
      <c r="B10186" s="236"/>
      <c r="C10186" s="236"/>
      <c r="D10186" s="236"/>
    </row>
    <row r="10187" spans="2:4" ht="12.75" customHeight="1" x14ac:dyDescent="0.2">
      <c r="B10187" s="236"/>
      <c r="C10187" s="236"/>
      <c r="D10187" s="236"/>
    </row>
    <row r="10188" spans="2:4" ht="12.75" customHeight="1" x14ac:dyDescent="0.2">
      <c r="B10188" s="236"/>
      <c r="C10188" s="236"/>
      <c r="D10188" s="236"/>
    </row>
    <row r="10189" spans="2:4" ht="12.75" customHeight="1" x14ac:dyDescent="0.2">
      <c r="B10189" s="236"/>
      <c r="C10189" s="236"/>
      <c r="D10189" s="236"/>
    </row>
    <row r="10190" spans="2:4" ht="12.75" customHeight="1" x14ac:dyDescent="0.2">
      <c r="B10190" s="236"/>
      <c r="C10190" s="236"/>
      <c r="D10190" s="236"/>
    </row>
    <row r="10191" spans="2:4" x14ac:dyDescent="0.2">
      <c r="B10191" s="236"/>
      <c r="C10191" s="236"/>
      <c r="D10191" s="236"/>
    </row>
    <row r="10192" spans="2:4" ht="12.75" customHeight="1" x14ac:dyDescent="0.2">
      <c r="B10192" s="236"/>
      <c r="C10192" s="236"/>
      <c r="D10192" s="236"/>
    </row>
    <row r="10193" spans="2:4" x14ac:dyDescent="0.2">
      <c r="B10193" s="236"/>
      <c r="C10193" s="236"/>
      <c r="D10193" s="236"/>
    </row>
    <row r="10194" spans="2:4" ht="12.75" customHeight="1" x14ac:dyDescent="0.2">
      <c r="B10194" s="236"/>
      <c r="C10194" s="236"/>
      <c r="D10194" s="236"/>
    </row>
    <row r="10195" spans="2:4" x14ac:dyDescent="0.2">
      <c r="B10195" s="236"/>
      <c r="C10195" s="236"/>
      <c r="D10195" s="236"/>
    </row>
    <row r="10196" spans="2:4" ht="12.75" customHeight="1" x14ac:dyDescent="0.2">
      <c r="B10196" s="236"/>
      <c r="C10196" s="236"/>
      <c r="D10196" s="236"/>
    </row>
    <row r="10197" spans="2:4" ht="12.75" customHeight="1" x14ac:dyDescent="0.2">
      <c r="B10197" s="236"/>
      <c r="C10197" s="236"/>
      <c r="D10197" s="236"/>
    </row>
    <row r="10198" spans="2:4" ht="12.75" customHeight="1" x14ac:dyDescent="0.2">
      <c r="B10198" s="236"/>
      <c r="C10198" s="236"/>
      <c r="D10198" s="236"/>
    </row>
    <row r="10199" spans="2:4" ht="12.75" customHeight="1" x14ac:dyDescent="0.2">
      <c r="B10199" s="236"/>
      <c r="C10199" s="236"/>
      <c r="D10199" s="236"/>
    </row>
    <row r="10200" spans="2:4" ht="12.75" customHeight="1" x14ac:dyDescent="0.2">
      <c r="B10200" s="236"/>
      <c r="C10200" s="236"/>
      <c r="D10200" s="236"/>
    </row>
    <row r="10201" spans="2:4" ht="12.75" customHeight="1" x14ac:dyDescent="0.2">
      <c r="B10201" s="236"/>
      <c r="C10201" s="236"/>
      <c r="D10201" s="236"/>
    </row>
    <row r="10202" spans="2:4" ht="12.75" customHeight="1" x14ac:dyDescent="0.2">
      <c r="B10202" s="236"/>
      <c r="C10202" s="236"/>
      <c r="D10202" s="236"/>
    </row>
    <row r="10203" spans="2:4" ht="12.75" customHeight="1" x14ac:dyDescent="0.2">
      <c r="B10203" s="236"/>
      <c r="C10203" s="236"/>
      <c r="D10203" s="236"/>
    </row>
    <row r="10204" spans="2:4" ht="12.75" customHeight="1" x14ac:dyDescent="0.2">
      <c r="B10204" s="236"/>
      <c r="C10204" s="236"/>
      <c r="D10204" s="236"/>
    </row>
    <row r="10205" spans="2:4" ht="12.75" customHeight="1" x14ac:dyDescent="0.2">
      <c r="B10205" s="236"/>
      <c r="C10205" s="236"/>
      <c r="D10205" s="236"/>
    </row>
    <row r="10206" spans="2:4" ht="12.75" customHeight="1" x14ac:dyDescent="0.2">
      <c r="B10206" s="236"/>
      <c r="C10206" s="236"/>
      <c r="D10206" s="236"/>
    </row>
    <row r="10207" spans="2:4" ht="12.75" customHeight="1" x14ac:dyDescent="0.2">
      <c r="B10207" s="236"/>
      <c r="C10207" s="236"/>
      <c r="D10207" s="236"/>
    </row>
    <row r="10208" spans="2:4" ht="12.75" customHeight="1" x14ac:dyDescent="0.2">
      <c r="B10208" s="236"/>
      <c r="C10208" s="236"/>
      <c r="D10208" s="236"/>
    </row>
    <row r="10209" spans="2:4" ht="12.75" customHeight="1" x14ac:dyDescent="0.2">
      <c r="B10209" s="236"/>
      <c r="C10209" s="236"/>
      <c r="D10209" s="236"/>
    </row>
    <row r="10210" spans="2:4" ht="12.75" customHeight="1" x14ac:dyDescent="0.2">
      <c r="B10210" s="236"/>
      <c r="C10210" s="236"/>
      <c r="D10210" s="236"/>
    </row>
    <row r="10211" spans="2:4" ht="12.75" customHeight="1" x14ac:dyDescent="0.2">
      <c r="B10211" s="236"/>
      <c r="C10211" s="236"/>
      <c r="D10211" s="236"/>
    </row>
    <row r="10212" spans="2:4" ht="12.75" customHeight="1" x14ac:dyDescent="0.2">
      <c r="B10212" s="236"/>
      <c r="C10212" s="236"/>
      <c r="D10212" s="236"/>
    </row>
    <row r="10213" spans="2:4" ht="12.75" customHeight="1" x14ac:dyDescent="0.2">
      <c r="B10213" s="236"/>
      <c r="C10213" s="236"/>
      <c r="D10213" s="236"/>
    </row>
    <row r="10214" spans="2:4" ht="12.75" customHeight="1" x14ac:dyDescent="0.2">
      <c r="B10214" s="236"/>
      <c r="C10214" s="236"/>
      <c r="D10214" s="236"/>
    </row>
    <row r="10215" spans="2:4" ht="12.75" customHeight="1" x14ac:dyDescent="0.2">
      <c r="B10215" s="236"/>
      <c r="C10215" s="236"/>
      <c r="D10215" s="236"/>
    </row>
    <row r="10216" spans="2:4" ht="12.75" customHeight="1" x14ac:dyDescent="0.2">
      <c r="B10216" s="236"/>
      <c r="C10216" s="236"/>
      <c r="D10216" s="236"/>
    </row>
    <row r="10217" spans="2:4" ht="12.75" customHeight="1" x14ac:dyDescent="0.2">
      <c r="B10217" s="236"/>
      <c r="C10217" s="236"/>
      <c r="D10217" s="236"/>
    </row>
    <row r="10218" spans="2:4" x14ac:dyDescent="0.2">
      <c r="B10218" s="236"/>
      <c r="C10218" s="236"/>
      <c r="D10218" s="236"/>
    </row>
    <row r="10219" spans="2:4" ht="12.75" customHeight="1" x14ac:dyDescent="0.2">
      <c r="B10219" s="236"/>
      <c r="C10219" s="236"/>
      <c r="D10219" s="236"/>
    </row>
    <row r="10220" spans="2:4" ht="12.75" customHeight="1" x14ac:dyDescent="0.2">
      <c r="B10220" s="236"/>
      <c r="C10220" s="236"/>
      <c r="D10220" s="236"/>
    </row>
    <row r="10221" spans="2:4" x14ac:dyDescent="0.2">
      <c r="B10221" s="236"/>
      <c r="C10221" s="236"/>
      <c r="D10221" s="236"/>
    </row>
    <row r="10222" spans="2:4" ht="12.75" customHeight="1" x14ac:dyDescent="0.2">
      <c r="B10222" s="236"/>
      <c r="C10222" s="236"/>
      <c r="D10222" s="236"/>
    </row>
    <row r="10223" spans="2:4" x14ac:dyDescent="0.2">
      <c r="B10223" s="236"/>
      <c r="C10223" s="236"/>
      <c r="D10223" s="236"/>
    </row>
    <row r="10224" spans="2:4" ht="12.75" customHeight="1" x14ac:dyDescent="0.2">
      <c r="B10224" s="236"/>
      <c r="C10224" s="236"/>
      <c r="D10224" s="236"/>
    </row>
    <row r="10225" spans="2:4" ht="12.75" customHeight="1" x14ac:dyDescent="0.2">
      <c r="B10225" s="236"/>
      <c r="C10225" s="236"/>
      <c r="D10225" s="236"/>
    </row>
    <row r="10226" spans="2:4" ht="12.75" customHeight="1" x14ac:dyDescent="0.2">
      <c r="B10226" s="236"/>
      <c r="C10226" s="236"/>
      <c r="D10226" s="236"/>
    </row>
    <row r="10227" spans="2:4" ht="12.75" customHeight="1" x14ac:dyDescent="0.2">
      <c r="B10227" s="236"/>
      <c r="C10227" s="236"/>
      <c r="D10227" s="236"/>
    </row>
    <row r="10228" spans="2:4" ht="12.75" customHeight="1" x14ac:dyDescent="0.2">
      <c r="B10228" s="236"/>
      <c r="C10228" s="236"/>
      <c r="D10228" s="236"/>
    </row>
    <row r="10229" spans="2:4" ht="12.75" customHeight="1" x14ac:dyDescent="0.2">
      <c r="B10229" s="236"/>
      <c r="C10229" s="236"/>
      <c r="D10229" s="236"/>
    </row>
    <row r="10230" spans="2:4" ht="12.75" customHeight="1" x14ac:dyDescent="0.2">
      <c r="B10230" s="236"/>
      <c r="C10230" s="236"/>
      <c r="D10230" s="236"/>
    </row>
    <row r="10231" spans="2:4" ht="12.75" customHeight="1" x14ac:dyDescent="0.2">
      <c r="B10231" s="236"/>
      <c r="C10231" s="236"/>
      <c r="D10231" s="236"/>
    </row>
    <row r="10232" spans="2:4" ht="12.75" customHeight="1" x14ac:dyDescent="0.2">
      <c r="B10232" s="236"/>
      <c r="C10232" s="236"/>
      <c r="D10232" s="236"/>
    </row>
    <row r="10233" spans="2:4" ht="12.75" customHeight="1" x14ac:dyDescent="0.2">
      <c r="B10233" s="236"/>
      <c r="C10233" s="236"/>
      <c r="D10233" s="236"/>
    </row>
    <row r="10234" spans="2:4" ht="12.75" customHeight="1" x14ac:dyDescent="0.2">
      <c r="B10234" s="236"/>
      <c r="C10234" s="236"/>
      <c r="D10234" s="236"/>
    </row>
    <row r="10235" spans="2:4" ht="12.75" customHeight="1" x14ac:dyDescent="0.2">
      <c r="B10235" s="236"/>
      <c r="C10235" s="236"/>
      <c r="D10235" s="236"/>
    </row>
    <row r="10236" spans="2:4" ht="12.75" customHeight="1" x14ac:dyDescent="0.2">
      <c r="B10236" s="236"/>
      <c r="C10236" s="236"/>
      <c r="D10236" s="236"/>
    </row>
    <row r="10237" spans="2:4" ht="12.75" customHeight="1" x14ac:dyDescent="0.2">
      <c r="B10237" s="236"/>
      <c r="C10237" s="236"/>
      <c r="D10237" s="236"/>
    </row>
    <row r="10238" spans="2:4" ht="12.75" customHeight="1" x14ac:dyDescent="0.2">
      <c r="B10238" s="236"/>
      <c r="C10238" s="236"/>
      <c r="D10238" s="236"/>
    </row>
    <row r="10239" spans="2:4" x14ac:dyDescent="0.2">
      <c r="B10239" s="236"/>
      <c r="C10239" s="236"/>
      <c r="D10239" s="236"/>
    </row>
    <row r="10240" spans="2:4" ht="12.75" customHeight="1" x14ac:dyDescent="0.2">
      <c r="B10240" s="236"/>
      <c r="C10240" s="236"/>
      <c r="D10240" s="236"/>
    </row>
    <row r="10241" spans="2:4" ht="12.75" customHeight="1" x14ac:dyDescent="0.2">
      <c r="B10241" s="236"/>
      <c r="C10241" s="236"/>
      <c r="D10241" s="236"/>
    </row>
    <row r="10242" spans="2:4" x14ac:dyDescent="0.2">
      <c r="B10242" s="236"/>
      <c r="C10242" s="236"/>
      <c r="D10242" s="236"/>
    </row>
    <row r="10243" spans="2:4" ht="12.75" customHeight="1" x14ac:dyDescent="0.2">
      <c r="B10243" s="236"/>
      <c r="C10243" s="236"/>
      <c r="D10243" s="236"/>
    </row>
    <row r="10244" spans="2:4" ht="12.75" customHeight="1" x14ac:dyDescent="0.2">
      <c r="B10244" s="236"/>
      <c r="C10244" s="236"/>
      <c r="D10244" s="236"/>
    </row>
    <row r="10245" spans="2:4" x14ac:dyDescent="0.2">
      <c r="B10245" s="236"/>
      <c r="C10245" s="236"/>
      <c r="D10245" s="236"/>
    </row>
    <row r="10246" spans="2:4" ht="12.75" customHeight="1" x14ac:dyDescent="0.2">
      <c r="B10246" s="236"/>
      <c r="C10246" s="236"/>
      <c r="D10246" s="236"/>
    </row>
    <row r="10247" spans="2:4" x14ac:dyDescent="0.2">
      <c r="B10247" s="236"/>
      <c r="C10247" s="236"/>
      <c r="D10247" s="236"/>
    </row>
    <row r="10248" spans="2:4" ht="12.75" customHeight="1" x14ac:dyDescent="0.2">
      <c r="B10248" s="236"/>
      <c r="C10248" s="236"/>
      <c r="D10248" s="236"/>
    </row>
    <row r="10249" spans="2:4" ht="12.75" customHeight="1" x14ac:dyDescent="0.2">
      <c r="B10249" s="236"/>
      <c r="C10249" s="236"/>
      <c r="D10249" s="236"/>
    </row>
    <row r="10250" spans="2:4" x14ac:dyDescent="0.2">
      <c r="B10250" s="236"/>
      <c r="C10250" s="236"/>
      <c r="D10250" s="236"/>
    </row>
    <row r="10251" spans="2:4" ht="12.75" customHeight="1" x14ac:dyDescent="0.2">
      <c r="B10251" s="236"/>
      <c r="C10251" s="236"/>
      <c r="D10251" s="236"/>
    </row>
    <row r="10252" spans="2:4" ht="12.75" customHeight="1" x14ac:dyDescent="0.2">
      <c r="B10252" s="236"/>
      <c r="C10252" s="236"/>
      <c r="D10252" s="236"/>
    </row>
    <row r="10253" spans="2:4" ht="12.75" customHeight="1" x14ac:dyDescent="0.2">
      <c r="B10253" s="236"/>
      <c r="C10253" s="236"/>
      <c r="D10253" s="236"/>
    </row>
    <row r="10254" spans="2:4" ht="12.75" customHeight="1" x14ac:dyDescent="0.2">
      <c r="B10254" s="236"/>
      <c r="C10254" s="236"/>
      <c r="D10254" s="236"/>
    </row>
    <row r="10255" spans="2:4" ht="12.75" customHeight="1" x14ac:dyDescent="0.2">
      <c r="B10255" s="236"/>
      <c r="C10255" s="236"/>
      <c r="D10255" s="236"/>
    </row>
    <row r="10256" spans="2:4" ht="12.75" customHeight="1" x14ac:dyDescent="0.2">
      <c r="B10256" s="236"/>
      <c r="C10256" s="236"/>
      <c r="D10256" s="236"/>
    </row>
    <row r="10257" spans="2:4" ht="12.75" customHeight="1" x14ac:dyDescent="0.2">
      <c r="B10257" s="236"/>
      <c r="C10257" s="236"/>
      <c r="D10257" s="236"/>
    </row>
    <row r="10258" spans="2:4" ht="12.75" customHeight="1" x14ac:dyDescent="0.2">
      <c r="B10258" s="236"/>
      <c r="C10258" s="236"/>
      <c r="D10258" s="236"/>
    </row>
    <row r="10259" spans="2:4" ht="12.75" customHeight="1" x14ac:dyDescent="0.2">
      <c r="B10259" s="236"/>
      <c r="C10259" s="236"/>
      <c r="D10259" s="236"/>
    </row>
    <row r="10260" spans="2:4" x14ac:dyDescent="0.2">
      <c r="B10260" s="236"/>
      <c r="C10260" s="236"/>
      <c r="D10260" s="236"/>
    </row>
    <row r="10261" spans="2:4" ht="12.75" customHeight="1" x14ac:dyDescent="0.2">
      <c r="B10261" s="236"/>
      <c r="C10261" s="236"/>
      <c r="D10261" s="236"/>
    </row>
    <row r="10262" spans="2:4" x14ac:dyDescent="0.2">
      <c r="B10262" s="236"/>
      <c r="C10262" s="236"/>
      <c r="D10262" s="236"/>
    </row>
    <row r="10263" spans="2:4" ht="12.75" customHeight="1" x14ac:dyDescent="0.2">
      <c r="B10263" s="236"/>
      <c r="C10263" s="236"/>
      <c r="D10263" s="236"/>
    </row>
    <row r="10264" spans="2:4" ht="12.75" customHeight="1" x14ac:dyDescent="0.2">
      <c r="B10264" s="236"/>
      <c r="C10264" s="236"/>
      <c r="D10264" s="236"/>
    </row>
    <row r="10265" spans="2:4" ht="12.75" customHeight="1" x14ac:dyDescent="0.2">
      <c r="B10265" s="236"/>
      <c r="C10265" s="236"/>
      <c r="D10265" s="236"/>
    </row>
    <row r="10266" spans="2:4" ht="12.75" customHeight="1" x14ac:dyDescent="0.2">
      <c r="B10266" s="236"/>
      <c r="C10266" s="236"/>
      <c r="D10266" s="236"/>
    </row>
    <row r="10267" spans="2:4" ht="12.75" customHeight="1" x14ac:dyDescent="0.2">
      <c r="B10267" s="236"/>
      <c r="C10267" s="236"/>
      <c r="D10267" s="236"/>
    </row>
    <row r="10268" spans="2:4" ht="12.75" customHeight="1" x14ac:dyDescent="0.2">
      <c r="B10268" s="236"/>
      <c r="C10268" s="236"/>
      <c r="D10268" s="236"/>
    </row>
    <row r="10269" spans="2:4" ht="12.75" customHeight="1" x14ac:dyDescent="0.2">
      <c r="B10269" s="236"/>
      <c r="C10269" s="236"/>
      <c r="D10269" s="236"/>
    </row>
    <row r="10270" spans="2:4" ht="12.75" customHeight="1" x14ac:dyDescent="0.2">
      <c r="B10270" s="236"/>
      <c r="C10270" s="236"/>
      <c r="D10270" s="236"/>
    </row>
    <row r="10271" spans="2:4" x14ac:dyDescent="0.2">
      <c r="B10271" s="236"/>
      <c r="C10271" s="236"/>
      <c r="D10271" s="236"/>
    </row>
    <row r="10272" spans="2:4" ht="12.75" customHeight="1" x14ac:dyDescent="0.2">
      <c r="B10272" s="236"/>
      <c r="C10272" s="236"/>
      <c r="D10272" s="236"/>
    </row>
    <row r="10273" spans="2:4" x14ac:dyDescent="0.2">
      <c r="B10273" s="236"/>
      <c r="C10273" s="236"/>
      <c r="D10273" s="236"/>
    </row>
    <row r="10274" spans="2:4" ht="12.75" customHeight="1" x14ac:dyDescent="0.2">
      <c r="B10274" s="236"/>
      <c r="C10274" s="236"/>
      <c r="D10274" s="236"/>
    </row>
    <row r="10275" spans="2:4" ht="12.75" customHeight="1" x14ac:dyDescent="0.2">
      <c r="B10275" s="236"/>
      <c r="C10275" s="236"/>
      <c r="D10275" s="236"/>
    </row>
    <row r="10276" spans="2:4" ht="12.75" customHeight="1" x14ac:dyDescent="0.2">
      <c r="B10276" s="236"/>
      <c r="C10276" s="236"/>
      <c r="D10276" s="236"/>
    </row>
    <row r="10277" spans="2:4" x14ac:dyDescent="0.2">
      <c r="B10277" s="236"/>
      <c r="C10277" s="236"/>
      <c r="D10277" s="236"/>
    </row>
    <row r="10278" spans="2:4" ht="12.75" customHeight="1" x14ac:dyDescent="0.2">
      <c r="B10278" s="236"/>
      <c r="C10278" s="236"/>
      <c r="D10278" s="236"/>
    </row>
    <row r="10279" spans="2:4" x14ac:dyDescent="0.2">
      <c r="B10279" s="236"/>
      <c r="C10279" s="236"/>
      <c r="D10279" s="236"/>
    </row>
    <row r="10280" spans="2:4" ht="12.75" customHeight="1" x14ac:dyDescent="0.2">
      <c r="B10280" s="236"/>
      <c r="C10280" s="236"/>
      <c r="D10280" s="236"/>
    </row>
    <row r="10281" spans="2:4" x14ac:dyDescent="0.2">
      <c r="B10281" s="236"/>
      <c r="C10281" s="236"/>
      <c r="D10281" s="236"/>
    </row>
    <row r="10282" spans="2:4" ht="12.75" customHeight="1" x14ac:dyDescent="0.2">
      <c r="B10282" s="236"/>
      <c r="C10282" s="236"/>
      <c r="D10282" s="236"/>
    </row>
    <row r="10283" spans="2:4" ht="12.75" customHeight="1" x14ac:dyDescent="0.2">
      <c r="B10283" s="236"/>
      <c r="C10283" s="236"/>
      <c r="D10283" s="236"/>
    </row>
    <row r="10284" spans="2:4" ht="12.75" customHeight="1" x14ac:dyDescent="0.2">
      <c r="B10284" s="236"/>
      <c r="C10284" s="236"/>
      <c r="D10284" s="236"/>
    </row>
    <row r="10285" spans="2:4" ht="12.75" customHeight="1" x14ac:dyDescent="0.2">
      <c r="B10285" s="236"/>
      <c r="C10285" s="236"/>
      <c r="D10285" s="236"/>
    </row>
    <row r="10286" spans="2:4" ht="12.75" customHeight="1" x14ac:dyDescent="0.2">
      <c r="B10286" s="236"/>
      <c r="C10286" s="236"/>
      <c r="D10286" s="236"/>
    </row>
    <row r="10287" spans="2:4" ht="12.75" customHeight="1" x14ac:dyDescent="0.2">
      <c r="B10287" s="236"/>
      <c r="C10287" s="236"/>
      <c r="D10287" s="236"/>
    </row>
    <row r="10288" spans="2:4" ht="12.75" customHeight="1" x14ac:dyDescent="0.2">
      <c r="B10288" s="236"/>
      <c r="C10288" s="236"/>
      <c r="D10288" s="236"/>
    </row>
    <row r="10289" spans="2:4" ht="12.75" customHeight="1" x14ac:dyDescent="0.2">
      <c r="B10289" s="236"/>
      <c r="C10289" s="236"/>
      <c r="D10289" s="236"/>
    </row>
    <row r="10290" spans="2:4" ht="12.75" customHeight="1" x14ac:dyDescent="0.2">
      <c r="B10290" s="236"/>
      <c r="C10290" s="236"/>
      <c r="D10290" s="236"/>
    </row>
    <row r="10291" spans="2:4" ht="12.75" customHeight="1" x14ac:dyDescent="0.2">
      <c r="B10291" s="236"/>
      <c r="C10291" s="236"/>
      <c r="D10291" s="236"/>
    </row>
    <row r="10292" spans="2:4" ht="12.75" customHeight="1" x14ac:dyDescent="0.2">
      <c r="B10292" s="236"/>
      <c r="C10292" s="236"/>
      <c r="D10292" s="236"/>
    </row>
    <row r="10293" spans="2:4" x14ac:dyDescent="0.2">
      <c r="B10293" s="236"/>
      <c r="C10293" s="236"/>
      <c r="D10293" s="236"/>
    </row>
    <row r="10294" spans="2:4" ht="12.75" customHeight="1" x14ac:dyDescent="0.2">
      <c r="B10294" s="236"/>
      <c r="C10294" s="236"/>
      <c r="D10294" s="236"/>
    </row>
    <row r="10295" spans="2:4" ht="12.75" customHeight="1" x14ac:dyDescent="0.2">
      <c r="B10295" s="236"/>
      <c r="C10295" s="236"/>
      <c r="D10295" s="236"/>
    </row>
    <row r="10296" spans="2:4" x14ac:dyDescent="0.2">
      <c r="B10296" s="236"/>
      <c r="C10296" s="236"/>
      <c r="D10296" s="236"/>
    </row>
    <row r="10297" spans="2:4" ht="12.75" customHeight="1" x14ac:dyDescent="0.2">
      <c r="B10297" s="236"/>
      <c r="C10297" s="236"/>
      <c r="D10297" s="236"/>
    </row>
    <row r="10298" spans="2:4" ht="12.75" customHeight="1" x14ac:dyDescent="0.2">
      <c r="B10298" s="236"/>
      <c r="C10298" s="236"/>
      <c r="D10298" s="236"/>
    </row>
    <row r="10299" spans="2:4" x14ac:dyDescent="0.2">
      <c r="B10299" s="236"/>
      <c r="C10299" s="236"/>
      <c r="D10299" s="236"/>
    </row>
    <row r="10300" spans="2:4" ht="12.75" customHeight="1" x14ac:dyDescent="0.2">
      <c r="B10300" s="236"/>
      <c r="C10300" s="236"/>
      <c r="D10300" s="236"/>
    </row>
    <row r="10301" spans="2:4" ht="12.75" customHeight="1" x14ac:dyDescent="0.2">
      <c r="B10301" s="236"/>
      <c r="C10301" s="236"/>
      <c r="D10301" s="236"/>
    </row>
    <row r="10302" spans="2:4" x14ac:dyDescent="0.2">
      <c r="B10302" s="236"/>
      <c r="C10302" s="236"/>
      <c r="D10302" s="236"/>
    </row>
    <row r="10303" spans="2:4" ht="12.75" customHeight="1" x14ac:dyDescent="0.2">
      <c r="B10303" s="236"/>
      <c r="C10303" s="236"/>
      <c r="D10303" s="236"/>
    </row>
    <row r="10304" spans="2:4" ht="12.75" customHeight="1" x14ac:dyDescent="0.2">
      <c r="B10304" s="236"/>
      <c r="C10304" s="236"/>
      <c r="D10304" s="236"/>
    </row>
    <row r="10305" spans="2:4" ht="12.75" customHeight="1" x14ac:dyDescent="0.2">
      <c r="B10305" s="236"/>
      <c r="C10305" s="236"/>
      <c r="D10305" s="236"/>
    </row>
    <row r="10306" spans="2:4" ht="12.75" customHeight="1" x14ac:dyDescent="0.2">
      <c r="B10306" s="236"/>
      <c r="C10306" s="236"/>
      <c r="D10306" s="236"/>
    </row>
    <row r="10307" spans="2:4" x14ac:dyDescent="0.2">
      <c r="B10307" s="236"/>
      <c r="C10307" s="236"/>
      <c r="D10307" s="236"/>
    </row>
    <row r="10308" spans="2:4" ht="12.75" customHeight="1" x14ac:dyDescent="0.2">
      <c r="B10308" s="236"/>
      <c r="C10308" s="236"/>
      <c r="D10308" s="236"/>
    </row>
    <row r="10309" spans="2:4" x14ac:dyDescent="0.2">
      <c r="B10309" s="236"/>
      <c r="C10309" s="236"/>
      <c r="D10309" s="236"/>
    </row>
    <row r="10310" spans="2:4" ht="12.75" customHeight="1" x14ac:dyDescent="0.2">
      <c r="B10310" s="236"/>
      <c r="C10310" s="236"/>
      <c r="D10310" s="236"/>
    </row>
    <row r="10311" spans="2:4" ht="12.75" customHeight="1" x14ac:dyDescent="0.2">
      <c r="B10311" s="236"/>
      <c r="C10311" s="236"/>
      <c r="D10311" s="236"/>
    </row>
    <row r="10312" spans="2:4" ht="12.75" customHeight="1" x14ac:dyDescent="0.2">
      <c r="B10312" s="236"/>
      <c r="C10312" s="236"/>
      <c r="D10312" s="236"/>
    </row>
    <row r="10313" spans="2:4" ht="12.75" customHeight="1" x14ac:dyDescent="0.2">
      <c r="B10313" s="236"/>
      <c r="C10313" s="236"/>
      <c r="D10313" s="236"/>
    </row>
    <row r="10314" spans="2:4" x14ac:dyDescent="0.2">
      <c r="B10314" s="236"/>
      <c r="C10314" s="236"/>
      <c r="D10314" s="236"/>
    </row>
    <row r="10315" spans="2:4" ht="12.75" customHeight="1" x14ac:dyDescent="0.2">
      <c r="B10315" s="236"/>
      <c r="C10315" s="236"/>
      <c r="D10315" s="236"/>
    </row>
    <row r="10316" spans="2:4" ht="12.75" customHeight="1" x14ac:dyDescent="0.2">
      <c r="B10316" s="236"/>
      <c r="C10316" s="236"/>
      <c r="D10316" s="236"/>
    </row>
    <row r="10317" spans="2:4" ht="12.75" customHeight="1" x14ac:dyDescent="0.2">
      <c r="B10317" s="236"/>
      <c r="C10317" s="236"/>
      <c r="D10317" s="236"/>
    </row>
    <row r="10318" spans="2:4" x14ac:dyDescent="0.2">
      <c r="B10318" s="236"/>
      <c r="C10318" s="236"/>
      <c r="D10318" s="236"/>
    </row>
    <row r="10319" spans="2:4" ht="12.75" customHeight="1" x14ac:dyDescent="0.2">
      <c r="B10319" s="236"/>
      <c r="C10319" s="236"/>
      <c r="D10319" s="236"/>
    </row>
    <row r="10320" spans="2:4" ht="12.75" customHeight="1" x14ac:dyDescent="0.2">
      <c r="B10320" s="236"/>
      <c r="C10320" s="236"/>
      <c r="D10320" s="236"/>
    </row>
    <row r="10321" spans="2:4" ht="12.75" customHeight="1" x14ac:dyDescent="0.2">
      <c r="B10321" s="236"/>
      <c r="C10321" s="236"/>
      <c r="D10321" s="236"/>
    </row>
    <row r="10322" spans="2:4" ht="12.75" customHeight="1" x14ac:dyDescent="0.2">
      <c r="B10322" s="236"/>
      <c r="C10322" s="236"/>
      <c r="D10322" s="236"/>
    </row>
    <row r="10323" spans="2:4" ht="12.75" customHeight="1" x14ac:dyDescent="0.2">
      <c r="B10323" s="236"/>
      <c r="C10323" s="236"/>
      <c r="D10323" s="236"/>
    </row>
    <row r="10324" spans="2:4" ht="12.75" customHeight="1" x14ac:dyDescent="0.2">
      <c r="B10324" s="236"/>
      <c r="C10324" s="236"/>
      <c r="D10324" s="236"/>
    </row>
    <row r="10325" spans="2:4" x14ac:dyDescent="0.2">
      <c r="B10325" s="236"/>
      <c r="C10325" s="236"/>
      <c r="D10325" s="236"/>
    </row>
    <row r="10326" spans="2:4" x14ac:dyDescent="0.2">
      <c r="B10326" s="236"/>
      <c r="C10326" s="236"/>
      <c r="D10326" s="236"/>
    </row>
    <row r="10327" spans="2:4" ht="12.75" customHeight="1" x14ac:dyDescent="0.2">
      <c r="B10327" s="236"/>
      <c r="C10327" s="236"/>
      <c r="D10327" s="236"/>
    </row>
    <row r="10328" spans="2:4" x14ac:dyDescent="0.2">
      <c r="B10328" s="236"/>
      <c r="C10328" s="236"/>
      <c r="D10328" s="236"/>
    </row>
    <row r="10329" spans="2:4" ht="12.75" customHeight="1" x14ac:dyDescent="0.2">
      <c r="B10329" s="236"/>
      <c r="C10329" s="236"/>
      <c r="D10329" s="236"/>
    </row>
    <row r="10330" spans="2:4" ht="12.75" customHeight="1" x14ac:dyDescent="0.2">
      <c r="B10330" s="236"/>
      <c r="C10330" s="236"/>
      <c r="D10330" s="236"/>
    </row>
    <row r="10331" spans="2:4" x14ac:dyDescent="0.2">
      <c r="B10331" s="236"/>
      <c r="C10331" s="236"/>
      <c r="D10331" s="236"/>
    </row>
    <row r="10332" spans="2:4" ht="12.75" customHeight="1" x14ac:dyDescent="0.2">
      <c r="B10332" s="236"/>
      <c r="C10332" s="236"/>
      <c r="D10332" s="236"/>
    </row>
    <row r="10333" spans="2:4" ht="12.75" customHeight="1" x14ac:dyDescent="0.2">
      <c r="B10333" s="236"/>
      <c r="C10333" s="236"/>
      <c r="D10333" s="236"/>
    </row>
    <row r="10334" spans="2:4" ht="12.75" customHeight="1" x14ac:dyDescent="0.2">
      <c r="B10334" s="236"/>
      <c r="C10334" s="236"/>
      <c r="D10334" s="236"/>
    </row>
    <row r="10335" spans="2:4" ht="12.75" customHeight="1" x14ac:dyDescent="0.2">
      <c r="B10335" s="236"/>
      <c r="C10335" s="236"/>
      <c r="D10335" s="236"/>
    </row>
    <row r="10336" spans="2:4" ht="12.75" customHeight="1" x14ac:dyDescent="0.2">
      <c r="B10336" s="236"/>
      <c r="C10336" s="236"/>
      <c r="D10336" s="236"/>
    </row>
    <row r="10337" spans="2:4" ht="12.75" customHeight="1" x14ac:dyDescent="0.2">
      <c r="B10337" s="236"/>
      <c r="C10337" s="236"/>
      <c r="D10337" s="236"/>
    </row>
    <row r="10338" spans="2:4" ht="12.75" customHeight="1" x14ac:dyDescent="0.2">
      <c r="B10338" s="236"/>
      <c r="C10338" s="236"/>
      <c r="D10338" s="236"/>
    </row>
    <row r="10339" spans="2:4" ht="12.75" customHeight="1" x14ac:dyDescent="0.2">
      <c r="B10339" s="236"/>
      <c r="C10339" s="236"/>
      <c r="D10339" s="236"/>
    </row>
    <row r="10340" spans="2:4" ht="12.75" customHeight="1" x14ac:dyDescent="0.2">
      <c r="B10340" s="236"/>
      <c r="C10340" s="236"/>
      <c r="D10340" s="236"/>
    </row>
    <row r="10341" spans="2:4" ht="12.75" customHeight="1" x14ac:dyDescent="0.2">
      <c r="B10341" s="236"/>
      <c r="C10341" s="236"/>
      <c r="D10341" s="236"/>
    </row>
    <row r="10342" spans="2:4" ht="12.75" customHeight="1" x14ac:dyDescent="0.2">
      <c r="B10342" s="236"/>
      <c r="C10342" s="236"/>
      <c r="D10342" s="236"/>
    </row>
    <row r="10343" spans="2:4" ht="12.75" customHeight="1" x14ac:dyDescent="0.2">
      <c r="B10343" s="236"/>
      <c r="C10343" s="236"/>
      <c r="D10343" s="236"/>
    </row>
    <row r="10344" spans="2:4" ht="12.75" customHeight="1" x14ac:dyDescent="0.2">
      <c r="B10344" s="236"/>
      <c r="C10344" s="236"/>
      <c r="D10344" s="236"/>
    </row>
    <row r="10345" spans="2:4" ht="12.75" customHeight="1" x14ac:dyDescent="0.2">
      <c r="B10345" s="236"/>
      <c r="C10345" s="236"/>
      <c r="D10345" s="236"/>
    </row>
    <row r="10346" spans="2:4" ht="12.75" customHeight="1" x14ac:dyDescent="0.2">
      <c r="B10346" s="236"/>
      <c r="C10346" s="236"/>
      <c r="D10346" s="236"/>
    </row>
    <row r="10347" spans="2:4" ht="12.75" customHeight="1" x14ac:dyDescent="0.2">
      <c r="B10347" s="236"/>
      <c r="C10347" s="236"/>
      <c r="D10347" s="236"/>
    </row>
    <row r="10348" spans="2:4" ht="12.75" customHeight="1" x14ac:dyDescent="0.2">
      <c r="B10348" s="236"/>
      <c r="C10348" s="236"/>
      <c r="D10348" s="236"/>
    </row>
    <row r="10349" spans="2:4" ht="12.75" customHeight="1" x14ac:dyDescent="0.2">
      <c r="B10349" s="236"/>
      <c r="C10349" s="236"/>
      <c r="D10349" s="236"/>
    </row>
    <row r="10350" spans="2:4" ht="12.75" customHeight="1" x14ac:dyDescent="0.2">
      <c r="B10350" s="236"/>
      <c r="C10350" s="236"/>
      <c r="D10350" s="236"/>
    </row>
    <row r="10351" spans="2:4" ht="12.75" customHeight="1" x14ac:dyDescent="0.2">
      <c r="B10351" s="236"/>
      <c r="C10351" s="236"/>
      <c r="D10351" s="236"/>
    </row>
    <row r="10352" spans="2:4" ht="12.75" customHeight="1" x14ac:dyDescent="0.2">
      <c r="B10352" s="236"/>
      <c r="C10352" s="236"/>
      <c r="D10352" s="236"/>
    </row>
    <row r="10353" spans="2:4" ht="12.75" customHeight="1" x14ac:dyDescent="0.2">
      <c r="B10353" s="236"/>
      <c r="C10353" s="236"/>
      <c r="D10353" s="236"/>
    </row>
    <row r="10354" spans="2:4" ht="12.75" customHeight="1" x14ac:dyDescent="0.2">
      <c r="B10354" s="236"/>
      <c r="C10354" s="236"/>
      <c r="D10354" s="236"/>
    </row>
    <row r="10355" spans="2:4" ht="12.75" customHeight="1" x14ac:dyDescent="0.2">
      <c r="B10355" s="236"/>
      <c r="C10355" s="236"/>
      <c r="D10355" s="236"/>
    </row>
    <row r="10356" spans="2:4" ht="12.75" customHeight="1" x14ac:dyDescent="0.2">
      <c r="B10356" s="236"/>
      <c r="C10356" s="236"/>
      <c r="D10356" s="236"/>
    </row>
    <row r="10357" spans="2:4" ht="12.75" customHeight="1" x14ac:dyDescent="0.2">
      <c r="B10357" s="236"/>
      <c r="C10357" s="236"/>
      <c r="D10357" s="236"/>
    </row>
    <row r="10358" spans="2:4" ht="12.75" customHeight="1" x14ac:dyDescent="0.2">
      <c r="B10358" s="236"/>
      <c r="C10358" s="236"/>
      <c r="D10358" s="236"/>
    </row>
    <row r="10359" spans="2:4" ht="12.75" customHeight="1" x14ac:dyDescent="0.2">
      <c r="B10359" s="236"/>
      <c r="C10359" s="236"/>
      <c r="D10359" s="236"/>
    </row>
    <row r="10360" spans="2:4" ht="12.75" customHeight="1" x14ac:dyDescent="0.2">
      <c r="B10360" s="236"/>
      <c r="C10360" s="236"/>
      <c r="D10360" s="236"/>
    </row>
    <row r="10361" spans="2:4" ht="12.75" customHeight="1" x14ac:dyDescent="0.2">
      <c r="B10361" s="236"/>
      <c r="C10361" s="236"/>
      <c r="D10361" s="236"/>
    </row>
    <row r="10362" spans="2:4" ht="12.75" customHeight="1" x14ac:dyDescent="0.2">
      <c r="B10362" s="236"/>
      <c r="C10362" s="236"/>
      <c r="D10362" s="236"/>
    </row>
    <row r="10363" spans="2:4" ht="12.75" customHeight="1" x14ac:dyDescent="0.2">
      <c r="B10363" s="236"/>
      <c r="C10363" s="236"/>
      <c r="D10363" s="236"/>
    </row>
    <row r="10364" spans="2:4" x14ac:dyDescent="0.2">
      <c r="B10364" s="236"/>
      <c r="C10364" s="236"/>
      <c r="D10364" s="236"/>
    </row>
    <row r="10365" spans="2:4" ht="12.75" customHeight="1" x14ac:dyDescent="0.2">
      <c r="B10365" s="236"/>
      <c r="C10365" s="236"/>
      <c r="D10365" s="236"/>
    </row>
    <row r="10366" spans="2:4" x14ac:dyDescent="0.2">
      <c r="B10366" s="236"/>
      <c r="C10366" s="236"/>
      <c r="D10366" s="236"/>
    </row>
    <row r="10367" spans="2:4" ht="12.75" customHeight="1" x14ac:dyDescent="0.2">
      <c r="B10367" s="236"/>
      <c r="C10367" s="236"/>
      <c r="D10367" s="236"/>
    </row>
    <row r="10368" spans="2:4" x14ac:dyDescent="0.2">
      <c r="B10368" s="236"/>
      <c r="C10368" s="236"/>
      <c r="D10368" s="236"/>
    </row>
    <row r="10369" spans="2:4" ht="12.75" customHeight="1" x14ac:dyDescent="0.2">
      <c r="B10369" s="236"/>
      <c r="C10369" s="236"/>
      <c r="D10369" s="236"/>
    </row>
    <row r="10370" spans="2:4" ht="12.75" customHeight="1" x14ac:dyDescent="0.2">
      <c r="B10370" s="236"/>
      <c r="C10370" s="236"/>
      <c r="D10370" s="236"/>
    </row>
    <row r="10371" spans="2:4" ht="12.75" customHeight="1" x14ac:dyDescent="0.2">
      <c r="B10371" s="236"/>
      <c r="C10371" s="236"/>
      <c r="D10371" s="236"/>
    </row>
    <row r="10372" spans="2:4" ht="12.75" customHeight="1" x14ac:dyDescent="0.2">
      <c r="B10372" s="236"/>
      <c r="C10372" s="236"/>
      <c r="D10372" s="236"/>
    </row>
    <row r="10373" spans="2:4" ht="12.75" customHeight="1" x14ac:dyDescent="0.2">
      <c r="B10373" s="236"/>
      <c r="C10373" s="236"/>
      <c r="D10373" s="236"/>
    </row>
    <row r="10374" spans="2:4" x14ac:dyDescent="0.2">
      <c r="B10374" s="236"/>
      <c r="C10374" s="236"/>
      <c r="D10374" s="236"/>
    </row>
    <row r="10375" spans="2:4" ht="12.75" customHeight="1" x14ac:dyDescent="0.2">
      <c r="B10375" s="236"/>
      <c r="C10375" s="236"/>
      <c r="D10375" s="236"/>
    </row>
    <row r="10376" spans="2:4" x14ac:dyDescent="0.2">
      <c r="B10376" s="236"/>
      <c r="C10376" s="236"/>
      <c r="D10376" s="236"/>
    </row>
    <row r="10377" spans="2:4" ht="12.75" customHeight="1" x14ac:dyDescent="0.2">
      <c r="B10377" s="236"/>
      <c r="C10377" s="236"/>
      <c r="D10377" s="236"/>
    </row>
    <row r="10378" spans="2:4" x14ac:dyDescent="0.2">
      <c r="B10378" s="236"/>
      <c r="C10378" s="236"/>
      <c r="D10378" s="236"/>
    </row>
    <row r="10379" spans="2:4" ht="12.75" customHeight="1" x14ac:dyDescent="0.2">
      <c r="B10379" s="236"/>
      <c r="C10379" s="236"/>
      <c r="D10379" s="236"/>
    </row>
    <row r="10380" spans="2:4" x14ac:dyDescent="0.2">
      <c r="B10380" s="236"/>
      <c r="C10380" s="236"/>
      <c r="D10380" s="236"/>
    </row>
    <row r="10381" spans="2:4" ht="12.75" customHeight="1" x14ac:dyDescent="0.2">
      <c r="B10381" s="236"/>
      <c r="C10381" s="236"/>
      <c r="D10381" s="236"/>
    </row>
    <row r="10382" spans="2:4" x14ac:dyDescent="0.2">
      <c r="B10382" s="236"/>
      <c r="C10382" s="236"/>
      <c r="D10382" s="236"/>
    </row>
    <row r="10383" spans="2:4" ht="12.75" customHeight="1" x14ac:dyDescent="0.2">
      <c r="B10383" s="236"/>
      <c r="C10383" s="236"/>
      <c r="D10383" s="236"/>
    </row>
    <row r="10384" spans="2:4" x14ac:dyDescent="0.2">
      <c r="B10384" s="236"/>
      <c r="C10384" s="236"/>
      <c r="D10384" s="236"/>
    </row>
    <row r="10385" spans="2:4" ht="12.75" customHeight="1" x14ac:dyDescent="0.2">
      <c r="B10385" s="236"/>
      <c r="C10385" s="236"/>
      <c r="D10385" s="236"/>
    </row>
    <row r="10386" spans="2:4" ht="12.75" customHeight="1" x14ac:dyDescent="0.2">
      <c r="B10386" s="236"/>
      <c r="C10386" s="236"/>
      <c r="D10386" s="236"/>
    </row>
    <row r="10387" spans="2:4" ht="12.75" customHeight="1" x14ac:dyDescent="0.2">
      <c r="B10387" s="236"/>
      <c r="C10387" s="236"/>
      <c r="D10387" s="236"/>
    </row>
    <row r="10388" spans="2:4" ht="12.75" customHeight="1" x14ac:dyDescent="0.2">
      <c r="B10388" s="236"/>
      <c r="C10388" s="236"/>
      <c r="D10388" s="236"/>
    </row>
    <row r="10389" spans="2:4" ht="12.75" customHeight="1" x14ac:dyDescent="0.2">
      <c r="B10389" s="236"/>
      <c r="C10389" s="236"/>
      <c r="D10389" s="236"/>
    </row>
    <row r="10390" spans="2:4" ht="12.75" customHeight="1" x14ac:dyDescent="0.2">
      <c r="B10390" s="236"/>
      <c r="C10390" s="236"/>
      <c r="D10390" s="236"/>
    </row>
    <row r="10391" spans="2:4" ht="12.75" customHeight="1" x14ac:dyDescent="0.2">
      <c r="B10391" s="236"/>
      <c r="C10391" s="236"/>
      <c r="D10391" s="236"/>
    </row>
    <row r="10392" spans="2:4" x14ac:dyDescent="0.2">
      <c r="B10392" s="236"/>
      <c r="C10392" s="236"/>
      <c r="D10392" s="236"/>
    </row>
    <row r="10393" spans="2:4" ht="12.75" customHeight="1" x14ac:dyDescent="0.2">
      <c r="B10393" s="236"/>
      <c r="C10393" s="236"/>
      <c r="D10393" s="236"/>
    </row>
    <row r="10394" spans="2:4" ht="12.75" customHeight="1" x14ac:dyDescent="0.2">
      <c r="B10394" s="236"/>
      <c r="C10394" s="236"/>
      <c r="D10394" s="236"/>
    </row>
    <row r="10395" spans="2:4" ht="12.75" customHeight="1" x14ac:dyDescent="0.2">
      <c r="B10395" s="236"/>
      <c r="C10395" s="236"/>
      <c r="D10395" s="236"/>
    </row>
    <row r="10396" spans="2:4" ht="12.75" customHeight="1" x14ac:dyDescent="0.2">
      <c r="B10396" s="236"/>
      <c r="C10396" s="236"/>
      <c r="D10396" s="236"/>
    </row>
    <row r="10397" spans="2:4" ht="12.75" customHeight="1" x14ac:dyDescent="0.2">
      <c r="B10397" s="236"/>
      <c r="C10397" s="236"/>
      <c r="D10397" s="236"/>
    </row>
    <row r="10398" spans="2:4" x14ac:dyDescent="0.2">
      <c r="B10398" s="236"/>
      <c r="C10398" s="236"/>
      <c r="D10398" s="236"/>
    </row>
    <row r="10399" spans="2:4" ht="12.75" customHeight="1" x14ac:dyDescent="0.2">
      <c r="B10399" s="236"/>
      <c r="C10399" s="236"/>
      <c r="D10399" s="236"/>
    </row>
    <row r="10400" spans="2:4" ht="12.75" customHeight="1" x14ac:dyDescent="0.2">
      <c r="B10400" s="236"/>
      <c r="C10400" s="236"/>
      <c r="D10400" s="236"/>
    </row>
    <row r="10401" spans="2:4" ht="12.75" customHeight="1" x14ac:dyDescent="0.2">
      <c r="B10401" s="236"/>
      <c r="C10401" s="236"/>
      <c r="D10401" s="236"/>
    </row>
    <row r="10402" spans="2:4" ht="12.75" customHeight="1" x14ac:dyDescent="0.2">
      <c r="B10402" s="236"/>
      <c r="C10402" s="236"/>
      <c r="D10402" s="236"/>
    </row>
    <row r="10403" spans="2:4" ht="12.75" customHeight="1" x14ac:dyDescent="0.2">
      <c r="B10403" s="236"/>
      <c r="C10403" s="236"/>
      <c r="D10403" s="236"/>
    </row>
    <row r="10404" spans="2:4" ht="12.75" customHeight="1" x14ac:dyDescent="0.2">
      <c r="B10404" s="236"/>
      <c r="C10404" s="236"/>
      <c r="D10404" s="236"/>
    </row>
    <row r="10405" spans="2:4" ht="12.75" customHeight="1" x14ac:dyDescent="0.2">
      <c r="B10405" s="236"/>
      <c r="C10405" s="236"/>
      <c r="D10405" s="236"/>
    </row>
    <row r="10406" spans="2:4" x14ac:dyDescent="0.2">
      <c r="B10406" s="236"/>
      <c r="C10406" s="236"/>
      <c r="D10406" s="236"/>
    </row>
    <row r="10407" spans="2:4" ht="12.75" customHeight="1" x14ac:dyDescent="0.2">
      <c r="B10407" s="236"/>
      <c r="C10407" s="236"/>
      <c r="D10407" s="236"/>
    </row>
    <row r="10408" spans="2:4" x14ac:dyDescent="0.2">
      <c r="B10408" s="236"/>
      <c r="C10408" s="236"/>
      <c r="D10408" s="236"/>
    </row>
    <row r="10409" spans="2:4" ht="12.75" customHeight="1" x14ac:dyDescent="0.2">
      <c r="B10409" s="236"/>
      <c r="C10409" s="236"/>
      <c r="D10409" s="236"/>
    </row>
    <row r="10410" spans="2:4" x14ac:dyDescent="0.2">
      <c r="B10410" s="236"/>
      <c r="C10410" s="236"/>
      <c r="D10410" s="236"/>
    </row>
    <row r="10411" spans="2:4" ht="12.75" customHeight="1" x14ac:dyDescent="0.2">
      <c r="B10411" s="236"/>
      <c r="C10411" s="236"/>
      <c r="D10411" s="236"/>
    </row>
    <row r="10412" spans="2:4" ht="12.75" customHeight="1" x14ac:dyDescent="0.2">
      <c r="B10412" s="236"/>
      <c r="C10412" s="236"/>
      <c r="D10412" s="236"/>
    </row>
    <row r="10413" spans="2:4" ht="12.75" customHeight="1" x14ac:dyDescent="0.2">
      <c r="B10413" s="236"/>
      <c r="C10413" s="236"/>
      <c r="D10413" s="236"/>
    </row>
    <row r="10414" spans="2:4" x14ac:dyDescent="0.2">
      <c r="B10414" s="236"/>
      <c r="C10414" s="236"/>
      <c r="D10414" s="236"/>
    </row>
    <row r="10415" spans="2:4" x14ac:dyDescent="0.2">
      <c r="B10415" s="236"/>
      <c r="C10415" s="236"/>
      <c r="D10415" s="236"/>
    </row>
    <row r="10416" spans="2:4" ht="12.75" customHeight="1" x14ac:dyDescent="0.2">
      <c r="B10416" s="236"/>
      <c r="C10416" s="236"/>
      <c r="D10416" s="236"/>
    </row>
    <row r="10417" spans="2:4" ht="12.75" customHeight="1" x14ac:dyDescent="0.2">
      <c r="B10417" s="236"/>
      <c r="C10417" s="236"/>
      <c r="D10417" s="236"/>
    </row>
    <row r="10418" spans="2:4" ht="12.75" customHeight="1" x14ac:dyDescent="0.2">
      <c r="B10418" s="236"/>
      <c r="C10418" s="236"/>
      <c r="D10418" s="236"/>
    </row>
    <row r="10419" spans="2:4" ht="12.75" customHeight="1" x14ac:dyDescent="0.2">
      <c r="B10419" s="236"/>
      <c r="C10419" s="236"/>
      <c r="D10419" s="236"/>
    </row>
    <row r="10420" spans="2:4" ht="12.75" customHeight="1" x14ac:dyDescent="0.2">
      <c r="B10420" s="236"/>
      <c r="C10420" s="236"/>
      <c r="D10420" s="236"/>
    </row>
    <row r="10421" spans="2:4" ht="12.75" customHeight="1" x14ac:dyDescent="0.2">
      <c r="B10421" s="236"/>
      <c r="C10421" s="236"/>
      <c r="D10421" s="236"/>
    </row>
    <row r="10422" spans="2:4" ht="12.75" customHeight="1" x14ac:dyDescent="0.2">
      <c r="B10422" s="236"/>
      <c r="C10422" s="236"/>
      <c r="D10422" s="236"/>
    </row>
    <row r="10423" spans="2:4" ht="12.75" customHeight="1" x14ac:dyDescent="0.2">
      <c r="B10423" s="236"/>
      <c r="C10423" s="236"/>
      <c r="D10423" s="236"/>
    </row>
    <row r="10424" spans="2:4" ht="12.75" customHeight="1" x14ac:dyDescent="0.2">
      <c r="B10424" s="236"/>
      <c r="C10424" s="236"/>
      <c r="D10424" s="236"/>
    </row>
    <row r="10425" spans="2:4" ht="12.75" customHeight="1" x14ac:dyDescent="0.2">
      <c r="B10425" s="236"/>
      <c r="C10425" s="236"/>
      <c r="D10425" s="236"/>
    </row>
    <row r="10426" spans="2:4" ht="12.75" customHeight="1" x14ac:dyDescent="0.2">
      <c r="B10426" s="236"/>
      <c r="C10426" s="236"/>
      <c r="D10426" s="236"/>
    </row>
    <row r="10427" spans="2:4" ht="12.75" customHeight="1" x14ac:dyDescent="0.2">
      <c r="B10427" s="236"/>
      <c r="C10427" s="236"/>
      <c r="D10427" s="236"/>
    </row>
    <row r="10428" spans="2:4" ht="12.75" customHeight="1" x14ac:dyDescent="0.2">
      <c r="B10428" s="236"/>
      <c r="C10428" s="236"/>
      <c r="D10428" s="236"/>
    </row>
    <row r="10429" spans="2:4" ht="12.75" customHeight="1" x14ac:dyDescent="0.2">
      <c r="B10429" s="236"/>
      <c r="C10429" s="236"/>
      <c r="D10429" s="236"/>
    </row>
    <row r="10430" spans="2:4" ht="12.75" customHeight="1" x14ac:dyDescent="0.2">
      <c r="B10430" s="236"/>
      <c r="C10430" s="236"/>
      <c r="D10430" s="236"/>
    </row>
    <row r="10431" spans="2:4" x14ac:dyDescent="0.2">
      <c r="B10431" s="236"/>
      <c r="C10431" s="236"/>
      <c r="D10431" s="236"/>
    </row>
    <row r="10432" spans="2:4" ht="12.75" customHeight="1" x14ac:dyDescent="0.2">
      <c r="B10432" s="236"/>
      <c r="C10432" s="236"/>
      <c r="D10432" s="236"/>
    </row>
    <row r="10433" spans="2:4" ht="12.75" customHeight="1" x14ac:dyDescent="0.2">
      <c r="B10433" s="236"/>
      <c r="C10433" s="236"/>
      <c r="D10433" s="236"/>
    </row>
    <row r="10434" spans="2:4" ht="12.75" customHeight="1" x14ac:dyDescent="0.2">
      <c r="B10434" s="236"/>
      <c r="C10434" s="236"/>
      <c r="D10434" s="236"/>
    </row>
    <row r="10435" spans="2:4" ht="12.75" customHeight="1" x14ac:dyDescent="0.2">
      <c r="B10435" s="236"/>
      <c r="C10435" s="236"/>
      <c r="D10435" s="236"/>
    </row>
    <row r="10436" spans="2:4" x14ac:dyDescent="0.2">
      <c r="B10436" s="236"/>
      <c r="C10436" s="236"/>
      <c r="D10436" s="236"/>
    </row>
    <row r="10437" spans="2:4" ht="12.75" customHeight="1" x14ac:dyDescent="0.2">
      <c r="B10437" s="236"/>
      <c r="C10437" s="236"/>
      <c r="D10437" s="236"/>
    </row>
    <row r="10438" spans="2:4" ht="12.75" customHeight="1" x14ac:dyDescent="0.2">
      <c r="B10438" s="236"/>
      <c r="C10438" s="236"/>
      <c r="D10438" s="236"/>
    </row>
    <row r="10439" spans="2:4" ht="12.75" customHeight="1" x14ac:dyDescent="0.2">
      <c r="B10439" s="236"/>
      <c r="C10439" s="236"/>
      <c r="D10439" s="236"/>
    </row>
    <row r="10440" spans="2:4" ht="12.75" customHeight="1" x14ac:dyDescent="0.2">
      <c r="B10440" s="236"/>
      <c r="C10440" s="236"/>
      <c r="D10440" s="236"/>
    </row>
    <row r="10441" spans="2:4" ht="12.75" customHeight="1" x14ac:dyDescent="0.2">
      <c r="B10441" s="236"/>
      <c r="C10441" s="236"/>
      <c r="D10441" s="236"/>
    </row>
    <row r="10442" spans="2:4" ht="12.75" customHeight="1" x14ac:dyDescent="0.2">
      <c r="B10442" s="236"/>
      <c r="C10442" s="236"/>
      <c r="D10442" s="236"/>
    </row>
    <row r="10443" spans="2:4" ht="12.75" customHeight="1" x14ac:dyDescent="0.2">
      <c r="B10443" s="236"/>
      <c r="C10443" s="236"/>
      <c r="D10443" s="236"/>
    </row>
    <row r="10444" spans="2:4" ht="12.75" customHeight="1" x14ac:dyDescent="0.2">
      <c r="B10444" s="236"/>
      <c r="C10444" s="236"/>
      <c r="D10444" s="236"/>
    </row>
    <row r="10445" spans="2:4" ht="12.75" customHeight="1" x14ac:dyDescent="0.2">
      <c r="B10445" s="236"/>
      <c r="C10445" s="236"/>
      <c r="D10445" s="236"/>
    </row>
    <row r="10446" spans="2:4" ht="12.75" customHeight="1" x14ac:dyDescent="0.2">
      <c r="B10446" s="236"/>
      <c r="C10446" s="236"/>
      <c r="D10446" s="236"/>
    </row>
    <row r="10447" spans="2:4" x14ac:dyDescent="0.2">
      <c r="B10447" s="236"/>
      <c r="C10447" s="236"/>
      <c r="D10447" s="236"/>
    </row>
    <row r="10448" spans="2:4" ht="12.75" customHeight="1" x14ac:dyDescent="0.2">
      <c r="B10448" s="236"/>
      <c r="C10448" s="236"/>
      <c r="D10448" s="236"/>
    </row>
    <row r="10449" spans="2:4" ht="12.75" customHeight="1" x14ac:dyDescent="0.2">
      <c r="B10449" s="236"/>
      <c r="C10449" s="236"/>
      <c r="D10449" s="236"/>
    </row>
    <row r="10450" spans="2:4" ht="12.75" customHeight="1" x14ac:dyDescent="0.2">
      <c r="B10450" s="236"/>
      <c r="C10450" s="236"/>
      <c r="D10450" s="236"/>
    </row>
    <row r="10451" spans="2:4" ht="12.75" customHeight="1" x14ac:dyDescent="0.2">
      <c r="B10451" s="236"/>
      <c r="C10451" s="236"/>
      <c r="D10451" s="236"/>
    </row>
    <row r="10452" spans="2:4" ht="12.75" customHeight="1" x14ac:dyDescent="0.2">
      <c r="B10452" s="236"/>
      <c r="C10452" s="236"/>
      <c r="D10452" s="236"/>
    </row>
    <row r="10453" spans="2:4" ht="12.75" customHeight="1" x14ac:dyDescent="0.2">
      <c r="B10453" s="236"/>
      <c r="C10453" s="236"/>
      <c r="D10453" s="236"/>
    </row>
    <row r="10454" spans="2:4" ht="12.75" customHeight="1" x14ac:dyDescent="0.2">
      <c r="B10454" s="236"/>
      <c r="C10454" s="236"/>
      <c r="D10454" s="236"/>
    </row>
    <row r="10455" spans="2:4" ht="12.75" customHeight="1" x14ac:dyDescent="0.2">
      <c r="B10455" s="236"/>
      <c r="C10455" s="236"/>
      <c r="D10455" s="236"/>
    </row>
    <row r="10456" spans="2:4" ht="12.75" customHeight="1" x14ac:dyDescent="0.2">
      <c r="B10456" s="236"/>
      <c r="C10456" s="236"/>
      <c r="D10456" s="236"/>
    </row>
    <row r="10457" spans="2:4" x14ac:dyDescent="0.2">
      <c r="B10457" s="236"/>
      <c r="C10457" s="236"/>
      <c r="D10457" s="236"/>
    </row>
    <row r="10458" spans="2:4" ht="12.75" customHeight="1" x14ac:dyDescent="0.2">
      <c r="B10458" s="236"/>
      <c r="C10458" s="236"/>
      <c r="D10458" s="236"/>
    </row>
    <row r="10459" spans="2:4" x14ac:dyDescent="0.2">
      <c r="B10459" s="236"/>
      <c r="C10459" s="236"/>
      <c r="D10459" s="236"/>
    </row>
    <row r="10460" spans="2:4" ht="12.75" customHeight="1" x14ac:dyDescent="0.2">
      <c r="B10460" s="236"/>
      <c r="C10460" s="236"/>
      <c r="D10460" s="236"/>
    </row>
    <row r="10461" spans="2:4" x14ac:dyDescent="0.2">
      <c r="B10461" s="236"/>
      <c r="C10461" s="236"/>
      <c r="D10461" s="236"/>
    </row>
    <row r="10462" spans="2:4" ht="12.75" customHeight="1" x14ac:dyDescent="0.2">
      <c r="B10462" s="236"/>
      <c r="C10462" s="236"/>
      <c r="D10462" s="236"/>
    </row>
    <row r="10463" spans="2:4" x14ac:dyDescent="0.2">
      <c r="B10463" s="236"/>
      <c r="C10463" s="236"/>
      <c r="D10463" s="236"/>
    </row>
    <row r="10464" spans="2:4" ht="12.75" customHeight="1" x14ac:dyDescent="0.2">
      <c r="B10464" s="236"/>
      <c r="C10464" s="236"/>
      <c r="D10464" s="236"/>
    </row>
    <row r="10465" spans="2:4" x14ac:dyDescent="0.2">
      <c r="B10465" s="236"/>
      <c r="C10465" s="236"/>
      <c r="D10465" s="236"/>
    </row>
    <row r="10466" spans="2:4" ht="12.75" customHeight="1" x14ac:dyDescent="0.2">
      <c r="B10466" s="236"/>
      <c r="C10466" s="236"/>
      <c r="D10466" s="236"/>
    </row>
    <row r="10467" spans="2:4" ht="12.75" customHeight="1" x14ac:dyDescent="0.2">
      <c r="B10467" s="236"/>
      <c r="C10467" s="236"/>
      <c r="D10467" s="236"/>
    </row>
    <row r="10468" spans="2:4" ht="12.75" customHeight="1" x14ac:dyDescent="0.2">
      <c r="B10468" s="236"/>
      <c r="C10468" s="236"/>
      <c r="D10468" s="236"/>
    </row>
    <row r="10469" spans="2:4" ht="12.75" customHeight="1" x14ac:dyDescent="0.2">
      <c r="B10469" s="236"/>
      <c r="C10469" s="236"/>
      <c r="D10469" s="236"/>
    </row>
    <row r="10470" spans="2:4" x14ac:dyDescent="0.2">
      <c r="B10470" s="236"/>
      <c r="C10470" s="236"/>
      <c r="D10470" s="236"/>
    </row>
    <row r="10471" spans="2:4" ht="12.75" customHeight="1" x14ac:dyDescent="0.2">
      <c r="B10471" s="236"/>
      <c r="C10471" s="236"/>
      <c r="D10471" s="236"/>
    </row>
    <row r="10472" spans="2:4" x14ac:dyDescent="0.2">
      <c r="B10472" s="236"/>
      <c r="C10472" s="236"/>
      <c r="D10472" s="236"/>
    </row>
    <row r="10473" spans="2:4" ht="12.75" customHeight="1" x14ac:dyDescent="0.2">
      <c r="B10473" s="236"/>
      <c r="C10473" s="236"/>
      <c r="D10473" s="236"/>
    </row>
    <row r="10474" spans="2:4" x14ac:dyDescent="0.2">
      <c r="B10474" s="236"/>
      <c r="C10474" s="236"/>
      <c r="D10474" s="236"/>
    </row>
    <row r="10475" spans="2:4" ht="12.75" customHeight="1" x14ac:dyDescent="0.2">
      <c r="B10475" s="236"/>
      <c r="C10475" s="236"/>
      <c r="D10475" s="236"/>
    </row>
    <row r="10476" spans="2:4" ht="12.75" customHeight="1" x14ac:dyDescent="0.2">
      <c r="B10476" s="236"/>
      <c r="C10476" s="236"/>
      <c r="D10476" s="236"/>
    </row>
    <row r="10477" spans="2:4" ht="12.75" customHeight="1" x14ac:dyDescent="0.2">
      <c r="B10477" s="236"/>
      <c r="C10477" s="236"/>
      <c r="D10477" s="236"/>
    </row>
    <row r="10478" spans="2:4" ht="12.75" customHeight="1" x14ac:dyDescent="0.2">
      <c r="B10478" s="236"/>
      <c r="C10478" s="236"/>
      <c r="D10478" s="236"/>
    </row>
    <row r="10479" spans="2:4" ht="12.75" customHeight="1" x14ac:dyDescent="0.2">
      <c r="B10479" s="236"/>
      <c r="C10479" s="236"/>
      <c r="D10479" s="236"/>
    </row>
    <row r="10480" spans="2:4" ht="12.75" customHeight="1" x14ac:dyDescent="0.2">
      <c r="B10480" s="236"/>
      <c r="C10480" s="236"/>
      <c r="D10480" s="236"/>
    </row>
    <row r="10481" spans="2:4" ht="12.75" customHeight="1" x14ac:dyDescent="0.2">
      <c r="B10481" s="236"/>
      <c r="C10481" s="236"/>
      <c r="D10481" s="236"/>
    </row>
    <row r="10482" spans="2:4" ht="12.75" customHeight="1" x14ac:dyDescent="0.2">
      <c r="B10482" s="236"/>
      <c r="C10482" s="236"/>
      <c r="D10482" s="236"/>
    </row>
    <row r="10483" spans="2:4" ht="12.75" customHeight="1" x14ac:dyDescent="0.2">
      <c r="B10483" s="236"/>
      <c r="C10483" s="236"/>
      <c r="D10483" s="236"/>
    </row>
    <row r="10484" spans="2:4" ht="12.75" customHeight="1" x14ac:dyDescent="0.2">
      <c r="B10484" s="236"/>
      <c r="C10484" s="236"/>
      <c r="D10484" s="236"/>
    </row>
    <row r="10485" spans="2:4" ht="12.75" customHeight="1" x14ac:dyDescent="0.2">
      <c r="B10485" s="236"/>
      <c r="C10485" s="236"/>
      <c r="D10485" s="236"/>
    </row>
    <row r="10486" spans="2:4" ht="12.75" customHeight="1" x14ac:dyDescent="0.2">
      <c r="B10486" s="236"/>
      <c r="C10486" s="236"/>
      <c r="D10486" s="236"/>
    </row>
    <row r="10487" spans="2:4" ht="12.75" customHeight="1" x14ac:dyDescent="0.2">
      <c r="B10487" s="236"/>
      <c r="C10487" s="236"/>
      <c r="D10487" s="236"/>
    </row>
    <row r="10488" spans="2:4" ht="12.75" customHeight="1" x14ac:dyDescent="0.2">
      <c r="B10488" s="236"/>
      <c r="C10488" s="236"/>
      <c r="D10488" s="236"/>
    </row>
    <row r="10489" spans="2:4" ht="12.75" customHeight="1" x14ac:dyDescent="0.2">
      <c r="B10489" s="236"/>
      <c r="C10489" s="236"/>
      <c r="D10489" s="236"/>
    </row>
    <row r="10490" spans="2:4" ht="12.75" customHeight="1" x14ac:dyDescent="0.2">
      <c r="B10490" s="236"/>
      <c r="C10490" s="236"/>
      <c r="D10490" s="236"/>
    </row>
    <row r="10491" spans="2:4" ht="12.75" customHeight="1" x14ac:dyDescent="0.2">
      <c r="B10491" s="236"/>
      <c r="C10491" s="236"/>
      <c r="D10491" s="236"/>
    </row>
    <row r="10492" spans="2:4" ht="12.75" customHeight="1" x14ac:dyDescent="0.2">
      <c r="B10492" s="236"/>
      <c r="C10492" s="236"/>
      <c r="D10492" s="236"/>
    </row>
    <row r="10493" spans="2:4" ht="12.75" customHeight="1" x14ac:dyDescent="0.2">
      <c r="B10493" s="236"/>
      <c r="C10493" s="236"/>
      <c r="D10493" s="236"/>
    </row>
    <row r="10494" spans="2:4" x14ac:dyDescent="0.2">
      <c r="B10494" s="236"/>
      <c r="C10494" s="236"/>
      <c r="D10494" s="236"/>
    </row>
    <row r="10495" spans="2:4" ht="12.75" customHeight="1" x14ac:dyDescent="0.2">
      <c r="B10495" s="236"/>
      <c r="C10495" s="236"/>
      <c r="D10495" s="236"/>
    </row>
    <row r="10496" spans="2:4" ht="12.75" customHeight="1" x14ac:dyDescent="0.2">
      <c r="B10496" s="236"/>
      <c r="C10496" s="236"/>
      <c r="D10496" s="236"/>
    </row>
    <row r="10497" spans="2:4" x14ac:dyDescent="0.2">
      <c r="B10497" s="236"/>
      <c r="C10497" s="236"/>
      <c r="D10497" s="236"/>
    </row>
    <row r="10498" spans="2:4" x14ac:dyDescent="0.2">
      <c r="B10498" s="236"/>
      <c r="C10498" s="236"/>
      <c r="D10498" s="236"/>
    </row>
    <row r="10499" spans="2:4" ht="12.75" customHeight="1" x14ac:dyDescent="0.2">
      <c r="B10499" s="236"/>
      <c r="C10499" s="236"/>
      <c r="D10499" s="236"/>
    </row>
    <row r="10500" spans="2:4" ht="12.75" customHeight="1" x14ac:dyDescent="0.2">
      <c r="B10500" s="236"/>
      <c r="C10500" s="236"/>
      <c r="D10500" s="236"/>
    </row>
    <row r="10501" spans="2:4" x14ac:dyDescent="0.2">
      <c r="B10501" s="236"/>
      <c r="C10501" s="236"/>
      <c r="D10501" s="236"/>
    </row>
    <row r="10502" spans="2:4" ht="12.75" customHeight="1" x14ac:dyDescent="0.2">
      <c r="B10502" s="236"/>
      <c r="C10502" s="236"/>
      <c r="D10502" s="236"/>
    </row>
    <row r="10503" spans="2:4" ht="12.75" customHeight="1" x14ac:dyDescent="0.2">
      <c r="B10503" s="236"/>
      <c r="C10503" s="236"/>
      <c r="D10503" s="236"/>
    </row>
    <row r="10504" spans="2:4" ht="12.75" customHeight="1" x14ac:dyDescent="0.2">
      <c r="B10504" s="236"/>
      <c r="C10504" s="236"/>
      <c r="D10504" s="236"/>
    </row>
    <row r="10505" spans="2:4" ht="12.75" customHeight="1" x14ac:dyDescent="0.2">
      <c r="B10505" s="236"/>
      <c r="C10505" s="236"/>
      <c r="D10505" s="236"/>
    </row>
    <row r="10506" spans="2:4" ht="12.75" customHeight="1" x14ac:dyDescent="0.2">
      <c r="B10506" s="236"/>
      <c r="C10506" s="236"/>
      <c r="D10506" s="236"/>
    </row>
    <row r="10507" spans="2:4" ht="12.75" customHeight="1" x14ac:dyDescent="0.2">
      <c r="B10507" s="236"/>
      <c r="C10507" s="236"/>
      <c r="D10507" s="236"/>
    </row>
    <row r="10508" spans="2:4" ht="12.75" customHeight="1" x14ac:dyDescent="0.2">
      <c r="B10508" s="236"/>
      <c r="C10508" s="236"/>
      <c r="D10508" s="236"/>
    </row>
    <row r="10509" spans="2:4" ht="12.75" customHeight="1" x14ac:dyDescent="0.2">
      <c r="B10509" s="236"/>
      <c r="C10509" s="236"/>
      <c r="D10509" s="236"/>
    </row>
    <row r="10510" spans="2:4" ht="12.75" customHeight="1" x14ac:dyDescent="0.2">
      <c r="B10510" s="236"/>
      <c r="C10510" s="236"/>
      <c r="D10510" s="236"/>
    </row>
    <row r="10511" spans="2:4" ht="12.75" customHeight="1" x14ac:dyDescent="0.2">
      <c r="B10511" s="236"/>
      <c r="C10511" s="236"/>
      <c r="D10511" s="236"/>
    </row>
    <row r="10512" spans="2:4" ht="12.75" customHeight="1" x14ac:dyDescent="0.2">
      <c r="B10512" s="236"/>
      <c r="C10512" s="236"/>
      <c r="D10512" s="236"/>
    </row>
    <row r="10513" spans="2:4" ht="12.75" customHeight="1" x14ac:dyDescent="0.2">
      <c r="B10513" s="236"/>
      <c r="C10513" s="236"/>
      <c r="D10513" s="236"/>
    </row>
    <row r="10514" spans="2:4" x14ac:dyDescent="0.2">
      <c r="B10514" s="236"/>
      <c r="C10514" s="236"/>
      <c r="D10514" s="236"/>
    </row>
    <row r="10515" spans="2:4" ht="12.75" customHeight="1" x14ac:dyDescent="0.2">
      <c r="B10515" s="236"/>
      <c r="C10515" s="236"/>
      <c r="D10515" s="236"/>
    </row>
    <row r="10516" spans="2:4" x14ac:dyDescent="0.2">
      <c r="B10516" s="236"/>
      <c r="C10516" s="236"/>
      <c r="D10516" s="236"/>
    </row>
    <row r="10517" spans="2:4" ht="12.75" customHeight="1" x14ac:dyDescent="0.2">
      <c r="B10517" s="236"/>
      <c r="C10517" s="236"/>
      <c r="D10517" s="236"/>
    </row>
    <row r="10518" spans="2:4" x14ac:dyDescent="0.2">
      <c r="B10518" s="236"/>
      <c r="C10518" s="236"/>
      <c r="D10518" s="236"/>
    </row>
    <row r="10519" spans="2:4" ht="12.75" customHeight="1" x14ac:dyDescent="0.2">
      <c r="B10519" s="236"/>
      <c r="C10519" s="236"/>
      <c r="D10519" s="236"/>
    </row>
    <row r="10520" spans="2:4" ht="12.75" customHeight="1" x14ac:dyDescent="0.2">
      <c r="B10520" s="236"/>
      <c r="C10520" s="236"/>
      <c r="D10520" s="236"/>
    </row>
    <row r="10521" spans="2:4" ht="12.75" customHeight="1" x14ac:dyDescent="0.2">
      <c r="B10521" s="236"/>
      <c r="C10521" s="236"/>
      <c r="D10521" s="236"/>
    </row>
    <row r="10522" spans="2:4" ht="12.75" customHeight="1" x14ac:dyDescent="0.2">
      <c r="B10522" s="236"/>
      <c r="C10522" s="236"/>
      <c r="D10522" s="236"/>
    </row>
    <row r="10523" spans="2:4" ht="12.75" customHeight="1" x14ac:dyDescent="0.2">
      <c r="B10523" s="236"/>
      <c r="C10523" s="236"/>
      <c r="D10523" s="236"/>
    </row>
    <row r="10524" spans="2:4" ht="12.75" customHeight="1" x14ac:dyDescent="0.2">
      <c r="B10524" s="236"/>
      <c r="C10524" s="236"/>
      <c r="D10524" s="236"/>
    </row>
    <row r="10525" spans="2:4" ht="12.75" customHeight="1" x14ac:dyDescent="0.2">
      <c r="B10525" s="236"/>
      <c r="C10525" s="236"/>
      <c r="D10525" s="236"/>
    </row>
    <row r="10526" spans="2:4" ht="12.75" customHeight="1" x14ac:dyDescent="0.2">
      <c r="B10526" s="236"/>
      <c r="C10526" s="236"/>
      <c r="D10526" s="236"/>
    </row>
    <row r="10527" spans="2:4" ht="12.75" customHeight="1" x14ac:dyDescent="0.2">
      <c r="B10527" s="236"/>
      <c r="C10527" s="236"/>
      <c r="D10527" s="236"/>
    </row>
    <row r="10528" spans="2:4" x14ac:dyDescent="0.2">
      <c r="B10528" s="236"/>
      <c r="C10528" s="236"/>
      <c r="D10528" s="236"/>
    </row>
    <row r="10529" spans="2:4" ht="12.75" customHeight="1" x14ac:dyDescent="0.2">
      <c r="B10529" s="236"/>
      <c r="C10529" s="236"/>
      <c r="D10529" s="236"/>
    </row>
    <row r="10530" spans="2:4" x14ac:dyDescent="0.2">
      <c r="B10530" s="236"/>
      <c r="C10530" s="236"/>
      <c r="D10530" s="236"/>
    </row>
    <row r="10531" spans="2:4" ht="12.75" customHeight="1" x14ac:dyDescent="0.2">
      <c r="B10531" s="236"/>
      <c r="C10531" s="236"/>
      <c r="D10531" s="236"/>
    </row>
    <row r="10532" spans="2:4" ht="12.75" customHeight="1" x14ac:dyDescent="0.2">
      <c r="B10532" s="236"/>
      <c r="C10532" s="236"/>
      <c r="D10532" s="236"/>
    </row>
    <row r="10533" spans="2:4" ht="12.75" customHeight="1" x14ac:dyDescent="0.2">
      <c r="B10533" s="236"/>
      <c r="C10533" s="236"/>
      <c r="D10533" s="236"/>
    </row>
    <row r="10534" spans="2:4" x14ac:dyDescent="0.2">
      <c r="B10534" s="236"/>
      <c r="C10534" s="236"/>
      <c r="D10534" s="236"/>
    </row>
    <row r="10535" spans="2:4" ht="12.75" customHeight="1" x14ac:dyDescent="0.2">
      <c r="B10535" s="236"/>
      <c r="C10535" s="236"/>
      <c r="D10535" s="236"/>
    </row>
    <row r="10536" spans="2:4" x14ac:dyDescent="0.2">
      <c r="B10536" s="236"/>
      <c r="C10536" s="236"/>
      <c r="D10536" s="236"/>
    </row>
    <row r="10537" spans="2:4" ht="12.75" customHeight="1" x14ac:dyDescent="0.2">
      <c r="B10537" s="236"/>
      <c r="C10537" s="236"/>
      <c r="D10537" s="236"/>
    </row>
    <row r="10538" spans="2:4" ht="12.75" customHeight="1" x14ac:dyDescent="0.2">
      <c r="B10538" s="236"/>
      <c r="C10538" s="236"/>
      <c r="D10538" s="236"/>
    </row>
    <row r="10539" spans="2:4" ht="12.75" customHeight="1" x14ac:dyDescent="0.2">
      <c r="B10539" s="236"/>
      <c r="C10539" s="236"/>
      <c r="D10539" s="236"/>
    </row>
    <row r="10540" spans="2:4" ht="12.75" customHeight="1" x14ac:dyDescent="0.2">
      <c r="B10540" s="236"/>
      <c r="C10540" s="236"/>
      <c r="D10540" s="236"/>
    </row>
    <row r="10541" spans="2:4" ht="12.75" customHeight="1" x14ac:dyDescent="0.2">
      <c r="B10541" s="236"/>
      <c r="C10541" s="236"/>
      <c r="D10541" s="236"/>
    </row>
    <row r="10542" spans="2:4" ht="12.75" customHeight="1" x14ac:dyDescent="0.2">
      <c r="B10542" s="236"/>
      <c r="C10542" s="236"/>
      <c r="D10542" s="236"/>
    </row>
    <row r="10543" spans="2:4" ht="12.75" customHeight="1" x14ac:dyDescent="0.2">
      <c r="B10543" s="236"/>
      <c r="C10543" s="236"/>
      <c r="D10543" s="236"/>
    </row>
    <row r="10544" spans="2:4" ht="12.75" customHeight="1" x14ac:dyDescent="0.2">
      <c r="B10544" s="236"/>
      <c r="C10544" s="236"/>
      <c r="D10544" s="236"/>
    </row>
    <row r="10545" spans="2:4" ht="12.75" customHeight="1" x14ac:dyDescent="0.2">
      <c r="B10545" s="236"/>
      <c r="C10545" s="236"/>
      <c r="D10545" s="236"/>
    </row>
    <row r="10546" spans="2:4" ht="12.75" customHeight="1" x14ac:dyDescent="0.2">
      <c r="B10546" s="236"/>
      <c r="C10546" s="236"/>
      <c r="D10546" s="236"/>
    </row>
    <row r="10547" spans="2:4" ht="12.75" customHeight="1" x14ac:dyDescent="0.2">
      <c r="B10547" s="236"/>
      <c r="C10547" s="236"/>
      <c r="D10547" s="236"/>
    </row>
    <row r="10548" spans="2:4" x14ac:dyDescent="0.2">
      <c r="B10548" s="236"/>
      <c r="C10548" s="236"/>
      <c r="D10548" s="236"/>
    </row>
    <row r="10549" spans="2:4" ht="12.75" customHeight="1" x14ac:dyDescent="0.2">
      <c r="B10549" s="236"/>
      <c r="C10549" s="236"/>
      <c r="D10549" s="236"/>
    </row>
    <row r="10550" spans="2:4" ht="12.75" customHeight="1" x14ac:dyDescent="0.2">
      <c r="B10550" s="236"/>
      <c r="C10550" s="236"/>
      <c r="D10550" s="236"/>
    </row>
    <row r="10551" spans="2:4" x14ac:dyDescent="0.2">
      <c r="B10551" s="236"/>
      <c r="C10551" s="236"/>
      <c r="D10551" s="236"/>
    </row>
    <row r="10552" spans="2:4" ht="12.75" customHeight="1" x14ac:dyDescent="0.2">
      <c r="B10552" s="236"/>
      <c r="C10552" s="236"/>
      <c r="D10552" s="236"/>
    </row>
    <row r="10553" spans="2:4" x14ac:dyDescent="0.2">
      <c r="B10553" s="236"/>
      <c r="C10553" s="236"/>
      <c r="D10553" s="236"/>
    </row>
    <row r="10554" spans="2:4" ht="12.75" customHeight="1" x14ac:dyDescent="0.2">
      <c r="B10554" s="236"/>
      <c r="C10554" s="236"/>
      <c r="D10554" s="236"/>
    </row>
    <row r="10555" spans="2:4" x14ac:dyDescent="0.2">
      <c r="B10555" s="236"/>
      <c r="C10555" s="236"/>
      <c r="D10555" s="236"/>
    </row>
    <row r="10556" spans="2:4" ht="12.75" customHeight="1" x14ac:dyDescent="0.2">
      <c r="B10556" s="236"/>
      <c r="C10556" s="236"/>
      <c r="D10556" s="236"/>
    </row>
    <row r="10557" spans="2:4" ht="12.75" customHeight="1" x14ac:dyDescent="0.2">
      <c r="B10557" s="236"/>
      <c r="C10557" s="236"/>
      <c r="D10557" s="236"/>
    </row>
    <row r="10558" spans="2:4" ht="12.75" customHeight="1" x14ac:dyDescent="0.2">
      <c r="B10558" s="236"/>
      <c r="C10558" s="236"/>
      <c r="D10558" s="236"/>
    </row>
    <row r="10559" spans="2:4" ht="12.75" customHeight="1" x14ac:dyDescent="0.2">
      <c r="B10559" s="236"/>
      <c r="C10559" s="236"/>
      <c r="D10559" s="236"/>
    </row>
    <row r="10560" spans="2:4" ht="12.75" customHeight="1" x14ac:dyDescent="0.2">
      <c r="B10560" s="236"/>
      <c r="C10560" s="236"/>
      <c r="D10560" s="236"/>
    </row>
    <row r="10561" spans="2:4" ht="12.75" customHeight="1" x14ac:dyDescent="0.2">
      <c r="B10561" s="236"/>
      <c r="C10561" s="236"/>
      <c r="D10561" s="236"/>
    </row>
    <row r="10562" spans="2:4" x14ac:dyDescent="0.2">
      <c r="B10562" s="236"/>
      <c r="C10562" s="236"/>
      <c r="D10562" s="236"/>
    </row>
    <row r="10563" spans="2:4" ht="12.75" customHeight="1" x14ac:dyDescent="0.2">
      <c r="B10563" s="236"/>
      <c r="C10563" s="236"/>
      <c r="D10563" s="236"/>
    </row>
    <row r="10564" spans="2:4" ht="12.75" customHeight="1" x14ac:dyDescent="0.2">
      <c r="B10564" s="236"/>
      <c r="C10564" s="236"/>
      <c r="D10564" s="236"/>
    </row>
    <row r="10565" spans="2:4" ht="12.75" customHeight="1" x14ac:dyDescent="0.2">
      <c r="B10565" s="236"/>
      <c r="C10565" s="236"/>
      <c r="D10565" s="236"/>
    </row>
    <row r="10566" spans="2:4" ht="12.75" customHeight="1" x14ac:dyDescent="0.2">
      <c r="B10566" s="236"/>
      <c r="C10566" s="236"/>
      <c r="D10566" s="236"/>
    </row>
    <row r="10567" spans="2:4" ht="12.75" customHeight="1" x14ac:dyDescent="0.2">
      <c r="B10567" s="236"/>
      <c r="C10567" s="236"/>
      <c r="D10567" s="236"/>
    </row>
    <row r="10568" spans="2:4" ht="12.75" customHeight="1" x14ac:dyDescent="0.2">
      <c r="B10568" s="236"/>
      <c r="C10568" s="236"/>
      <c r="D10568" s="236"/>
    </row>
    <row r="10569" spans="2:4" ht="12.75" customHeight="1" x14ac:dyDescent="0.2">
      <c r="B10569" s="236"/>
      <c r="C10569" s="236"/>
      <c r="D10569" s="236"/>
    </row>
    <row r="10570" spans="2:4" x14ac:dyDescent="0.2">
      <c r="B10570" s="236"/>
      <c r="C10570" s="236"/>
      <c r="D10570" s="236"/>
    </row>
    <row r="10571" spans="2:4" ht="12.75" customHeight="1" x14ac:dyDescent="0.2">
      <c r="B10571" s="236"/>
      <c r="C10571" s="236"/>
      <c r="D10571" s="236"/>
    </row>
    <row r="10572" spans="2:4" ht="12.75" customHeight="1" x14ac:dyDescent="0.2">
      <c r="B10572" s="236"/>
      <c r="C10572" s="236"/>
      <c r="D10572" s="236"/>
    </row>
    <row r="10573" spans="2:4" ht="12.75" customHeight="1" x14ac:dyDescent="0.2">
      <c r="B10573" s="236"/>
      <c r="C10573" s="236"/>
      <c r="D10573" s="236"/>
    </row>
    <row r="10574" spans="2:4" ht="12.75" customHeight="1" x14ac:dyDescent="0.2">
      <c r="B10574" s="236"/>
      <c r="C10574" s="236"/>
      <c r="D10574" s="236"/>
    </row>
    <row r="10575" spans="2:4" ht="12.75" customHeight="1" x14ac:dyDescent="0.2">
      <c r="B10575" s="236"/>
      <c r="C10575" s="236"/>
      <c r="D10575" s="236"/>
    </row>
    <row r="10576" spans="2:4" x14ac:dyDescent="0.2">
      <c r="B10576" s="236"/>
      <c r="C10576" s="236"/>
      <c r="D10576" s="236"/>
    </row>
    <row r="10577" spans="2:4" ht="12.75" customHeight="1" x14ac:dyDescent="0.2">
      <c r="B10577" s="236"/>
      <c r="C10577" s="236"/>
      <c r="D10577" s="236"/>
    </row>
    <row r="10578" spans="2:4" ht="12.75" customHeight="1" x14ac:dyDescent="0.2">
      <c r="B10578" s="236"/>
      <c r="C10578" s="236"/>
      <c r="D10578" s="236"/>
    </row>
    <row r="10579" spans="2:4" ht="12.75" customHeight="1" x14ac:dyDescent="0.2">
      <c r="B10579" s="236"/>
      <c r="C10579" s="236"/>
      <c r="D10579" s="236"/>
    </row>
    <row r="10580" spans="2:4" ht="12.75" customHeight="1" x14ac:dyDescent="0.2">
      <c r="B10580" s="236"/>
      <c r="C10580" s="236"/>
      <c r="D10580" s="236"/>
    </row>
    <row r="10581" spans="2:4" ht="12.75" customHeight="1" x14ac:dyDescent="0.2">
      <c r="B10581" s="236"/>
      <c r="C10581" s="236"/>
      <c r="D10581" s="236"/>
    </row>
    <row r="10582" spans="2:4" ht="12.75" customHeight="1" x14ac:dyDescent="0.2">
      <c r="B10582" s="236"/>
      <c r="C10582" s="236"/>
      <c r="D10582" s="236"/>
    </row>
    <row r="10583" spans="2:4" ht="12.75" customHeight="1" x14ac:dyDescent="0.2">
      <c r="B10583" s="236"/>
      <c r="C10583" s="236"/>
      <c r="D10583" s="236"/>
    </row>
    <row r="10584" spans="2:4" ht="12.75" customHeight="1" x14ac:dyDescent="0.2">
      <c r="B10584" s="236"/>
      <c r="C10584" s="236"/>
      <c r="D10584" s="236"/>
    </row>
    <row r="10585" spans="2:4" ht="12.75" customHeight="1" x14ac:dyDescent="0.2">
      <c r="B10585" s="236"/>
      <c r="C10585" s="236"/>
      <c r="D10585" s="236"/>
    </row>
    <row r="10586" spans="2:4" x14ac:dyDescent="0.2">
      <c r="B10586" s="236"/>
      <c r="C10586" s="236"/>
      <c r="D10586" s="236"/>
    </row>
    <row r="10587" spans="2:4" ht="12.75" customHeight="1" x14ac:dyDescent="0.2">
      <c r="B10587" s="236"/>
      <c r="C10587" s="236"/>
      <c r="D10587" s="236"/>
    </row>
    <row r="10588" spans="2:4" ht="12.75" customHeight="1" x14ac:dyDescent="0.2">
      <c r="B10588" s="236"/>
      <c r="C10588" s="236"/>
      <c r="D10588" s="236"/>
    </row>
    <row r="10589" spans="2:4" ht="12.75" customHeight="1" x14ac:dyDescent="0.2">
      <c r="B10589" s="236"/>
      <c r="C10589" s="236"/>
      <c r="D10589" s="236"/>
    </row>
    <row r="10590" spans="2:4" ht="12.75" customHeight="1" x14ac:dyDescent="0.2">
      <c r="B10590" s="236"/>
      <c r="C10590" s="236"/>
      <c r="D10590" s="236"/>
    </row>
    <row r="10591" spans="2:4" x14ac:dyDescent="0.2">
      <c r="B10591" s="236"/>
      <c r="C10591" s="236"/>
      <c r="D10591" s="236"/>
    </row>
    <row r="10592" spans="2:4" ht="12.75" customHeight="1" x14ac:dyDescent="0.2">
      <c r="B10592" s="236"/>
      <c r="C10592" s="236"/>
      <c r="D10592" s="236"/>
    </row>
    <row r="10593" spans="2:4" ht="12.75" customHeight="1" x14ac:dyDescent="0.2">
      <c r="B10593" s="236"/>
      <c r="C10593" s="236"/>
      <c r="D10593" s="236"/>
    </row>
    <row r="10594" spans="2:4" ht="12.75" customHeight="1" x14ac:dyDescent="0.2">
      <c r="B10594" s="236"/>
      <c r="C10594" s="236"/>
      <c r="D10594" s="236"/>
    </row>
    <row r="10595" spans="2:4" ht="12.75" customHeight="1" x14ac:dyDescent="0.2">
      <c r="B10595" s="236"/>
      <c r="C10595" s="236"/>
      <c r="D10595" s="236"/>
    </row>
    <row r="10596" spans="2:4" ht="12.75" customHeight="1" x14ac:dyDescent="0.2">
      <c r="B10596" s="236"/>
      <c r="C10596" s="236"/>
      <c r="D10596" s="236"/>
    </row>
    <row r="10597" spans="2:4" ht="12.75" customHeight="1" x14ac:dyDescent="0.2">
      <c r="B10597" s="236"/>
      <c r="C10597" s="236"/>
      <c r="D10597" s="236"/>
    </row>
    <row r="10598" spans="2:4" ht="12.75" customHeight="1" x14ac:dyDescent="0.2">
      <c r="B10598" s="236"/>
      <c r="C10598" s="236"/>
      <c r="D10598" s="236"/>
    </row>
    <row r="10599" spans="2:4" ht="12.75" customHeight="1" x14ac:dyDescent="0.2">
      <c r="B10599" s="236"/>
      <c r="C10599" s="236"/>
      <c r="D10599" s="236"/>
    </row>
    <row r="10600" spans="2:4" ht="12.75" customHeight="1" x14ac:dyDescent="0.2">
      <c r="B10600" s="236"/>
      <c r="C10600" s="236"/>
      <c r="D10600" s="236"/>
    </row>
    <row r="10601" spans="2:4" ht="12.75" customHeight="1" x14ac:dyDescent="0.2">
      <c r="B10601" s="236"/>
      <c r="C10601" s="236"/>
      <c r="D10601" s="236"/>
    </row>
    <row r="10602" spans="2:4" ht="12.75" customHeight="1" x14ac:dyDescent="0.2">
      <c r="B10602" s="236"/>
      <c r="C10602" s="236"/>
      <c r="D10602" s="236"/>
    </row>
    <row r="10603" spans="2:4" ht="12.75" customHeight="1" x14ac:dyDescent="0.2">
      <c r="B10603" s="236"/>
      <c r="C10603" s="236"/>
      <c r="D10603" s="236"/>
    </row>
    <row r="10604" spans="2:4" x14ac:dyDescent="0.2">
      <c r="B10604" s="236"/>
      <c r="C10604" s="236"/>
      <c r="D10604" s="236"/>
    </row>
    <row r="10605" spans="2:4" ht="12.75" customHeight="1" x14ac:dyDescent="0.2">
      <c r="B10605" s="236"/>
      <c r="C10605" s="236"/>
      <c r="D10605" s="236"/>
    </row>
    <row r="10606" spans="2:4" ht="12.75" customHeight="1" x14ac:dyDescent="0.2">
      <c r="B10606" s="236"/>
      <c r="C10606" s="236"/>
      <c r="D10606" s="236"/>
    </row>
    <row r="10607" spans="2:4" ht="12.75" customHeight="1" x14ac:dyDescent="0.2">
      <c r="B10607" s="236"/>
      <c r="C10607" s="236"/>
      <c r="D10607" s="236"/>
    </row>
    <row r="10608" spans="2:4" ht="12.75" customHeight="1" x14ac:dyDescent="0.2">
      <c r="B10608" s="236"/>
      <c r="C10608" s="236"/>
      <c r="D10608" s="236"/>
    </row>
    <row r="10609" spans="2:4" ht="12.75" customHeight="1" x14ac:dyDescent="0.2">
      <c r="B10609" s="236"/>
      <c r="C10609" s="236"/>
      <c r="D10609" s="236"/>
    </row>
    <row r="10610" spans="2:4" ht="12.75" customHeight="1" x14ac:dyDescent="0.2">
      <c r="B10610" s="236"/>
      <c r="C10610" s="236"/>
      <c r="D10610" s="236"/>
    </row>
    <row r="10611" spans="2:4" ht="12.75" customHeight="1" x14ac:dyDescent="0.2">
      <c r="B10611" s="236"/>
      <c r="C10611" s="236"/>
      <c r="D10611" s="236"/>
    </row>
    <row r="10612" spans="2:4" ht="12.75" customHeight="1" x14ac:dyDescent="0.2">
      <c r="B10612" s="236"/>
      <c r="C10612" s="236"/>
      <c r="D10612" s="236"/>
    </row>
    <row r="10613" spans="2:4" ht="12.75" customHeight="1" x14ac:dyDescent="0.2">
      <c r="B10613" s="236"/>
      <c r="C10613" s="236"/>
      <c r="D10613" s="236"/>
    </row>
    <row r="10614" spans="2:4" ht="12.75" customHeight="1" x14ac:dyDescent="0.2">
      <c r="B10614" s="236"/>
      <c r="C10614" s="236"/>
      <c r="D10614" s="236"/>
    </row>
    <row r="10615" spans="2:4" ht="12.75" customHeight="1" x14ac:dyDescent="0.2">
      <c r="B10615" s="236"/>
      <c r="C10615" s="236"/>
      <c r="D10615" s="236"/>
    </row>
    <row r="10616" spans="2:4" ht="12.75" customHeight="1" x14ac:dyDescent="0.2">
      <c r="B10616" s="236"/>
      <c r="C10616" s="236"/>
      <c r="D10616" s="236"/>
    </row>
    <row r="10617" spans="2:4" x14ac:dyDescent="0.2">
      <c r="B10617" s="236"/>
      <c r="C10617" s="236"/>
      <c r="D10617" s="236"/>
    </row>
    <row r="10618" spans="2:4" ht="12.75" customHeight="1" x14ac:dyDescent="0.2">
      <c r="B10618" s="236"/>
      <c r="C10618" s="236"/>
      <c r="D10618" s="236"/>
    </row>
    <row r="10619" spans="2:4" ht="12.75" customHeight="1" x14ac:dyDescent="0.2">
      <c r="B10619" s="236"/>
      <c r="C10619" s="236"/>
      <c r="D10619" s="236"/>
    </row>
    <row r="10620" spans="2:4" ht="12.75" customHeight="1" x14ac:dyDescent="0.2">
      <c r="B10620" s="236"/>
      <c r="C10620" s="236"/>
      <c r="D10620" s="236"/>
    </row>
    <row r="10621" spans="2:4" ht="12.75" customHeight="1" x14ac:dyDescent="0.2">
      <c r="B10621" s="236"/>
      <c r="C10621" s="236"/>
      <c r="D10621" s="236"/>
    </row>
    <row r="10622" spans="2:4" ht="12.75" customHeight="1" x14ac:dyDescent="0.2">
      <c r="B10622" s="236"/>
      <c r="C10622" s="236"/>
      <c r="D10622" s="236"/>
    </row>
    <row r="10623" spans="2:4" ht="12.75" customHeight="1" x14ac:dyDescent="0.2">
      <c r="B10623" s="236"/>
      <c r="C10623" s="236"/>
      <c r="D10623" s="236"/>
    </row>
    <row r="10624" spans="2:4" ht="12.75" customHeight="1" x14ac:dyDescent="0.2">
      <c r="B10624" s="236"/>
      <c r="C10624" s="236"/>
      <c r="D10624" s="236"/>
    </row>
    <row r="10625" spans="2:4" ht="12.75" customHeight="1" x14ac:dyDescent="0.2">
      <c r="B10625" s="236"/>
      <c r="C10625" s="236"/>
      <c r="D10625" s="236"/>
    </row>
    <row r="10626" spans="2:4" ht="12.75" customHeight="1" x14ac:dyDescent="0.2">
      <c r="B10626" s="236"/>
      <c r="C10626" s="236"/>
      <c r="D10626" s="236"/>
    </row>
    <row r="10627" spans="2:4" ht="12.75" customHeight="1" x14ac:dyDescent="0.2">
      <c r="B10627" s="236"/>
      <c r="C10627" s="236"/>
      <c r="D10627" s="236"/>
    </row>
    <row r="10628" spans="2:4" x14ac:dyDescent="0.2">
      <c r="B10628" s="236"/>
      <c r="C10628" s="236"/>
      <c r="D10628" s="236"/>
    </row>
    <row r="10629" spans="2:4" ht="12.75" customHeight="1" x14ac:dyDescent="0.2">
      <c r="B10629" s="236"/>
      <c r="C10629" s="236"/>
      <c r="D10629" s="236"/>
    </row>
    <row r="10630" spans="2:4" x14ac:dyDescent="0.2">
      <c r="B10630" s="236"/>
      <c r="C10630" s="236"/>
      <c r="D10630" s="236"/>
    </row>
    <row r="10631" spans="2:4" ht="12.75" customHeight="1" x14ac:dyDescent="0.2">
      <c r="B10631" s="236"/>
      <c r="C10631" s="236"/>
      <c r="D10631" s="236"/>
    </row>
    <row r="10632" spans="2:4" x14ac:dyDescent="0.2">
      <c r="B10632" s="236"/>
      <c r="C10632" s="236"/>
      <c r="D10632" s="236"/>
    </row>
    <row r="10633" spans="2:4" ht="12.75" customHeight="1" x14ac:dyDescent="0.2">
      <c r="B10633" s="236"/>
      <c r="C10633" s="236"/>
      <c r="D10633" s="236"/>
    </row>
    <row r="10634" spans="2:4" ht="12.75" customHeight="1" x14ac:dyDescent="0.2">
      <c r="B10634" s="236"/>
      <c r="C10634" s="236"/>
      <c r="D10634" s="236"/>
    </row>
    <row r="10635" spans="2:4" ht="12.75" customHeight="1" x14ac:dyDescent="0.2">
      <c r="B10635" s="236"/>
      <c r="C10635" s="236"/>
      <c r="D10635" s="236"/>
    </row>
    <row r="10636" spans="2:4" ht="12.75" customHeight="1" x14ac:dyDescent="0.2">
      <c r="B10636" s="236"/>
      <c r="C10636" s="236"/>
      <c r="D10636" s="236"/>
    </row>
    <row r="10637" spans="2:4" ht="12.75" customHeight="1" x14ac:dyDescent="0.2">
      <c r="B10637" s="236"/>
      <c r="C10637" s="236"/>
      <c r="D10637" s="236"/>
    </row>
    <row r="10638" spans="2:4" x14ac:dyDescent="0.2">
      <c r="B10638" s="236"/>
      <c r="C10638" s="236"/>
      <c r="D10638" s="236"/>
    </row>
    <row r="10639" spans="2:4" ht="12.75" customHeight="1" x14ac:dyDescent="0.2">
      <c r="B10639" s="236"/>
      <c r="C10639" s="236"/>
      <c r="D10639" s="236"/>
    </row>
    <row r="10640" spans="2:4" x14ac:dyDescent="0.2">
      <c r="B10640" s="236"/>
      <c r="C10640" s="236"/>
      <c r="D10640" s="236"/>
    </row>
    <row r="10641" spans="2:4" ht="12.75" customHeight="1" x14ac:dyDescent="0.2">
      <c r="B10641" s="236"/>
      <c r="C10641" s="236"/>
      <c r="D10641" s="236"/>
    </row>
    <row r="10642" spans="2:4" x14ac:dyDescent="0.2">
      <c r="B10642" s="236"/>
      <c r="C10642" s="236"/>
      <c r="D10642" s="236"/>
    </row>
    <row r="10643" spans="2:4" ht="12.75" customHeight="1" x14ac:dyDescent="0.2">
      <c r="B10643" s="236"/>
      <c r="C10643" s="236"/>
      <c r="D10643" s="236"/>
    </row>
    <row r="10644" spans="2:4" x14ac:dyDescent="0.2">
      <c r="B10644" s="236"/>
      <c r="C10644" s="236"/>
      <c r="D10644" s="236"/>
    </row>
    <row r="10645" spans="2:4" ht="12.75" customHeight="1" x14ac:dyDescent="0.2">
      <c r="B10645" s="236"/>
      <c r="C10645" s="236"/>
      <c r="D10645" s="236"/>
    </row>
    <row r="10646" spans="2:4" x14ac:dyDescent="0.2">
      <c r="B10646" s="236"/>
      <c r="C10646" s="236"/>
      <c r="D10646" s="236"/>
    </row>
    <row r="10647" spans="2:4" ht="12.75" customHeight="1" x14ac:dyDescent="0.2">
      <c r="B10647" s="236"/>
      <c r="C10647" s="236"/>
      <c r="D10647" s="236"/>
    </row>
    <row r="10648" spans="2:4" x14ac:dyDescent="0.2">
      <c r="B10648" s="236"/>
      <c r="C10648" s="236"/>
      <c r="D10648" s="236"/>
    </row>
    <row r="10649" spans="2:4" ht="12.75" customHeight="1" x14ac:dyDescent="0.2">
      <c r="B10649" s="236"/>
      <c r="C10649" s="236"/>
      <c r="D10649" s="236"/>
    </row>
    <row r="10650" spans="2:4" x14ac:dyDescent="0.2">
      <c r="B10650" s="236"/>
      <c r="C10650" s="236"/>
      <c r="D10650" s="236"/>
    </row>
    <row r="10651" spans="2:4" ht="12.75" customHeight="1" x14ac:dyDescent="0.2">
      <c r="B10651" s="236"/>
      <c r="C10651" s="236"/>
      <c r="D10651" s="236"/>
    </row>
    <row r="10652" spans="2:4" x14ac:dyDescent="0.2">
      <c r="B10652" s="236"/>
      <c r="C10652" s="236"/>
      <c r="D10652" s="236"/>
    </row>
    <row r="10653" spans="2:4" ht="12.75" customHeight="1" x14ac:dyDescent="0.2">
      <c r="B10653" s="236"/>
      <c r="C10653" s="236"/>
      <c r="D10653" s="236"/>
    </row>
    <row r="10654" spans="2:4" x14ac:dyDescent="0.2">
      <c r="B10654" s="236"/>
      <c r="C10654" s="236"/>
      <c r="D10654" s="236"/>
    </row>
    <row r="10655" spans="2:4" ht="12.75" customHeight="1" x14ac:dyDescent="0.2">
      <c r="B10655" s="236"/>
      <c r="C10655" s="236"/>
      <c r="D10655" s="236"/>
    </row>
    <row r="10656" spans="2:4" ht="12.75" customHeight="1" x14ac:dyDescent="0.2">
      <c r="B10656" s="236"/>
      <c r="C10656" s="236"/>
      <c r="D10656" s="236"/>
    </row>
    <row r="10657" spans="2:4" ht="12.75" customHeight="1" x14ac:dyDescent="0.2">
      <c r="B10657" s="236"/>
      <c r="C10657" s="236"/>
      <c r="D10657" s="236"/>
    </row>
    <row r="10658" spans="2:4" ht="12.75" customHeight="1" x14ac:dyDescent="0.2">
      <c r="B10658" s="236"/>
      <c r="C10658" s="236"/>
      <c r="D10658" s="236"/>
    </row>
    <row r="10659" spans="2:4" ht="12.75" customHeight="1" x14ac:dyDescent="0.2">
      <c r="B10659" s="236"/>
      <c r="C10659" s="236"/>
      <c r="D10659" s="236"/>
    </row>
    <row r="10660" spans="2:4" ht="12.75" customHeight="1" x14ac:dyDescent="0.2">
      <c r="B10660" s="236"/>
      <c r="C10660" s="236"/>
      <c r="D10660" s="236"/>
    </row>
    <row r="10661" spans="2:4" ht="12.75" customHeight="1" x14ac:dyDescent="0.2">
      <c r="B10661" s="236"/>
      <c r="C10661" s="236"/>
      <c r="D10661" s="236"/>
    </row>
    <row r="10662" spans="2:4" x14ac:dyDescent="0.2">
      <c r="B10662" s="236"/>
      <c r="C10662" s="236"/>
      <c r="D10662" s="236"/>
    </row>
    <row r="10663" spans="2:4" ht="12.75" customHeight="1" x14ac:dyDescent="0.2">
      <c r="B10663" s="236"/>
      <c r="C10663" s="236"/>
      <c r="D10663" s="236"/>
    </row>
    <row r="10664" spans="2:4" x14ac:dyDescent="0.2">
      <c r="B10664" s="236"/>
      <c r="C10664" s="236"/>
      <c r="D10664" s="236"/>
    </row>
    <row r="10665" spans="2:4" ht="12.75" customHeight="1" x14ac:dyDescent="0.2">
      <c r="B10665" s="236"/>
      <c r="C10665" s="236"/>
      <c r="D10665" s="236"/>
    </row>
    <row r="10666" spans="2:4" ht="12.75" customHeight="1" x14ac:dyDescent="0.2">
      <c r="B10666" s="236"/>
      <c r="C10666" s="236"/>
      <c r="D10666" s="236"/>
    </row>
    <row r="10667" spans="2:4" ht="12.75" customHeight="1" x14ac:dyDescent="0.2">
      <c r="B10667" s="236"/>
      <c r="C10667" s="236"/>
      <c r="D10667" s="236"/>
    </row>
    <row r="10668" spans="2:4" ht="12.75" customHeight="1" x14ac:dyDescent="0.2">
      <c r="B10668" s="236"/>
      <c r="C10668" s="236"/>
      <c r="D10668" s="236"/>
    </row>
    <row r="10669" spans="2:4" ht="12.75" customHeight="1" x14ac:dyDescent="0.2">
      <c r="B10669" s="236"/>
      <c r="C10669" s="236"/>
      <c r="D10669" s="236"/>
    </row>
    <row r="10670" spans="2:4" ht="12.75" customHeight="1" x14ac:dyDescent="0.2">
      <c r="B10670" s="236"/>
      <c r="C10670" s="236"/>
      <c r="D10670" s="236"/>
    </row>
    <row r="10671" spans="2:4" ht="12.75" customHeight="1" x14ac:dyDescent="0.2">
      <c r="B10671" s="236"/>
      <c r="C10671" s="236"/>
      <c r="D10671" s="236"/>
    </row>
    <row r="10672" spans="2:4" ht="12.75" customHeight="1" x14ac:dyDescent="0.2">
      <c r="B10672" s="236"/>
      <c r="C10672" s="236"/>
      <c r="D10672" s="236"/>
    </row>
    <row r="10673" spans="2:4" x14ac:dyDescent="0.2">
      <c r="B10673" s="236"/>
      <c r="C10673" s="236"/>
      <c r="D10673" s="236"/>
    </row>
    <row r="10674" spans="2:4" ht="12.75" customHeight="1" x14ac:dyDescent="0.2">
      <c r="B10674" s="236"/>
      <c r="C10674" s="236"/>
      <c r="D10674" s="236"/>
    </row>
    <row r="10675" spans="2:4" ht="12.75" customHeight="1" x14ac:dyDescent="0.2">
      <c r="B10675" s="236"/>
      <c r="C10675" s="236"/>
      <c r="D10675" s="236"/>
    </row>
    <row r="10676" spans="2:4" x14ac:dyDescent="0.2">
      <c r="B10676" s="236"/>
      <c r="C10676" s="236"/>
      <c r="D10676" s="236"/>
    </row>
    <row r="10677" spans="2:4" ht="12.75" customHeight="1" x14ac:dyDescent="0.2">
      <c r="B10677" s="236"/>
      <c r="C10677" s="236"/>
      <c r="D10677" s="236"/>
    </row>
    <row r="10678" spans="2:4" ht="12.75" customHeight="1" x14ac:dyDescent="0.2">
      <c r="B10678" s="236"/>
      <c r="C10678" s="236"/>
      <c r="D10678" s="236"/>
    </row>
    <row r="10679" spans="2:4" ht="12.75" customHeight="1" x14ac:dyDescent="0.2">
      <c r="B10679" s="236"/>
      <c r="C10679" s="236"/>
      <c r="D10679" s="236"/>
    </row>
    <row r="10680" spans="2:4" ht="12.75" customHeight="1" x14ac:dyDescent="0.2">
      <c r="B10680" s="236"/>
      <c r="C10680" s="236"/>
      <c r="D10680" s="236"/>
    </row>
    <row r="10681" spans="2:4" ht="12.75" customHeight="1" x14ac:dyDescent="0.2">
      <c r="B10681" s="236"/>
      <c r="C10681" s="236"/>
      <c r="D10681" s="236"/>
    </row>
    <row r="10682" spans="2:4" ht="12.75" customHeight="1" x14ac:dyDescent="0.2">
      <c r="B10682" s="236"/>
      <c r="C10682" s="236"/>
      <c r="D10682" s="236"/>
    </row>
    <row r="10683" spans="2:4" ht="12.75" customHeight="1" x14ac:dyDescent="0.2">
      <c r="B10683" s="236"/>
      <c r="C10683" s="236"/>
      <c r="D10683" s="236"/>
    </row>
    <row r="10684" spans="2:4" x14ac:dyDescent="0.2">
      <c r="B10684" s="236"/>
      <c r="C10684" s="236"/>
      <c r="D10684" s="236"/>
    </row>
    <row r="10685" spans="2:4" ht="12.75" customHeight="1" x14ac:dyDescent="0.2">
      <c r="B10685" s="236"/>
      <c r="C10685" s="236"/>
      <c r="D10685" s="236"/>
    </row>
    <row r="10686" spans="2:4" x14ac:dyDescent="0.2">
      <c r="B10686" s="236"/>
      <c r="C10686" s="236"/>
      <c r="D10686" s="236"/>
    </row>
    <row r="10687" spans="2:4" ht="12.75" customHeight="1" x14ac:dyDescent="0.2">
      <c r="B10687" s="236"/>
      <c r="C10687" s="236"/>
      <c r="D10687" s="236"/>
    </row>
    <row r="10688" spans="2:4" x14ac:dyDescent="0.2">
      <c r="B10688" s="236"/>
      <c r="C10688" s="236"/>
      <c r="D10688" s="236"/>
    </row>
    <row r="10689" spans="2:4" ht="12.75" customHeight="1" x14ac:dyDescent="0.2">
      <c r="B10689" s="236"/>
      <c r="C10689" s="236"/>
      <c r="D10689" s="236"/>
    </row>
    <row r="10690" spans="2:4" x14ac:dyDescent="0.2">
      <c r="B10690" s="236"/>
      <c r="C10690" s="236"/>
      <c r="D10690" s="236"/>
    </row>
    <row r="10691" spans="2:4" ht="12.75" customHeight="1" x14ac:dyDescent="0.2">
      <c r="B10691" s="236"/>
      <c r="C10691" s="236"/>
      <c r="D10691" s="236"/>
    </row>
    <row r="10692" spans="2:4" ht="12.75" customHeight="1" x14ac:dyDescent="0.2">
      <c r="B10692" s="236"/>
      <c r="C10692" s="236"/>
      <c r="D10692" s="236"/>
    </row>
    <row r="10693" spans="2:4" x14ac:dyDescent="0.2">
      <c r="B10693" s="236"/>
      <c r="C10693" s="236"/>
      <c r="D10693" s="236"/>
    </row>
    <row r="10694" spans="2:4" ht="12.75" customHeight="1" x14ac:dyDescent="0.2">
      <c r="B10694" s="236"/>
      <c r="C10694" s="236"/>
      <c r="D10694" s="236"/>
    </row>
    <row r="10695" spans="2:4" x14ac:dyDescent="0.2">
      <c r="B10695" s="236"/>
      <c r="C10695" s="236"/>
      <c r="D10695" s="236"/>
    </row>
    <row r="10696" spans="2:4" ht="12.75" customHeight="1" x14ac:dyDescent="0.2">
      <c r="B10696" s="236"/>
      <c r="C10696" s="236"/>
      <c r="D10696" s="236"/>
    </row>
    <row r="10697" spans="2:4" x14ac:dyDescent="0.2">
      <c r="B10697" s="236"/>
      <c r="C10697" s="236"/>
      <c r="D10697" s="236"/>
    </row>
    <row r="10698" spans="2:4" ht="12.75" customHeight="1" x14ac:dyDescent="0.2">
      <c r="B10698" s="236"/>
      <c r="C10698" s="236"/>
      <c r="D10698" s="236"/>
    </row>
    <row r="10699" spans="2:4" ht="12.75" customHeight="1" x14ac:dyDescent="0.2">
      <c r="B10699" s="236"/>
      <c r="C10699" s="236"/>
      <c r="D10699" s="236"/>
    </row>
    <row r="10700" spans="2:4" x14ac:dyDescent="0.2">
      <c r="B10700" s="236"/>
      <c r="C10700" s="236"/>
      <c r="D10700" s="236"/>
    </row>
    <row r="10701" spans="2:4" ht="12.75" customHeight="1" x14ac:dyDescent="0.2">
      <c r="B10701" s="236"/>
      <c r="C10701" s="236"/>
      <c r="D10701" s="236"/>
    </row>
    <row r="10702" spans="2:4" x14ac:dyDescent="0.2">
      <c r="B10702" s="236"/>
      <c r="C10702" s="236"/>
      <c r="D10702" s="236"/>
    </row>
    <row r="10703" spans="2:4" ht="12.75" customHeight="1" x14ac:dyDescent="0.2">
      <c r="B10703" s="236"/>
      <c r="C10703" s="236"/>
      <c r="D10703" s="236"/>
    </row>
    <row r="10704" spans="2:4" x14ac:dyDescent="0.2">
      <c r="B10704" s="236"/>
      <c r="C10704" s="236"/>
      <c r="D10704" s="236"/>
    </row>
    <row r="10705" spans="2:4" ht="12.75" customHeight="1" x14ac:dyDescent="0.2">
      <c r="B10705" s="236"/>
      <c r="C10705" s="236"/>
      <c r="D10705" s="236"/>
    </row>
    <row r="10706" spans="2:4" ht="12.75" customHeight="1" x14ac:dyDescent="0.2">
      <c r="B10706" s="236"/>
      <c r="C10706" s="236"/>
      <c r="D10706" s="236"/>
    </row>
    <row r="10707" spans="2:4" ht="12.75" customHeight="1" x14ac:dyDescent="0.2">
      <c r="B10707" s="236"/>
      <c r="C10707" s="236"/>
      <c r="D10707" s="236"/>
    </row>
    <row r="10708" spans="2:4" ht="12.75" customHeight="1" x14ac:dyDescent="0.2">
      <c r="B10708" s="236"/>
      <c r="C10708" s="236"/>
      <c r="D10708" s="236"/>
    </row>
    <row r="10709" spans="2:4" ht="12.75" customHeight="1" x14ac:dyDescent="0.2">
      <c r="B10709" s="236"/>
      <c r="C10709" s="236"/>
      <c r="D10709" s="236"/>
    </row>
    <row r="10710" spans="2:4" ht="12.75" customHeight="1" x14ac:dyDescent="0.2">
      <c r="B10710" s="236"/>
      <c r="C10710" s="236"/>
      <c r="D10710" s="236"/>
    </row>
    <row r="10711" spans="2:4" ht="12.75" customHeight="1" x14ac:dyDescent="0.2">
      <c r="B10711" s="236"/>
      <c r="C10711" s="236"/>
      <c r="D10711" s="236"/>
    </row>
    <row r="10712" spans="2:4" ht="12.75" customHeight="1" x14ac:dyDescent="0.2">
      <c r="B10712" s="236"/>
      <c r="C10712" s="236"/>
      <c r="D10712" s="236"/>
    </row>
    <row r="10713" spans="2:4" ht="12.75" customHeight="1" x14ac:dyDescent="0.2">
      <c r="B10713" s="236"/>
      <c r="C10713" s="236"/>
      <c r="D10713" s="236"/>
    </row>
    <row r="10714" spans="2:4" x14ac:dyDescent="0.2">
      <c r="B10714" s="236"/>
      <c r="C10714" s="236"/>
      <c r="D10714" s="236"/>
    </row>
    <row r="10715" spans="2:4" ht="12.75" customHeight="1" x14ac:dyDescent="0.2">
      <c r="B10715" s="236"/>
      <c r="C10715" s="236"/>
      <c r="D10715" s="236"/>
    </row>
    <row r="10716" spans="2:4" x14ac:dyDescent="0.2">
      <c r="B10716" s="236"/>
      <c r="C10716" s="236"/>
      <c r="D10716" s="236"/>
    </row>
    <row r="10717" spans="2:4" ht="12.75" customHeight="1" x14ac:dyDescent="0.2">
      <c r="B10717" s="236"/>
      <c r="C10717" s="236"/>
      <c r="D10717" s="236"/>
    </row>
    <row r="10718" spans="2:4" x14ac:dyDescent="0.2">
      <c r="B10718" s="236"/>
      <c r="C10718" s="236"/>
      <c r="D10718" s="236"/>
    </row>
    <row r="10719" spans="2:4" ht="12.75" customHeight="1" x14ac:dyDescent="0.2">
      <c r="B10719" s="236"/>
      <c r="C10719" s="236"/>
      <c r="D10719" s="236"/>
    </row>
    <row r="10720" spans="2:4" x14ac:dyDescent="0.2">
      <c r="B10720" s="236"/>
      <c r="C10720" s="236"/>
      <c r="D10720" s="236"/>
    </row>
    <row r="10721" spans="2:4" ht="12.75" customHeight="1" x14ac:dyDescent="0.2">
      <c r="B10721" s="236"/>
      <c r="C10721" s="236"/>
      <c r="D10721" s="236"/>
    </row>
    <row r="10722" spans="2:4" x14ac:dyDescent="0.2">
      <c r="B10722" s="236"/>
      <c r="C10722" s="236"/>
      <c r="D10722" s="236"/>
    </row>
    <row r="10723" spans="2:4" ht="12.75" customHeight="1" x14ac:dyDescent="0.2">
      <c r="B10723" s="236"/>
      <c r="C10723" s="236"/>
      <c r="D10723" s="236"/>
    </row>
    <row r="10724" spans="2:4" x14ac:dyDescent="0.2">
      <c r="B10724" s="236"/>
      <c r="C10724" s="236"/>
      <c r="D10724" s="236"/>
    </row>
    <row r="10725" spans="2:4" ht="12.75" customHeight="1" x14ac:dyDescent="0.2">
      <c r="B10725" s="236"/>
      <c r="C10725" s="236"/>
      <c r="D10725" s="236"/>
    </row>
    <row r="10726" spans="2:4" ht="12.75" customHeight="1" x14ac:dyDescent="0.2">
      <c r="B10726" s="236"/>
      <c r="C10726" s="236"/>
      <c r="D10726" s="236"/>
    </row>
    <row r="10727" spans="2:4" ht="12.75" customHeight="1" x14ac:dyDescent="0.2">
      <c r="B10727" s="236"/>
      <c r="C10727" s="236"/>
      <c r="D10727" s="236"/>
    </row>
    <row r="10728" spans="2:4" ht="12.75" customHeight="1" x14ac:dyDescent="0.2">
      <c r="B10728" s="236"/>
      <c r="C10728" s="236"/>
      <c r="D10728" s="236"/>
    </row>
    <row r="10729" spans="2:4" x14ac:dyDescent="0.2">
      <c r="B10729" s="236"/>
      <c r="C10729" s="236"/>
      <c r="D10729" s="236"/>
    </row>
    <row r="10730" spans="2:4" ht="12.75" customHeight="1" x14ac:dyDescent="0.2">
      <c r="B10730" s="236"/>
      <c r="C10730" s="236"/>
      <c r="D10730" s="236"/>
    </row>
    <row r="10731" spans="2:4" ht="12.75" customHeight="1" x14ac:dyDescent="0.2">
      <c r="B10731" s="236"/>
      <c r="C10731" s="236"/>
      <c r="D10731" s="236"/>
    </row>
    <row r="10732" spans="2:4" ht="12.75" customHeight="1" x14ac:dyDescent="0.2">
      <c r="B10732" s="236"/>
      <c r="C10732" s="236"/>
      <c r="D10732" s="236"/>
    </row>
    <row r="10733" spans="2:4" ht="12.75" customHeight="1" x14ac:dyDescent="0.2">
      <c r="B10733" s="236"/>
      <c r="C10733" s="236"/>
      <c r="D10733" s="236"/>
    </row>
    <row r="10734" spans="2:4" x14ac:dyDescent="0.2">
      <c r="B10734" s="236"/>
      <c r="C10734" s="236"/>
      <c r="D10734" s="236"/>
    </row>
    <row r="10735" spans="2:4" ht="12.75" customHeight="1" x14ac:dyDescent="0.2">
      <c r="B10735" s="236"/>
      <c r="C10735" s="236"/>
      <c r="D10735" s="236"/>
    </row>
    <row r="10736" spans="2:4" ht="12.75" customHeight="1" x14ac:dyDescent="0.2">
      <c r="B10736" s="236"/>
      <c r="C10736" s="236"/>
      <c r="D10736" s="236"/>
    </row>
    <row r="10737" spans="2:4" x14ac:dyDescent="0.2">
      <c r="B10737" s="236"/>
      <c r="C10737" s="236"/>
      <c r="D10737" s="236"/>
    </row>
    <row r="10738" spans="2:4" ht="12.75" customHeight="1" x14ac:dyDescent="0.2">
      <c r="B10738" s="236"/>
      <c r="C10738" s="236"/>
      <c r="D10738" s="236"/>
    </row>
    <row r="10739" spans="2:4" ht="12.75" customHeight="1" x14ac:dyDescent="0.2">
      <c r="B10739" s="236"/>
      <c r="C10739" s="236"/>
      <c r="D10739" s="236"/>
    </row>
    <row r="10740" spans="2:4" ht="12.75" customHeight="1" x14ac:dyDescent="0.2">
      <c r="B10740" s="236"/>
      <c r="C10740" s="236"/>
      <c r="D10740" s="236"/>
    </row>
    <row r="10741" spans="2:4" ht="12.75" customHeight="1" x14ac:dyDescent="0.2">
      <c r="B10741" s="236"/>
      <c r="C10741" s="236"/>
      <c r="D10741" s="236"/>
    </row>
    <row r="10742" spans="2:4" ht="12.75" customHeight="1" x14ac:dyDescent="0.2">
      <c r="B10742" s="236"/>
      <c r="C10742" s="236"/>
      <c r="D10742" s="236"/>
    </row>
    <row r="10743" spans="2:4" x14ac:dyDescent="0.2">
      <c r="B10743" s="236"/>
      <c r="C10743" s="236"/>
      <c r="D10743" s="236"/>
    </row>
    <row r="10744" spans="2:4" ht="12.75" customHeight="1" x14ac:dyDescent="0.2">
      <c r="B10744" s="236"/>
      <c r="C10744" s="236"/>
      <c r="D10744" s="236"/>
    </row>
    <row r="10745" spans="2:4" x14ac:dyDescent="0.2">
      <c r="B10745" s="236"/>
      <c r="C10745" s="236"/>
      <c r="D10745" s="236"/>
    </row>
    <row r="10746" spans="2:4" ht="12.75" customHeight="1" x14ac:dyDescent="0.2">
      <c r="B10746" s="236"/>
      <c r="C10746" s="236"/>
      <c r="D10746" s="236"/>
    </row>
    <row r="10747" spans="2:4" ht="12.75" customHeight="1" x14ac:dyDescent="0.2">
      <c r="B10747" s="236"/>
      <c r="C10747" s="236"/>
      <c r="D10747" s="236"/>
    </row>
    <row r="10748" spans="2:4" ht="12.75" customHeight="1" x14ac:dyDescent="0.2">
      <c r="B10748" s="236"/>
      <c r="C10748" s="236"/>
      <c r="D10748" s="236"/>
    </row>
    <row r="10749" spans="2:4" ht="12.75" customHeight="1" x14ac:dyDescent="0.2">
      <c r="B10749" s="236"/>
      <c r="C10749" s="236"/>
      <c r="D10749" s="236"/>
    </row>
    <row r="10750" spans="2:4" ht="12.75" customHeight="1" x14ac:dyDescent="0.2">
      <c r="B10750" s="236"/>
      <c r="C10750" s="236"/>
      <c r="D10750" s="236"/>
    </row>
    <row r="10751" spans="2:4" ht="12.75" customHeight="1" x14ac:dyDescent="0.2">
      <c r="B10751" s="236"/>
      <c r="C10751" s="236"/>
      <c r="D10751" s="236"/>
    </row>
    <row r="10752" spans="2:4" ht="12.75" customHeight="1" x14ac:dyDescent="0.2">
      <c r="B10752" s="236"/>
      <c r="C10752" s="236"/>
      <c r="D10752" s="236"/>
    </row>
    <row r="10753" spans="2:4" ht="12.75" customHeight="1" x14ac:dyDescent="0.2">
      <c r="B10753" s="236"/>
      <c r="C10753" s="236"/>
      <c r="D10753" s="236"/>
    </row>
    <row r="10754" spans="2:4" ht="12.75" customHeight="1" x14ac:dyDescent="0.2">
      <c r="B10754" s="236"/>
      <c r="C10754" s="236"/>
      <c r="D10754" s="236"/>
    </row>
    <row r="10755" spans="2:4" x14ac:dyDescent="0.2">
      <c r="B10755" s="236"/>
      <c r="C10755" s="236"/>
      <c r="D10755" s="236"/>
    </row>
    <row r="10756" spans="2:4" ht="12.75" customHeight="1" x14ac:dyDescent="0.2">
      <c r="B10756" s="236"/>
      <c r="C10756" s="236"/>
      <c r="D10756" s="236"/>
    </row>
    <row r="10757" spans="2:4" x14ac:dyDescent="0.2">
      <c r="B10757" s="236"/>
      <c r="C10757" s="236"/>
      <c r="D10757" s="236"/>
    </row>
    <row r="10758" spans="2:4" ht="12.75" customHeight="1" x14ac:dyDescent="0.2">
      <c r="B10758" s="236"/>
      <c r="C10758" s="236"/>
      <c r="D10758" s="236"/>
    </row>
    <row r="10759" spans="2:4" x14ac:dyDescent="0.2">
      <c r="B10759" s="236"/>
      <c r="C10759" s="236"/>
      <c r="D10759" s="236"/>
    </row>
    <row r="10760" spans="2:4" x14ac:dyDescent="0.2">
      <c r="B10760" s="236"/>
      <c r="C10760" s="236"/>
      <c r="D10760" s="236"/>
    </row>
    <row r="10761" spans="2:4" ht="12.75" customHeight="1" x14ac:dyDescent="0.2">
      <c r="B10761" s="236"/>
      <c r="C10761" s="236"/>
      <c r="D10761" s="236"/>
    </row>
    <row r="10762" spans="2:4" x14ac:dyDescent="0.2">
      <c r="B10762" s="236"/>
      <c r="C10762" s="236"/>
      <c r="D10762" s="236"/>
    </row>
    <row r="10763" spans="2:4" ht="12.75" customHeight="1" x14ac:dyDescent="0.2">
      <c r="B10763" s="236"/>
      <c r="C10763" s="236"/>
      <c r="D10763" s="236"/>
    </row>
    <row r="10764" spans="2:4" ht="12.75" customHeight="1" x14ac:dyDescent="0.2">
      <c r="B10764" s="236"/>
      <c r="C10764" s="236"/>
      <c r="D10764" s="236"/>
    </row>
    <row r="10765" spans="2:4" ht="12.75" customHeight="1" x14ac:dyDescent="0.2">
      <c r="B10765" s="236"/>
      <c r="C10765" s="236"/>
      <c r="D10765" s="236"/>
    </row>
    <row r="10766" spans="2:4" ht="12.75" customHeight="1" x14ac:dyDescent="0.2">
      <c r="B10766" s="236"/>
      <c r="C10766" s="236"/>
      <c r="D10766" s="236"/>
    </row>
    <row r="10767" spans="2:4" ht="12.75" customHeight="1" x14ac:dyDescent="0.2">
      <c r="B10767" s="236"/>
      <c r="C10767" s="236"/>
      <c r="D10767" s="236"/>
    </row>
    <row r="10768" spans="2:4" ht="12.75" customHeight="1" x14ac:dyDescent="0.2">
      <c r="B10768" s="236"/>
      <c r="C10768" s="236"/>
      <c r="D10768" s="236"/>
    </row>
    <row r="10769" spans="2:4" ht="12.75" customHeight="1" x14ac:dyDescent="0.2">
      <c r="B10769" s="236"/>
      <c r="C10769" s="236"/>
      <c r="D10769" s="236"/>
    </row>
    <row r="10770" spans="2:4" ht="12.75" customHeight="1" x14ac:dyDescent="0.2">
      <c r="B10770" s="236"/>
      <c r="C10770" s="236"/>
      <c r="D10770" s="236"/>
    </row>
    <row r="10771" spans="2:4" ht="12.75" customHeight="1" x14ac:dyDescent="0.2">
      <c r="B10771" s="236"/>
      <c r="C10771" s="236"/>
      <c r="D10771" s="236"/>
    </row>
    <row r="10772" spans="2:4" ht="12.75" customHeight="1" x14ac:dyDescent="0.2">
      <c r="B10772" s="236"/>
      <c r="C10772" s="236"/>
      <c r="D10772" s="236"/>
    </row>
    <row r="10773" spans="2:4" x14ac:dyDescent="0.2">
      <c r="B10773" s="236"/>
      <c r="C10773" s="236"/>
      <c r="D10773" s="236"/>
    </row>
    <row r="10774" spans="2:4" ht="12.75" customHeight="1" x14ac:dyDescent="0.2">
      <c r="B10774" s="236"/>
      <c r="C10774" s="236"/>
      <c r="D10774" s="236"/>
    </row>
    <row r="10775" spans="2:4" ht="12.75" customHeight="1" x14ac:dyDescent="0.2">
      <c r="B10775" s="236"/>
      <c r="C10775" s="236"/>
      <c r="D10775" s="236"/>
    </row>
    <row r="10776" spans="2:4" ht="12.75" customHeight="1" x14ac:dyDescent="0.2">
      <c r="B10776" s="236"/>
      <c r="C10776" s="236"/>
      <c r="D10776" s="236"/>
    </row>
    <row r="10777" spans="2:4" x14ac:dyDescent="0.2">
      <c r="B10777" s="236"/>
      <c r="C10777" s="236"/>
      <c r="D10777" s="236"/>
    </row>
    <row r="10778" spans="2:4" ht="12.75" customHeight="1" x14ac:dyDescent="0.2">
      <c r="B10778" s="236"/>
      <c r="C10778" s="236"/>
      <c r="D10778" s="236"/>
    </row>
    <row r="10779" spans="2:4" x14ac:dyDescent="0.2">
      <c r="B10779" s="236"/>
      <c r="C10779" s="236"/>
      <c r="D10779" s="236"/>
    </row>
    <row r="10780" spans="2:4" ht="12.75" customHeight="1" x14ac:dyDescent="0.2">
      <c r="B10780" s="236"/>
      <c r="C10780" s="236"/>
      <c r="D10780" s="236"/>
    </row>
    <row r="10781" spans="2:4" x14ac:dyDescent="0.2">
      <c r="B10781" s="236"/>
      <c r="C10781" s="236"/>
      <c r="D10781" s="236"/>
    </row>
    <row r="10782" spans="2:4" ht="12.75" customHeight="1" x14ac:dyDescent="0.2">
      <c r="B10782" s="236"/>
      <c r="C10782" s="236"/>
      <c r="D10782" s="236"/>
    </row>
    <row r="10783" spans="2:4" ht="12.75" customHeight="1" x14ac:dyDescent="0.2">
      <c r="B10783" s="236"/>
      <c r="C10783" s="236"/>
      <c r="D10783" s="236"/>
    </row>
    <row r="10784" spans="2:4" ht="12.75" customHeight="1" x14ac:dyDescent="0.2">
      <c r="B10784" s="236"/>
      <c r="C10784" s="236"/>
      <c r="D10784" s="236"/>
    </row>
    <row r="10785" spans="2:4" ht="12.75" customHeight="1" x14ac:dyDescent="0.2">
      <c r="B10785" s="236"/>
      <c r="C10785" s="236"/>
      <c r="D10785" s="236"/>
    </row>
    <row r="10786" spans="2:4" ht="12.75" customHeight="1" x14ac:dyDescent="0.2">
      <c r="B10786" s="236"/>
      <c r="C10786" s="236"/>
      <c r="D10786" s="236"/>
    </row>
    <row r="10787" spans="2:4" ht="12.75" customHeight="1" x14ac:dyDescent="0.2">
      <c r="B10787" s="236"/>
      <c r="C10787" s="236"/>
      <c r="D10787" s="236"/>
    </row>
    <row r="10788" spans="2:4" x14ac:dyDescent="0.2">
      <c r="B10788" s="236"/>
      <c r="C10788" s="236"/>
      <c r="D10788" s="236"/>
    </row>
    <row r="10789" spans="2:4" ht="12.75" customHeight="1" x14ac:dyDescent="0.2">
      <c r="B10789" s="236"/>
      <c r="C10789" s="236"/>
      <c r="D10789" s="236"/>
    </row>
    <row r="10790" spans="2:4" ht="12.75" customHeight="1" x14ac:dyDescent="0.2">
      <c r="B10790" s="236"/>
      <c r="C10790" s="236"/>
      <c r="D10790" s="236"/>
    </row>
    <row r="10791" spans="2:4" ht="12.75" customHeight="1" x14ac:dyDescent="0.2">
      <c r="B10791" s="236"/>
      <c r="C10791" s="236"/>
      <c r="D10791" s="236"/>
    </row>
    <row r="10792" spans="2:4" ht="12.75" customHeight="1" x14ac:dyDescent="0.2">
      <c r="B10792" s="236"/>
      <c r="C10792" s="236"/>
      <c r="D10792" s="236"/>
    </row>
    <row r="10793" spans="2:4" ht="12.75" customHeight="1" x14ac:dyDescent="0.2">
      <c r="B10793" s="236"/>
      <c r="C10793" s="236"/>
      <c r="D10793" s="236"/>
    </row>
    <row r="10794" spans="2:4" x14ac:dyDescent="0.2">
      <c r="B10794" s="236"/>
      <c r="C10794" s="236"/>
      <c r="D10794" s="236"/>
    </row>
    <row r="10795" spans="2:4" ht="12.75" customHeight="1" x14ac:dyDescent="0.2">
      <c r="B10795" s="236"/>
      <c r="C10795" s="236"/>
      <c r="D10795" s="236"/>
    </row>
    <row r="10796" spans="2:4" x14ac:dyDescent="0.2">
      <c r="B10796" s="236"/>
      <c r="C10796" s="236"/>
      <c r="D10796" s="236"/>
    </row>
    <row r="10797" spans="2:4" ht="12.75" customHeight="1" x14ac:dyDescent="0.2">
      <c r="B10797" s="236"/>
      <c r="C10797" s="236"/>
      <c r="D10797" s="236"/>
    </row>
    <row r="10798" spans="2:4" ht="12.75" customHeight="1" x14ac:dyDescent="0.2">
      <c r="B10798" s="236"/>
      <c r="C10798" s="236"/>
      <c r="D10798" s="236"/>
    </row>
    <row r="10799" spans="2:4" x14ac:dyDescent="0.2">
      <c r="B10799" s="236"/>
      <c r="C10799" s="236"/>
      <c r="D10799" s="236"/>
    </row>
    <row r="10800" spans="2:4" ht="12.75" customHeight="1" x14ac:dyDescent="0.2">
      <c r="B10800" s="236"/>
      <c r="C10800" s="236"/>
      <c r="D10800" s="236"/>
    </row>
    <row r="10801" spans="2:4" ht="12.75" customHeight="1" x14ac:dyDescent="0.2">
      <c r="B10801" s="236"/>
      <c r="C10801" s="236"/>
      <c r="D10801" s="236"/>
    </row>
    <row r="10802" spans="2:4" ht="12.75" customHeight="1" x14ac:dyDescent="0.2">
      <c r="B10802" s="236"/>
      <c r="C10802" s="236"/>
      <c r="D10802" s="236"/>
    </row>
    <row r="10803" spans="2:4" ht="12.75" customHeight="1" x14ac:dyDescent="0.2">
      <c r="B10803" s="236"/>
      <c r="C10803" s="236"/>
      <c r="D10803" s="236"/>
    </row>
    <row r="10804" spans="2:4" ht="12.75" customHeight="1" x14ac:dyDescent="0.2">
      <c r="B10804" s="236"/>
      <c r="C10804" s="236"/>
      <c r="D10804" s="236"/>
    </row>
    <row r="10805" spans="2:4" ht="12.75" customHeight="1" x14ac:dyDescent="0.2">
      <c r="B10805" s="236"/>
      <c r="C10805" s="236"/>
      <c r="D10805" s="236"/>
    </row>
    <row r="10806" spans="2:4" ht="12.75" customHeight="1" x14ac:dyDescent="0.2">
      <c r="B10806" s="236"/>
      <c r="C10806" s="236"/>
      <c r="D10806" s="236"/>
    </row>
    <row r="10807" spans="2:4" ht="12.75" customHeight="1" x14ac:dyDescent="0.2">
      <c r="B10807" s="236"/>
      <c r="C10807" s="236"/>
      <c r="D10807" s="236"/>
    </row>
    <row r="10808" spans="2:4" ht="12.75" customHeight="1" x14ac:dyDescent="0.2">
      <c r="B10808" s="236"/>
      <c r="C10808" s="236"/>
      <c r="D10808" s="236"/>
    </row>
    <row r="10809" spans="2:4" x14ac:dyDescent="0.2">
      <c r="B10809" s="236"/>
      <c r="C10809" s="236"/>
      <c r="D10809" s="236"/>
    </row>
    <row r="10810" spans="2:4" ht="12.75" customHeight="1" x14ac:dyDescent="0.2">
      <c r="B10810" s="236"/>
      <c r="C10810" s="236"/>
      <c r="D10810" s="236"/>
    </row>
    <row r="10811" spans="2:4" x14ac:dyDescent="0.2">
      <c r="B10811" s="236"/>
      <c r="C10811" s="236"/>
      <c r="D10811" s="236"/>
    </row>
    <row r="10812" spans="2:4" ht="12.75" customHeight="1" x14ac:dyDescent="0.2">
      <c r="B10812" s="236"/>
      <c r="C10812" s="236"/>
      <c r="D10812" s="236"/>
    </row>
    <row r="10813" spans="2:4" x14ac:dyDescent="0.2">
      <c r="B10813" s="236"/>
      <c r="C10813" s="236"/>
      <c r="D10813" s="236"/>
    </row>
    <row r="10814" spans="2:4" ht="12.75" customHeight="1" x14ac:dyDescent="0.2">
      <c r="B10814" s="236"/>
      <c r="C10814" s="236"/>
      <c r="D10814" s="236"/>
    </row>
    <row r="10815" spans="2:4" ht="12.75" customHeight="1" x14ac:dyDescent="0.2">
      <c r="B10815" s="236"/>
      <c r="C10815" s="236"/>
      <c r="D10815" s="236"/>
    </row>
    <row r="10816" spans="2:4" ht="12.75" customHeight="1" x14ac:dyDescent="0.2">
      <c r="B10816" s="236"/>
      <c r="C10816" s="236"/>
      <c r="D10816" s="236"/>
    </row>
    <row r="10817" spans="2:4" ht="12.75" customHeight="1" x14ac:dyDescent="0.2">
      <c r="B10817" s="236"/>
      <c r="C10817" s="236"/>
      <c r="D10817" s="236"/>
    </row>
    <row r="10818" spans="2:4" ht="12.75" customHeight="1" x14ac:dyDescent="0.2">
      <c r="B10818" s="236"/>
      <c r="C10818" s="236"/>
      <c r="D10818" s="236"/>
    </row>
    <row r="10819" spans="2:4" ht="12.75" customHeight="1" x14ac:dyDescent="0.2">
      <c r="B10819" s="236"/>
      <c r="C10819" s="236"/>
      <c r="D10819" s="236"/>
    </row>
    <row r="10820" spans="2:4" x14ac:dyDescent="0.2">
      <c r="B10820" s="236"/>
      <c r="C10820" s="236"/>
      <c r="D10820" s="236"/>
    </row>
    <row r="10821" spans="2:4" ht="12.75" customHeight="1" x14ac:dyDescent="0.2">
      <c r="B10821" s="236"/>
      <c r="C10821" s="236"/>
      <c r="D10821" s="236"/>
    </row>
    <row r="10822" spans="2:4" ht="12.75" customHeight="1" x14ac:dyDescent="0.2">
      <c r="B10822" s="236"/>
      <c r="C10822" s="236"/>
      <c r="D10822" s="236"/>
    </row>
    <row r="10823" spans="2:4" ht="12.75" customHeight="1" x14ac:dyDescent="0.2">
      <c r="B10823" s="236"/>
      <c r="C10823" s="236"/>
      <c r="D10823" s="236"/>
    </row>
    <row r="10824" spans="2:4" ht="12.75" customHeight="1" x14ac:dyDescent="0.2">
      <c r="B10824" s="236"/>
      <c r="C10824" s="236"/>
      <c r="D10824" s="236"/>
    </row>
    <row r="10825" spans="2:4" ht="12.75" customHeight="1" x14ac:dyDescent="0.2">
      <c r="B10825" s="236"/>
      <c r="C10825" s="236"/>
      <c r="D10825" s="236"/>
    </row>
    <row r="10826" spans="2:4" ht="12.75" customHeight="1" x14ac:dyDescent="0.2">
      <c r="B10826" s="236"/>
      <c r="C10826" s="236"/>
      <c r="D10826" s="236"/>
    </row>
    <row r="10827" spans="2:4" x14ac:dyDescent="0.2">
      <c r="B10827" s="236"/>
      <c r="C10827" s="236"/>
      <c r="D10827" s="236"/>
    </row>
    <row r="10828" spans="2:4" ht="12.75" customHeight="1" x14ac:dyDescent="0.2">
      <c r="B10828" s="236"/>
      <c r="C10828" s="236"/>
      <c r="D10828" s="236"/>
    </row>
    <row r="10829" spans="2:4" x14ac:dyDescent="0.2">
      <c r="B10829" s="236"/>
      <c r="C10829" s="236"/>
      <c r="D10829" s="236"/>
    </row>
    <row r="10830" spans="2:4" ht="12.75" customHeight="1" x14ac:dyDescent="0.2">
      <c r="B10830" s="236"/>
      <c r="C10830" s="236"/>
      <c r="D10830" s="236"/>
    </row>
    <row r="10831" spans="2:4" ht="12.75" customHeight="1" x14ac:dyDescent="0.2">
      <c r="B10831" s="236"/>
      <c r="C10831" s="236"/>
      <c r="D10831" s="236"/>
    </row>
    <row r="10832" spans="2:4" ht="12.75" customHeight="1" x14ac:dyDescent="0.2">
      <c r="B10832" s="236"/>
      <c r="C10832" s="236"/>
      <c r="D10832" s="236"/>
    </row>
    <row r="10833" spans="2:4" ht="12.75" customHeight="1" x14ac:dyDescent="0.2">
      <c r="B10833" s="236"/>
      <c r="C10833" s="236"/>
      <c r="D10833" s="236"/>
    </row>
    <row r="10834" spans="2:4" ht="12.75" customHeight="1" x14ac:dyDescent="0.2">
      <c r="B10834" s="236"/>
      <c r="C10834" s="236"/>
      <c r="D10834" s="236"/>
    </row>
    <row r="10835" spans="2:4" x14ac:dyDescent="0.2">
      <c r="B10835" s="236"/>
      <c r="C10835" s="236"/>
      <c r="D10835" s="236"/>
    </row>
    <row r="10836" spans="2:4" ht="12.75" customHeight="1" x14ac:dyDescent="0.2">
      <c r="B10836" s="236"/>
      <c r="C10836" s="236"/>
      <c r="D10836" s="236"/>
    </row>
    <row r="10837" spans="2:4" x14ac:dyDescent="0.2">
      <c r="B10837" s="236"/>
      <c r="C10837" s="236"/>
      <c r="D10837" s="236"/>
    </row>
    <row r="10838" spans="2:4" ht="12.75" customHeight="1" x14ac:dyDescent="0.2">
      <c r="B10838" s="236"/>
      <c r="C10838" s="236"/>
      <c r="D10838" s="236"/>
    </row>
    <row r="10839" spans="2:4" x14ac:dyDescent="0.2">
      <c r="B10839" s="236"/>
      <c r="C10839" s="236"/>
      <c r="D10839" s="236"/>
    </row>
    <row r="10840" spans="2:4" ht="12.75" customHeight="1" x14ac:dyDescent="0.2">
      <c r="B10840" s="236"/>
      <c r="C10840" s="236"/>
      <c r="D10840" s="236"/>
    </row>
    <row r="10841" spans="2:4" x14ac:dyDescent="0.2">
      <c r="B10841" s="236"/>
      <c r="C10841" s="236"/>
      <c r="D10841" s="236"/>
    </row>
    <row r="10842" spans="2:4" ht="12.75" customHeight="1" x14ac:dyDescent="0.2">
      <c r="B10842" s="236"/>
      <c r="C10842" s="236"/>
      <c r="D10842" s="236"/>
    </row>
    <row r="10843" spans="2:4" ht="12.75" customHeight="1" x14ac:dyDescent="0.2">
      <c r="B10843" s="236"/>
      <c r="C10843" s="236"/>
      <c r="D10843" s="236"/>
    </row>
    <row r="10844" spans="2:4" ht="12.75" customHeight="1" x14ac:dyDescent="0.2">
      <c r="B10844" s="236"/>
      <c r="C10844" s="236"/>
      <c r="D10844" s="236"/>
    </row>
    <row r="10845" spans="2:4" ht="12.75" customHeight="1" x14ac:dyDescent="0.2">
      <c r="B10845" s="236"/>
      <c r="C10845" s="236"/>
      <c r="D10845" s="236"/>
    </row>
    <row r="10846" spans="2:4" ht="12.75" customHeight="1" x14ac:dyDescent="0.2">
      <c r="B10846" s="236"/>
      <c r="C10846" s="236"/>
      <c r="D10846" s="236"/>
    </row>
    <row r="10847" spans="2:4" ht="12.75" customHeight="1" x14ac:dyDescent="0.2">
      <c r="B10847" s="236"/>
      <c r="C10847" s="236"/>
      <c r="D10847" s="236"/>
    </row>
    <row r="10848" spans="2:4" ht="12.75" customHeight="1" x14ac:dyDescent="0.2">
      <c r="B10848" s="236"/>
      <c r="C10848" s="236"/>
      <c r="D10848" s="236"/>
    </row>
    <row r="10849" spans="2:4" ht="12.75" customHeight="1" x14ac:dyDescent="0.2">
      <c r="B10849" s="236"/>
      <c r="C10849" s="236"/>
      <c r="D10849" s="236"/>
    </row>
    <row r="10850" spans="2:4" x14ac:dyDescent="0.2">
      <c r="B10850" s="236"/>
      <c r="C10850" s="236"/>
      <c r="D10850" s="236"/>
    </row>
    <row r="10851" spans="2:4" ht="12.75" customHeight="1" x14ac:dyDescent="0.2">
      <c r="B10851" s="236"/>
      <c r="C10851" s="236"/>
      <c r="D10851" s="236"/>
    </row>
    <row r="10852" spans="2:4" ht="12.75" customHeight="1" x14ac:dyDescent="0.2">
      <c r="B10852" s="236"/>
      <c r="C10852" s="236"/>
      <c r="D10852" s="236"/>
    </row>
    <row r="10853" spans="2:4" ht="12.75" customHeight="1" x14ac:dyDescent="0.2">
      <c r="B10853" s="236"/>
      <c r="C10853" s="236"/>
      <c r="D10853" s="236"/>
    </row>
    <row r="10854" spans="2:4" ht="12.75" customHeight="1" x14ac:dyDescent="0.2">
      <c r="B10854" s="236"/>
      <c r="C10854" s="236"/>
      <c r="D10854" s="236"/>
    </row>
    <row r="10855" spans="2:4" ht="12.75" customHeight="1" x14ac:dyDescent="0.2">
      <c r="B10855" s="236"/>
      <c r="C10855" s="236"/>
      <c r="D10855" s="236"/>
    </row>
    <row r="10856" spans="2:4" ht="12.75" customHeight="1" x14ac:dyDescent="0.2">
      <c r="B10856" s="236"/>
      <c r="C10856" s="236"/>
      <c r="D10856" s="236"/>
    </row>
    <row r="10857" spans="2:4" ht="12.75" customHeight="1" x14ac:dyDescent="0.2">
      <c r="B10857" s="236"/>
      <c r="C10857" s="236"/>
      <c r="D10857" s="236"/>
    </row>
    <row r="10858" spans="2:4" ht="12.75" customHeight="1" x14ac:dyDescent="0.2">
      <c r="B10858" s="236"/>
      <c r="C10858" s="236"/>
      <c r="D10858" s="236"/>
    </row>
    <row r="10859" spans="2:4" x14ac:dyDescent="0.2">
      <c r="B10859" s="236"/>
      <c r="C10859" s="236"/>
      <c r="D10859" s="236"/>
    </row>
    <row r="10860" spans="2:4" ht="12.75" customHeight="1" x14ac:dyDescent="0.2">
      <c r="B10860" s="236"/>
      <c r="C10860" s="236"/>
      <c r="D10860" s="236"/>
    </row>
    <row r="10861" spans="2:4" x14ac:dyDescent="0.2">
      <c r="B10861" s="236"/>
      <c r="C10861" s="236"/>
      <c r="D10861" s="236"/>
    </row>
    <row r="10862" spans="2:4" ht="12.75" customHeight="1" x14ac:dyDescent="0.2">
      <c r="B10862" s="236"/>
      <c r="C10862" s="236"/>
      <c r="D10862" s="236"/>
    </row>
    <row r="10863" spans="2:4" x14ac:dyDescent="0.2">
      <c r="B10863" s="236"/>
      <c r="C10863" s="236"/>
      <c r="D10863" s="236"/>
    </row>
    <row r="10864" spans="2:4" ht="12.75" customHeight="1" x14ac:dyDescent="0.2">
      <c r="B10864" s="236"/>
      <c r="C10864" s="236"/>
      <c r="D10864" s="236"/>
    </row>
    <row r="10865" spans="2:4" ht="12.75" customHeight="1" x14ac:dyDescent="0.2">
      <c r="B10865" s="236"/>
      <c r="C10865" s="236"/>
      <c r="D10865" s="236"/>
    </row>
    <row r="10866" spans="2:4" ht="12.75" customHeight="1" x14ac:dyDescent="0.2">
      <c r="B10866" s="236"/>
      <c r="C10866" s="236"/>
      <c r="D10866" s="236"/>
    </row>
    <row r="10867" spans="2:4" ht="12.75" customHeight="1" x14ac:dyDescent="0.2">
      <c r="B10867" s="236"/>
      <c r="C10867" s="236"/>
      <c r="D10867" s="236"/>
    </row>
    <row r="10868" spans="2:4" ht="12.75" customHeight="1" x14ac:dyDescent="0.2">
      <c r="B10868" s="236"/>
      <c r="C10868" s="236"/>
      <c r="D10868" s="236"/>
    </row>
    <row r="10869" spans="2:4" ht="12.75" customHeight="1" x14ac:dyDescent="0.2">
      <c r="B10869" s="236"/>
      <c r="C10869" s="236"/>
      <c r="D10869" s="236"/>
    </row>
    <row r="10870" spans="2:4" x14ac:dyDescent="0.2">
      <c r="B10870" s="236"/>
      <c r="C10870" s="236"/>
      <c r="D10870" s="236"/>
    </row>
    <row r="10871" spans="2:4" ht="12.75" customHeight="1" x14ac:dyDescent="0.2">
      <c r="B10871" s="236"/>
      <c r="C10871" s="236"/>
      <c r="D10871" s="236"/>
    </row>
    <row r="10872" spans="2:4" ht="12.75" customHeight="1" x14ac:dyDescent="0.2">
      <c r="B10872" s="236"/>
      <c r="C10872" s="236"/>
      <c r="D10872" s="236"/>
    </row>
    <row r="10873" spans="2:4" x14ac:dyDescent="0.2">
      <c r="B10873" s="236"/>
      <c r="C10873" s="236"/>
      <c r="D10873" s="236"/>
    </row>
    <row r="10874" spans="2:4" ht="12.75" customHeight="1" x14ac:dyDescent="0.2">
      <c r="B10874" s="236"/>
      <c r="C10874" s="236"/>
      <c r="D10874" s="236"/>
    </row>
    <row r="10875" spans="2:4" ht="12.75" customHeight="1" x14ac:dyDescent="0.2">
      <c r="B10875" s="236"/>
      <c r="C10875" s="236"/>
      <c r="D10875" s="236"/>
    </row>
    <row r="10876" spans="2:4" x14ac:dyDescent="0.2">
      <c r="B10876" s="236"/>
      <c r="C10876" s="236"/>
      <c r="D10876" s="236"/>
    </row>
    <row r="10877" spans="2:4" x14ac:dyDescent="0.2">
      <c r="B10877" s="236"/>
      <c r="C10877" s="236"/>
      <c r="D10877" s="236"/>
    </row>
    <row r="10878" spans="2:4" ht="12.75" customHeight="1" x14ac:dyDescent="0.2">
      <c r="B10878" s="236"/>
      <c r="C10878" s="236"/>
      <c r="D10878" s="236"/>
    </row>
    <row r="10879" spans="2:4" ht="12.75" customHeight="1" x14ac:dyDescent="0.2">
      <c r="B10879" s="236"/>
      <c r="C10879" s="236"/>
      <c r="D10879" s="236"/>
    </row>
    <row r="10880" spans="2:4" ht="12.75" customHeight="1" x14ac:dyDescent="0.2">
      <c r="B10880" s="236"/>
      <c r="C10880" s="236"/>
      <c r="D10880" s="236"/>
    </row>
    <row r="10881" spans="2:4" ht="12.75" customHeight="1" x14ac:dyDescent="0.2">
      <c r="B10881" s="236"/>
      <c r="C10881" s="236"/>
      <c r="D10881" s="236"/>
    </row>
    <row r="10882" spans="2:4" ht="12.75" customHeight="1" x14ac:dyDescent="0.2">
      <c r="B10882" s="236"/>
      <c r="C10882" s="236"/>
      <c r="D10882" s="236"/>
    </row>
    <row r="10883" spans="2:4" ht="12.75" customHeight="1" x14ac:dyDescent="0.2">
      <c r="B10883" s="236"/>
      <c r="C10883" s="236"/>
      <c r="D10883" s="236"/>
    </row>
    <row r="10884" spans="2:4" ht="12.75" customHeight="1" x14ac:dyDescent="0.2">
      <c r="B10884" s="236"/>
      <c r="C10884" s="236"/>
      <c r="D10884" s="236"/>
    </row>
    <row r="10885" spans="2:4" x14ac:dyDescent="0.2">
      <c r="B10885" s="236"/>
      <c r="C10885" s="236"/>
      <c r="D10885" s="236"/>
    </row>
    <row r="10886" spans="2:4" ht="12.75" customHeight="1" x14ac:dyDescent="0.2">
      <c r="B10886" s="236"/>
      <c r="C10886" s="236"/>
      <c r="D10886" s="236"/>
    </row>
    <row r="10887" spans="2:4" ht="12.75" customHeight="1" x14ac:dyDescent="0.2">
      <c r="B10887" s="236"/>
      <c r="C10887" s="236"/>
      <c r="D10887" s="236"/>
    </row>
    <row r="10888" spans="2:4" ht="12.75" customHeight="1" x14ac:dyDescent="0.2">
      <c r="B10888" s="236"/>
      <c r="C10888" s="236"/>
      <c r="D10888" s="236"/>
    </row>
    <row r="10889" spans="2:4" x14ac:dyDescent="0.2">
      <c r="B10889" s="236"/>
      <c r="C10889" s="236"/>
      <c r="D10889" s="236"/>
    </row>
    <row r="10890" spans="2:4" ht="12.75" customHeight="1" x14ac:dyDescent="0.2">
      <c r="B10890" s="236"/>
      <c r="C10890" s="236"/>
      <c r="D10890" s="236"/>
    </row>
    <row r="10891" spans="2:4" ht="12.75" customHeight="1" x14ac:dyDescent="0.2">
      <c r="B10891" s="236"/>
      <c r="C10891" s="236"/>
      <c r="D10891" s="236"/>
    </row>
    <row r="10892" spans="2:4" ht="12.75" customHeight="1" x14ac:dyDescent="0.2">
      <c r="B10892" s="236"/>
      <c r="C10892" s="236"/>
      <c r="D10892" s="236"/>
    </row>
    <row r="10893" spans="2:4" ht="12.75" customHeight="1" x14ac:dyDescent="0.2">
      <c r="B10893" s="236"/>
      <c r="C10893" s="236"/>
      <c r="D10893" s="236"/>
    </row>
    <row r="10894" spans="2:4" ht="12.75" customHeight="1" x14ac:dyDescent="0.2">
      <c r="B10894" s="236"/>
      <c r="C10894" s="236"/>
      <c r="D10894" s="236"/>
    </row>
    <row r="10895" spans="2:4" ht="12.75" customHeight="1" x14ac:dyDescent="0.2">
      <c r="B10895" s="236"/>
      <c r="C10895" s="236"/>
      <c r="D10895" s="236"/>
    </row>
    <row r="10896" spans="2:4" x14ac:dyDescent="0.2">
      <c r="B10896" s="236"/>
      <c r="C10896" s="236"/>
      <c r="D10896" s="236"/>
    </row>
    <row r="10897" spans="2:4" ht="12.75" customHeight="1" x14ac:dyDescent="0.2">
      <c r="B10897" s="236"/>
      <c r="C10897" s="236"/>
      <c r="D10897" s="236"/>
    </row>
    <row r="10898" spans="2:4" ht="12.75" customHeight="1" x14ac:dyDescent="0.2">
      <c r="B10898" s="236"/>
      <c r="C10898" s="236"/>
      <c r="D10898" s="236"/>
    </row>
    <row r="10899" spans="2:4" ht="12.75" customHeight="1" x14ac:dyDescent="0.2">
      <c r="B10899" s="236"/>
      <c r="C10899" s="236"/>
      <c r="D10899" s="236"/>
    </row>
    <row r="10900" spans="2:4" ht="12.75" customHeight="1" x14ac:dyDescent="0.2">
      <c r="B10900" s="236"/>
      <c r="C10900" s="236"/>
      <c r="D10900" s="236"/>
    </row>
    <row r="10901" spans="2:4" ht="12.75" customHeight="1" x14ac:dyDescent="0.2">
      <c r="B10901" s="236"/>
      <c r="C10901" s="236"/>
      <c r="D10901" s="236"/>
    </row>
    <row r="10902" spans="2:4" ht="12.75" customHeight="1" x14ac:dyDescent="0.2">
      <c r="B10902" s="236"/>
      <c r="C10902" s="236"/>
      <c r="D10902" s="236"/>
    </row>
    <row r="10903" spans="2:4" ht="12.75" customHeight="1" x14ac:dyDescent="0.2">
      <c r="B10903" s="236"/>
      <c r="C10903" s="236"/>
      <c r="D10903" s="236"/>
    </row>
    <row r="10904" spans="2:4" ht="12.75" customHeight="1" x14ac:dyDescent="0.2">
      <c r="B10904" s="236"/>
      <c r="C10904" s="236"/>
      <c r="D10904" s="236"/>
    </row>
    <row r="10905" spans="2:4" ht="12.75" customHeight="1" x14ac:dyDescent="0.2">
      <c r="B10905" s="236"/>
      <c r="C10905" s="236"/>
      <c r="D10905" s="236"/>
    </row>
    <row r="10906" spans="2:4" ht="12.75" customHeight="1" x14ac:dyDescent="0.2">
      <c r="B10906" s="236"/>
      <c r="C10906" s="236"/>
      <c r="D10906" s="236"/>
    </row>
    <row r="10907" spans="2:4" ht="12.75" customHeight="1" x14ac:dyDescent="0.2">
      <c r="B10907" s="236"/>
      <c r="C10907" s="236"/>
      <c r="D10907" s="236"/>
    </row>
    <row r="10908" spans="2:4" ht="12.75" customHeight="1" x14ac:dyDescent="0.2">
      <c r="B10908" s="236"/>
      <c r="C10908" s="236"/>
      <c r="D10908" s="236"/>
    </row>
    <row r="10909" spans="2:4" ht="12.75" customHeight="1" x14ac:dyDescent="0.2">
      <c r="B10909" s="236"/>
      <c r="C10909" s="236"/>
      <c r="D10909" s="236"/>
    </row>
    <row r="10910" spans="2:4" ht="12.75" customHeight="1" x14ac:dyDescent="0.2">
      <c r="B10910" s="236"/>
      <c r="C10910" s="236"/>
      <c r="D10910" s="236"/>
    </row>
    <row r="10911" spans="2:4" x14ac:dyDescent="0.2">
      <c r="B10911" s="236"/>
      <c r="C10911" s="236"/>
      <c r="D10911" s="236"/>
    </row>
    <row r="10912" spans="2:4" ht="12.75" customHeight="1" x14ac:dyDescent="0.2">
      <c r="B10912" s="236"/>
      <c r="C10912" s="236"/>
      <c r="D10912" s="236"/>
    </row>
    <row r="10913" spans="2:4" ht="12.75" customHeight="1" x14ac:dyDescent="0.2">
      <c r="B10913" s="236"/>
      <c r="C10913" s="236"/>
      <c r="D10913" s="236"/>
    </row>
    <row r="10914" spans="2:4" ht="12.75" customHeight="1" x14ac:dyDescent="0.2">
      <c r="B10914" s="236"/>
      <c r="C10914" s="236"/>
      <c r="D10914" s="236"/>
    </row>
    <row r="10915" spans="2:4" ht="12.75" customHeight="1" x14ac:dyDescent="0.2">
      <c r="B10915" s="236"/>
      <c r="C10915" s="236"/>
      <c r="D10915" s="236"/>
    </row>
    <row r="10916" spans="2:4" ht="12.75" customHeight="1" x14ac:dyDescent="0.2">
      <c r="B10916" s="236"/>
      <c r="C10916" s="236"/>
      <c r="D10916" s="236"/>
    </row>
    <row r="10917" spans="2:4" x14ac:dyDescent="0.2">
      <c r="B10917" s="236"/>
      <c r="C10917" s="236"/>
      <c r="D10917" s="236"/>
    </row>
    <row r="10918" spans="2:4" ht="12.75" customHeight="1" x14ac:dyDescent="0.2">
      <c r="B10918" s="236"/>
      <c r="C10918" s="236"/>
      <c r="D10918" s="236"/>
    </row>
    <row r="10919" spans="2:4" ht="12.75" customHeight="1" x14ac:dyDescent="0.2">
      <c r="B10919" s="236"/>
      <c r="C10919" s="236"/>
      <c r="D10919" s="236"/>
    </row>
    <row r="10920" spans="2:4" ht="12.75" customHeight="1" x14ac:dyDescent="0.2">
      <c r="B10920" s="236"/>
      <c r="C10920" s="236"/>
      <c r="D10920" s="236"/>
    </row>
    <row r="10921" spans="2:4" ht="12.75" customHeight="1" x14ac:dyDescent="0.2">
      <c r="B10921" s="236"/>
      <c r="C10921" s="236"/>
      <c r="D10921" s="236"/>
    </row>
    <row r="10922" spans="2:4" ht="12.75" customHeight="1" x14ac:dyDescent="0.2">
      <c r="B10922" s="236"/>
      <c r="C10922" s="236"/>
      <c r="D10922" s="236"/>
    </row>
    <row r="10923" spans="2:4" ht="12.75" customHeight="1" x14ac:dyDescent="0.2">
      <c r="B10923" s="236"/>
      <c r="C10923" s="236"/>
      <c r="D10923" s="236"/>
    </row>
    <row r="10924" spans="2:4" ht="12.75" customHeight="1" x14ac:dyDescent="0.2">
      <c r="B10924" s="236"/>
      <c r="C10924" s="236"/>
      <c r="D10924" s="236"/>
    </row>
    <row r="10925" spans="2:4" x14ac:dyDescent="0.2">
      <c r="B10925" s="236"/>
      <c r="C10925" s="236"/>
      <c r="D10925" s="236"/>
    </row>
    <row r="10926" spans="2:4" ht="12.75" customHeight="1" x14ac:dyDescent="0.2">
      <c r="B10926" s="236"/>
      <c r="C10926" s="236"/>
      <c r="D10926" s="236"/>
    </row>
    <row r="10927" spans="2:4" ht="12.75" customHeight="1" x14ac:dyDescent="0.2">
      <c r="B10927" s="236"/>
      <c r="C10927" s="236"/>
      <c r="D10927" s="236"/>
    </row>
    <row r="10928" spans="2:4" ht="12.75" customHeight="1" x14ac:dyDescent="0.2">
      <c r="B10928" s="236"/>
      <c r="C10928" s="236"/>
      <c r="D10928" s="236"/>
    </row>
    <row r="10929" spans="2:4" ht="12.75" customHeight="1" x14ac:dyDescent="0.2">
      <c r="B10929" s="236"/>
      <c r="C10929" s="236"/>
      <c r="D10929" s="236"/>
    </row>
    <row r="10930" spans="2:4" x14ac:dyDescent="0.2">
      <c r="B10930" s="236"/>
      <c r="C10930" s="236"/>
      <c r="D10930" s="236"/>
    </row>
    <row r="10931" spans="2:4" ht="12.75" customHeight="1" x14ac:dyDescent="0.2">
      <c r="B10931" s="236"/>
      <c r="C10931" s="236"/>
      <c r="D10931" s="236"/>
    </row>
    <row r="10932" spans="2:4" ht="12.75" customHeight="1" x14ac:dyDescent="0.2">
      <c r="B10932" s="236"/>
      <c r="C10932" s="236"/>
      <c r="D10932" s="236"/>
    </row>
    <row r="10933" spans="2:4" ht="12.75" customHeight="1" x14ac:dyDescent="0.2">
      <c r="B10933" s="236"/>
      <c r="C10933" s="236"/>
      <c r="D10933" s="236"/>
    </row>
    <row r="10934" spans="2:4" ht="12.75" customHeight="1" x14ac:dyDescent="0.2">
      <c r="B10934" s="236"/>
      <c r="C10934" s="236"/>
      <c r="D10934" s="236"/>
    </row>
    <row r="10935" spans="2:4" ht="12.75" customHeight="1" x14ac:dyDescent="0.2">
      <c r="B10935" s="236"/>
      <c r="C10935" s="236"/>
      <c r="D10935" s="236"/>
    </row>
    <row r="10936" spans="2:4" ht="12.75" customHeight="1" x14ac:dyDescent="0.2">
      <c r="B10936" s="236"/>
      <c r="C10936" s="236"/>
      <c r="D10936" s="236"/>
    </row>
    <row r="10937" spans="2:4" ht="12.75" customHeight="1" x14ac:dyDescent="0.2">
      <c r="B10937" s="236"/>
      <c r="C10937" s="236"/>
      <c r="D10937" s="236"/>
    </row>
    <row r="10938" spans="2:4" ht="12.75" customHeight="1" x14ac:dyDescent="0.2">
      <c r="B10938" s="236"/>
      <c r="C10938" s="236"/>
      <c r="D10938" s="236"/>
    </row>
    <row r="10939" spans="2:4" ht="12.75" customHeight="1" x14ac:dyDescent="0.2">
      <c r="B10939" s="236"/>
      <c r="C10939" s="236"/>
      <c r="D10939" s="236"/>
    </row>
    <row r="10940" spans="2:4" ht="12.75" customHeight="1" x14ac:dyDescent="0.2">
      <c r="B10940" s="236"/>
      <c r="C10940" s="236"/>
      <c r="D10940" s="236"/>
    </row>
    <row r="10941" spans="2:4" ht="12.75" customHeight="1" x14ac:dyDescent="0.2">
      <c r="B10941" s="236"/>
      <c r="C10941" s="236"/>
      <c r="D10941" s="236"/>
    </row>
    <row r="10942" spans="2:4" ht="12.75" customHeight="1" x14ac:dyDescent="0.2">
      <c r="B10942" s="236"/>
      <c r="C10942" s="236"/>
      <c r="D10942" s="236"/>
    </row>
    <row r="10943" spans="2:4" ht="12.75" customHeight="1" x14ac:dyDescent="0.2">
      <c r="B10943" s="236"/>
      <c r="C10943" s="236"/>
      <c r="D10943" s="236"/>
    </row>
    <row r="10944" spans="2:4" ht="12.75" customHeight="1" x14ac:dyDescent="0.2">
      <c r="B10944" s="236"/>
      <c r="C10944" s="236"/>
      <c r="D10944" s="236"/>
    </row>
    <row r="10945" spans="2:4" x14ac:dyDescent="0.2">
      <c r="B10945" s="236"/>
      <c r="C10945" s="236"/>
      <c r="D10945" s="236"/>
    </row>
    <row r="10946" spans="2:4" ht="12.75" customHeight="1" x14ac:dyDescent="0.2">
      <c r="B10946" s="236"/>
      <c r="C10946" s="236"/>
      <c r="D10946" s="236"/>
    </row>
    <row r="10947" spans="2:4" x14ac:dyDescent="0.2">
      <c r="B10947" s="236"/>
      <c r="C10947" s="236"/>
      <c r="D10947" s="236"/>
    </row>
    <row r="10948" spans="2:4" ht="12.75" customHeight="1" x14ac:dyDescent="0.2">
      <c r="B10948" s="236"/>
      <c r="C10948" s="236"/>
      <c r="D10948" s="236"/>
    </row>
    <row r="10949" spans="2:4" x14ac:dyDescent="0.2">
      <c r="B10949" s="236"/>
      <c r="C10949" s="236"/>
      <c r="D10949" s="236"/>
    </row>
    <row r="10950" spans="2:4" ht="12.75" customHeight="1" x14ac:dyDescent="0.2">
      <c r="B10950" s="236"/>
      <c r="C10950" s="236"/>
      <c r="D10950" s="236"/>
    </row>
    <row r="10951" spans="2:4" ht="12.75" customHeight="1" x14ac:dyDescent="0.2">
      <c r="B10951" s="236"/>
      <c r="C10951" s="236"/>
      <c r="D10951" s="236"/>
    </row>
    <row r="10952" spans="2:4" x14ac:dyDescent="0.2">
      <c r="B10952" s="236"/>
      <c r="C10952" s="236"/>
      <c r="D10952" s="236"/>
    </row>
    <row r="10953" spans="2:4" ht="12.75" customHeight="1" x14ac:dyDescent="0.2">
      <c r="B10953" s="236"/>
      <c r="C10953" s="236"/>
      <c r="D10953" s="236"/>
    </row>
    <row r="10954" spans="2:4" ht="12.75" customHeight="1" x14ac:dyDescent="0.2">
      <c r="B10954" s="236"/>
      <c r="C10954" s="236"/>
      <c r="D10954" s="236"/>
    </row>
    <row r="10955" spans="2:4" ht="12.75" customHeight="1" x14ac:dyDescent="0.2">
      <c r="B10955" s="236"/>
      <c r="C10955" s="236"/>
      <c r="D10955" s="236"/>
    </row>
    <row r="10956" spans="2:4" ht="12.75" customHeight="1" x14ac:dyDescent="0.2">
      <c r="B10956" s="236"/>
      <c r="C10956" s="236"/>
      <c r="D10956" s="236"/>
    </row>
    <row r="10957" spans="2:4" ht="12.75" customHeight="1" x14ac:dyDescent="0.2">
      <c r="B10957" s="236"/>
      <c r="C10957" s="236"/>
      <c r="D10957" s="236"/>
    </row>
    <row r="10958" spans="2:4" x14ac:dyDescent="0.2">
      <c r="B10958" s="236"/>
      <c r="C10958" s="236"/>
      <c r="D10958" s="236"/>
    </row>
    <row r="10959" spans="2:4" ht="12.75" customHeight="1" x14ac:dyDescent="0.2">
      <c r="B10959" s="236"/>
      <c r="C10959" s="236"/>
      <c r="D10959" s="236"/>
    </row>
    <row r="10960" spans="2:4" x14ac:dyDescent="0.2">
      <c r="B10960" s="236"/>
      <c r="C10960" s="236"/>
      <c r="D10960" s="236"/>
    </row>
    <row r="10961" spans="2:4" ht="12.75" customHeight="1" x14ac:dyDescent="0.2">
      <c r="B10961" s="236"/>
      <c r="C10961" s="236"/>
      <c r="D10961" s="236"/>
    </row>
    <row r="10962" spans="2:4" ht="12.75" customHeight="1" x14ac:dyDescent="0.2">
      <c r="B10962" s="236"/>
      <c r="C10962" s="236"/>
      <c r="D10962" s="236"/>
    </row>
    <row r="10963" spans="2:4" x14ac:dyDescent="0.2">
      <c r="B10963" s="236"/>
      <c r="C10963" s="236"/>
      <c r="D10963" s="236"/>
    </row>
    <row r="10964" spans="2:4" ht="12.75" customHeight="1" x14ac:dyDescent="0.2">
      <c r="B10964" s="236"/>
      <c r="C10964" s="236"/>
      <c r="D10964" s="236"/>
    </row>
    <row r="10965" spans="2:4" x14ac:dyDescent="0.2">
      <c r="B10965" s="236"/>
      <c r="C10965" s="236"/>
      <c r="D10965" s="236"/>
    </row>
    <row r="10966" spans="2:4" ht="12.75" customHeight="1" x14ac:dyDescent="0.2">
      <c r="B10966" s="236"/>
      <c r="C10966" s="236"/>
      <c r="D10966" s="236"/>
    </row>
    <row r="10967" spans="2:4" ht="12.75" customHeight="1" x14ac:dyDescent="0.2">
      <c r="B10967" s="236"/>
      <c r="C10967" s="236"/>
      <c r="D10967" s="236"/>
    </row>
    <row r="10968" spans="2:4" ht="12.75" customHeight="1" x14ac:dyDescent="0.2">
      <c r="B10968" s="236"/>
      <c r="C10968" s="236"/>
      <c r="D10968" s="236"/>
    </row>
    <row r="10969" spans="2:4" ht="12.75" customHeight="1" x14ac:dyDescent="0.2">
      <c r="B10969" s="236"/>
      <c r="C10969" s="236"/>
      <c r="D10969" s="236"/>
    </row>
    <row r="10970" spans="2:4" ht="12.75" customHeight="1" x14ac:dyDescent="0.2">
      <c r="B10970" s="236"/>
      <c r="C10970" s="236"/>
      <c r="D10970" s="236"/>
    </row>
    <row r="10971" spans="2:4" x14ac:dyDescent="0.2">
      <c r="B10971" s="236"/>
      <c r="C10971" s="236"/>
      <c r="D10971" s="236"/>
    </row>
    <row r="10972" spans="2:4" ht="12.75" customHeight="1" x14ac:dyDescent="0.2">
      <c r="B10972" s="236"/>
      <c r="C10972" s="236"/>
      <c r="D10972" s="236"/>
    </row>
    <row r="10973" spans="2:4" ht="12.75" customHeight="1" x14ac:dyDescent="0.2">
      <c r="B10973" s="236"/>
      <c r="C10973" s="236"/>
      <c r="D10973" s="236"/>
    </row>
    <row r="10974" spans="2:4" x14ac:dyDescent="0.2">
      <c r="B10974" s="236"/>
      <c r="C10974" s="236"/>
      <c r="D10974" s="236"/>
    </row>
    <row r="10975" spans="2:4" ht="12.75" customHeight="1" x14ac:dyDescent="0.2">
      <c r="B10975" s="236"/>
      <c r="C10975" s="236"/>
      <c r="D10975" s="236"/>
    </row>
    <row r="10976" spans="2:4" x14ac:dyDescent="0.2">
      <c r="B10976" s="236"/>
      <c r="C10976" s="236"/>
      <c r="D10976" s="236"/>
    </row>
    <row r="10977" spans="2:4" ht="12.75" customHeight="1" x14ac:dyDescent="0.2">
      <c r="B10977" s="236"/>
      <c r="C10977" s="236"/>
      <c r="D10977" s="236"/>
    </row>
    <row r="10978" spans="2:4" ht="12.75" customHeight="1" x14ac:dyDescent="0.2">
      <c r="B10978" s="236"/>
      <c r="C10978" s="236"/>
      <c r="D10978" s="236"/>
    </row>
    <row r="10979" spans="2:4" ht="12.75" customHeight="1" x14ac:dyDescent="0.2">
      <c r="B10979" s="236"/>
      <c r="C10979" s="236"/>
      <c r="D10979" s="236"/>
    </row>
    <row r="10980" spans="2:4" ht="12.75" customHeight="1" x14ac:dyDescent="0.2">
      <c r="B10980" s="236"/>
      <c r="C10980" s="236"/>
      <c r="D10980" s="236"/>
    </row>
    <row r="10981" spans="2:4" ht="12.75" customHeight="1" x14ac:dyDescent="0.2">
      <c r="B10981" s="236"/>
      <c r="C10981" s="236"/>
      <c r="D10981" s="236"/>
    </row>
    <row r="10982" spans="2:4" ht="12.75" customHeight="1" x14ac:dyDescent="0.2">
      <c r="B10982" s="236"/>
      <c r="C10982" s="236"/>
      <c r="D10982" s="236"/>
    </row>
    <row r="10983" spans="2:4" x14ac:dyDescent="0.2">
      <c r="B10983" s="236"/>
      <c r="C10983" s="236"/>
      <c r="D10983" s="236"/>
    </row>
    <row r="10984" spans="2:4" ht="12.75" customHeight="1" x14ac:dyDescent="0.2">
      <c r="B10984" s="236"/>
      <c r="C10984" s="236"/>
      <c r="D10984" s="236"/>
    </row>
    <row r="10985" spans="2:4" ht="12.75" customHeight="1" x14ac:dyDescent="0.2">
      <c r="B10985" s="236"/>
      <c r="C10985" s="236"/>
      <c r="D10985" s="236"/>
    </row>
    <row r="10986" spans="2:4" ht="12.75" customHeight="1" x14ac:dyDescent="0.2">
      <c r="B10986" s="236"/>
      <c r="C10986" s="236"/>
      <c r="D10986" s="236"/>
    </row>
    <row r="10987" spans="2:4" ht="12.75" customHeight="1" x14ac:dyDescent="0.2">
      <c r="B10987" s="236"/>
      <c r="C10987" s="236"/>
      <c r="D10987" s="236"/>
    </row>
    <row r="10988" spans="2:4" ht="12.75" customHeight="1" x14ac:dyDescent="0.2">
      <c r="B10988" s="236"/>
      <c r="C10988" s="236"/>
      <c r="D10988" s="236"/>
    </row>
    <row r="10989" spans="2:4" ht="12.75" customHeight="1" x14ac:dyDescent="0.2">
      <c r="B10989" s="236"/>
      <c r="C10989" s="236"/>
      <c r="D10989" s="236"/>
    </row>
    <row r="10990" spans="2:4" x14ac:dyDescent="0.2">
      <c r="B10990" s="236"/>
      <c r="C10990" s="236"/>
      <c r="D10990" s="236"/>
    </row>
    <row r="10991" spans="2:4" ht="12.75" customHeight="1" x14ac:dyDescent="0.2">
      <c r="B10991" s="236"/>
      <c r="C10991" s="236"/>
      <c r="D10991" s="236"/>
    </row>
    <row r="10992" spans="2:4" ht="12.75" customHeight="1" x14ac:dyDescent="0.2">
      <c r="B10992" s="236"/>
      <c r="C10992" s="236"/>
      <c r="D10992" s="236"/>
    </row>
    <row r="10993" spans="2:4" x14ac:dyDescent="0.2">
      <c r="B10993" s="236"/>
      <c r="C10993" s="236"/>
      <c r="D10993" s="236"/>
    </row>
    <row r="10994" spans="2:4" ht="12.75" customHeight="1" x14ac:dyDescent="0.2">
      <c r="B10994" s="236"/>
      <c r="C10994" s="236"/>
      <c r="D10994" s="236"/>
    </row>
    <row r="10995" spans="2:4" ht="12.75" customHeight="1" x14ac:dyDescent="0.2">
      <c r="B10995" s="236"/>
      <c r="C10995" s="236"/>
      <c r="D10995" s="236"/>
    </row>
    <row r="10996" spans="2:4" ht="12.75" customHeight="1" x14ac:dyDescent="0.2">
      <c r="B10996" s="236"/>
      <c r="C10996" s="236"/>
      <c r="D10996" s="236"/>
    </row>
    <row r="10997" spans="2:4" ht="12.75" customHeight="1" x14ac:dyDescent="0.2">
      <c r="B10997" s="236"/>
      <c r="C10997" s="236"/>
      <c r="D10997" s="236"/>
    </row>
    <row r="10998" spans="2:4" x14ac:dyDescent="0.2">
      <c r="B10998" s="236"/>
      <c r="C10998" s="236"/>
      <c r="D10998" s="236"/>
    </row>
    <row r="10999" spans="2:4" ht="12.75" customHeight="1" x14ac:dyDescent="0.2">
      <c r="B10999" s="236"/>
      <c r="C10999" s="236"/>
      <c r="D10999" s="236"/>
    </row>
    <row r="11000" spans="2:4" ht="12.75" customHeight="1" x14ac:dyDescent="0.2">
      <c r="B11000" s="236"/>
      <c r="C11000" s="236"/>
      <c r="D11000" s="236"/>
    </row>
    <row r="11001" spans="2:4" ht="12.75" customHeight="1" x14ac:dyDescent="0.2">
      <c r="B11001" s="236"/>
      <c r="C11001" s="236"/>
      <c r="D11001" s="236"/>
    </row>
    <row r="11002" spans="2:4" ht="12.75" customHeight="1" x14ac:dyDescent="0.2">
      <c r="B11002" s="236"/>
      <c r="C11002" s="236"/>
      <c r="D11002" s="236"/>
    </row>
    <row r="11003" spans="2:4" ht="12.75" customHeight="1" x14ac:dyDescent="0.2">
      <c r="B11003" s="236"/>
      <c r="C11003" s="236"/>
      <c r="D11003" s="236"/>
    </row>
    <row r="11004" spans="2:4" ht="12.75" customHeight="1" x14ac:dyDescent="0.2">
      <c r="B11004" s="236"/>
      <c r="C11004" s="236"/>
      <c r="D11004" s="236"/>
    </row>
    <row r="11005" spans="2:4" ht="12.75" customHeight="1" x14ac:dyDescent="0.2">
      <c r="B11005" s="236"/>
      <c r="C11005" s="236"/>
      <c r="D11005" s="236"/>
    </row>
    <row r="11006" spans="2:4" ht="12.75" customHeight="1" x14ac:dyDescent="0.2">
      <c r="B11006" s="236"/>
      <c r="C11006" s="236"/>
      <c r="D11006" s="236"/>
    </row>
    <row r="11007" spans="2:4" ht="12.75" customHeight="1" x14ac:dyDescent="0.2">
      <c r="B11007" s="236"/>
      <c r="C11007" s="236"/>
      <c r="D11007" s="236"/>
    </row>
    <row r="11008" spans="2:4" ht="12.75" customHeight="1" x14ac:dyDescent="0.2">
      <c r="B11008" s="236"/>
      <c r="C11008" s="236"/>
      <c r="D11008" s="236"/>
    </row>
    <row r="11009" spans="2:4" ht="12.75" customHeight="1" x14ac:dyDescent="0.2">
      <c r="B11009" s="236"/>
      <c r="C11009" s="236"/>
      <c r="D11009" s="236"/>
    </row>
    <row r="11010" spans="2:4" ht="12.75" customHeight="1" x14ac:dyDescent="0.2">
      <c r="B11010" s="236"/>
      <c r="C11010" s="236"/>
      <c r="D11010" s="236"/>
    </row>
    <row r="11011" spans="2:4" ht="12.75" customHeight="1" x14ac:dyDescent="0.2">
      <c r="B11011" s="236"/>
      <c r="C11011" s="236"/>
      <c r="D11011" s="236"/>
    </row>
    <row r="11012" spans="2:4" ht="12.75" customHeight="1" x14ac:dyDescent="0.2">
      <c r="B11012" s="236"/>
      <c r="C11012" s="236"/>
      <c r="D11012" s="236"/>
    </row>
    <row r="11013" spans="2:4" ht="12.75" customHeight="1" x14ac:dyDescent="0.2">
      <c r="B11013" s="236"/>
      <c r="C11013" s="236"/>
      <c r="D11013" s="236"/>
    </row>
    <row r="11014" spans="2:4" ht="12.75" customHeight="1" x14ac:dyDescent="0.2">
      <c r="B11014" s="236"/>
      <c r="C11014" s="236"/>
      <c r="D11014" s="236"/>
    </row>
    <row r="11015" spans="2:4" x14ac:dyDescent="0.2">
      <c r="B11015" s="236"/>
      <c r="C11015" s="236"/>
      <c r="D11015" s="236"/>
    </row>
    <row r="11016" spans="2:4" ht="12.75" customHeight="1" x14ac:dyDescent="0.2">
      <c r="B11016" s="236"/>
      <c r="C11016" s="236"/>
      <c r="D11016" s="236"/>
    </row>
    <row r="11017" spans="2:4" ht="12.75" customHeight="1" x14ac:dyDescent="0.2">
      <c r="B11017" s="236"/>
      <c r="C11017" s="236"/>
      <c r="D11017" s="236"/>
    </row>
    <row r="11018" spans="2:4" ht="12.75" customHeight="1" x14ac:dyDescent="0.2">
      <c r="B11018" s="236"/>
      <c r="C11018" s="236"/>
      <c r="D11018" s="236"/>
    </row>
    <row r="11019" spans="2:4" x14ac:dyDescent="0.2">
      <c r="B11019" s="236"/>
      <c r="C11019" s="236"/>
      <c r="D11019" s="236"/>
    </row>
    <row r="11020" spans="2:4" ht="12.75" customHeight="1" x14ac:dyDescent="0.2">
      <c r="B11020" s="236"/>
      <c r="C11020" s="236"/>
      <c r="D11020" s="236"/>
    </row>
    <row r="11021" spans="2:4" ht="12.75" customHeight="1" x14ac:dyDescent="0.2">
      <c r="B11021" s="236"/>
      <c r="C11021" s="236"/>
      <c r="D11021" s="236"/>
    </row>
    <row r="11022" spans="2:4" x14ac:dyDescent="0.2">
      <c r="B11022" s="236"/>
      <c r="C11022" s="236"/>
      <c r="D11022" s="236"/>
    </row>
    <row r="11023" spans="2:4" ht="12.75" customHeight="1" x14ac:dyDescent="0.2">
      <c r="B11023" s="236"/>
      <c r="C11023" s="236"/>
      <c r="D11023" s="236"/>
    </row>
    <row r="11024" spans="2:4" ht="12.75" customHeight="1" x14ac:dyDescent="0.2">
      <c r="B11024" s="236"/>
      <c r="C11024" s="236"/>
      <c r="D11024" s="236"/>
    </row>
    <row r="11025" spans="2:4" ht="12.75" customHeight="1" x14ac:dyDescent="0.2">
      <c r="B11025" s="236"/>
      <c r="C11025" s="236"/>
      <c r="D11025" s="236"/>
    </row>
    <row r="11026" spans="2:4" ht="12.75" customHeight="1" x14ac:dyDescent="0.2">
      <c r="B11026" s="236"/>
      <c r="C11026" s="236"/>
      <c r="D11026" s="236"/>
    </row>
    <row r="11027" spans="2:4" ht="12.75" customHeight="1" x14ac:dyDescent="0.2">
      <c r="B11027" s="236"/>
      <c r="C11027" s="236"/>
      <c r="D11027" s="236"/>
    </row>
    <row r="11028" spans="2:4" ht="12.75" customHeight="1" x14ac:dyDescent="0.2">
      <c r="B11028" s="236"/>
      <c r="C11028" s="236"/>
      <c r="D11028" s="236"/>
    </row>
    <row r="11029" spans="2:4" ht="12.75" customHeight="1" x14ac:dyDescent="0.2">
      <c r="B11029" s="236"/>
      <c r="C11029" s="236"/>
      <c r="D11029" s="236"/>
    </row>
    <row r="11030" spans="2:4" ht="12.75" customHeight="1" x14ac:dyDescent="0.2">
      <c r="B11030" s="236"/>
      <c r="C11030" s="236"/>
      <c r="D11030" s="236"/>
    </row>
    <row r="11031" spans="2:4" x14ac:dyDescent="0.2">
      <c r="B11031" s="236"/>
      <c r="C11031" s="236"/>
      <c r="D11031" s="236"/>
    </row>
    <row r="11032" spans="2:4" ht="12.75" customHeight="1" x14ac:dyDescent="0.2">
      <c r="B11032" s="236"/>
      <c r="C11032" s="236"/>
      <c r="D11032" s="236"/>
    </row>
    <row r="11033" spans="2:4" ht="12.75" customHeight="1" x14ac:dyDescent="0.2">
      <c r="B11033" s="236"/>
      <c r="C11033" s="236"/>
      <c r="D11033" s="236"/>
    </row>
    <row r="11034" spans="2:4" ht="12.75" customHeight="1" x14ac:dyDescent="0.2">
      <c r="B11034" s="236"/>
      <c r="C11034" s="236"/>
      <c r="D11034" s="236"/>
    </row>
    <row r="11035" spans="2:4" x14ac:dyDescent="0.2">
      <c r="B11035" s="236"/>
      <c r="C11035" s="236"/>
      <c r="D11035" s="236"/>
    </row>
    <row r="11036" spans="2:4" ht="12.75" customHeight="1" x14ac:dyDescent="0.2">
      <c r="B11036" s="236"/>
      <c r="C11036" s="236"/>
      <c r="D11036" s="236"/>
    </row>
    <row r="11037" spans="2:4" x14ac:dyDescent="0.2">
      <c r="B11037" s="236"/>
      <c r="C11037" s="236"/>
      <c r="D11037" s="236"/>
    </row>
    <row r="11038" spans="2:4" ht="12.75" customHeight="1" x14ac:dyDescent="0.2">
      <c r="B11038" s="236"/>
      <c r="C11038" s="236"/>
      <c r="D11038" s="236"/>
    </row>
    <row r="11039" spans="2:4" ht="12.75" customHeight="1" x14ac:dyDescent="0.2">
      <c r="B11039" s="236"/>
      <c r="C11039" s="236"/>
      <c r="D11039" s="236"/>
    </row>
    <row r="11040" spans="2:4" ht="12.75" customHeight="1" x14ac:dyDescent="0.2">
      <c r="B11040" s="236"/>
      <c r="C11040" s="236"/>
      <c r="D11040" s="236"/>
    </row>
    <row r="11041" spans="2:4" ht="12.75" customHeight="1" x14ac:dyDescent="0.2">
      <c r="B11041" s="236"/>
      <c r="C11041" s="236"/>
      <c r="D11041" s="236"/>
    </row>
    <row r="11042" spans="2:4" x14ac:dyDescent="0.2">
      <c r="B11042" s="236"/>
      <c r="C11042" s="236"/>
      <c r="D11042" s="236"/>
    </row>
    <row r="11043" spans="2:4" ht="12.75" customHeight="1" x14ac:dyDescent="0.2">
      <c r="B11043" s="236"/>
      <c r="C11043" s="236"/>
      <c r="D11043" s="236"/>
    </row>
    <row r="11044" spans="2:4" x14ac:dyDescent="0.2">
      <c r="B11044" s="236"/>
      <c r="C11044" s="236"/>
      <c r="D11044" s="236"/>
    </row>
    <row r="11045" spans="2:4" ht="12.75" customHeight="1" x14ac:dyDescent="0.2">
      <c r="B11045" s="236"/>
      <c r="C11045" s="236"/>
      <c r="D11045" s="236"/>
    </row>
    <row r="11046" spans="2:4" x14ac:dyDescent="0.2">
      <c r="B11046" s="236"/>
      <c r="C11046" s="236"/>
      <c r="D11046" s="236"/>
    </row>
    <row r="11047" spans="2:4" ht="12.75" customHeight="1" x14ac:dyDescent="0.2">
      <c r="B11047" s="236"/>
      <c r="C11047" s="236"/>
      <c r="D11047" s="236"/>
    </row>
    <row r="11048" spans="2:4" ht="12.75" customHeight="1" x14ac:dyDescent="0.2">
      <c r="B11048" s="236"/>
      <c r="C11048" s="236"/>
      <c r="D11048" s="236"/>
    </row>
    <row r="11049" spans="2:4" ht="12.75" customHeight="1" x14ac:dyDescent="0.2">
      <c r="B11049" s="236"/>
      <c r="C11049" s="236"/>
      <c r="D11049" s="236"/>
    </row>
    <row r="11050" spans="2:4" ht="12.75" customHeight="1" x14ac:dyDescent="0.2">
      <c r="B11050" s="236"/>
      <c r="C11050" s="236"/>
      <c r="D11050" s="236"/>
    </row>
    <row r="11051" spans="2:4" ht="12.75" customHeight="1" x14ac:dyDescent="0.2">
      <c r="B11051" s="236"/>
      <c r="C11051" s="236"/>
      <c r="D11051" s="236"/>
    </row>
    <row r="11052" spans="2:4" ht="12.75" customHeight="1" x14ac:dyDescent="0.2">
      <c r="B11052" s="236"/>
      <c r="C11052" s="236"/>
      <c r="D11052" s="236"/>
    </row>
    <row r="11053" spans="2:4" ht="12.75" customHeight="1" x14ac:dyDescent="0.2">
      <c r="B11053" s="236"/>
      <c r="C11053" s="236"/>
      <c r="D11053" s="236"/>
    </row>
    <row r="11054" spans="2:4" ht="12.75" customHeight="1" x14ac:dyDescent="0.2">
      <c r="B11054" s="236"/>
      <c r="C11054" s="236"/>
      <c r="D11054" s="236"/>
    </row>
    <row r="11055" spans="2:4" ht="12.75" customHeight="1" x14ac:dyDescent="0.2">
      <c r="B11055" s="236"/>
      <c r="C11055" s="236"/>
      <c r="D11055" s="236"/>
    </row>
    <row r="11056" spans="2:4" ht="12.75" customHeight="1" x14ac:dyDescent="0.2">
      <c r="B11056" s="236"/>
      <c r="C11056" s="236"/>
      <c r="D11056" s="236"/>
    </row>
    <row r="11057" spans="2:4" ht="12.75" customHeight="1" x14ac:dyDescent="0.2">
      <c r="B11057" s="236"/>
      <c r="C11057" s="236"/>
      <c r="D11057" s="236"/>
    </row>
    <row r="11058" spans="2:4" ht="12.75" customHeight="1" x14ac:dyDescent="0.2">
      <c r="B11058" s="236"/>
      <c r="C11058" s="236"/>
      <c r="D11058" s="236"/>
    </row>
    <row r="11059" spans="2:4" ht="12.75" customHeight="1" x14ac:dyDescent="0.2">
      <c r="B11059" s="236"/>
      <c r="C11059" s="236"/>
      <c r="D11059" s="236"/>
    </row>
    <row r="11060" spans="2:4" x14ac:dyDescent="0.2">
      <c r="B11060" s="236"/>
      <c r="C11060" s="236"/>
      <c r="D11060" s="236"/>
    </row>
    <row r="11061" spans="2:4" ht="12.75" customHeight="1" x14ac:dyDescent="0.2">
      <c r="B11061" s="236"/>
      <c r="C11061" s="236"/>
      <c r="D11061" s="236"/>
    </row>
    <row r="11062" spans="2:4" x14ac:dyDescent="0.2">
      <c r="B11062" s="236"/>
      <c r="C11062" s="236"/>
      <c r="D11062" s="236"/>
    </row>
    <row r="11063" spans="2:4" ht="12.75" customHeight="1" x14ac:dyDescent="0.2">
      <c r="B11063" s="236"/>
      <c r="C11063" s="236"/>
      <c r="D11063" s="236"/>
    </row>
    <row r="11064" spans="2:4" x14ac:dyDescent="0.2">
      <c r="B11064" s="236"/>
      <c r="C11064" s="236"/>
      <c r="D11064" s="236"/>
    </row>
    <row r="11065" spans="2:4" ht="12.75" customHeight="1" x14ac:dyDescent="0.2">
      <c r="B11065" s="236"/>
      <c r="C11065" s="236"/>
      <c r="D11065" s="236"/>
    </row>
    <row r="11066" spans="2:4" x14ac:dyDescent="0.2">
      <c r="B11066" s="236"/>
      <c r="C11066" s="236"/>
      <c r="D11066" s="236"/>
    </row>
    <row r="11067" spans="2:4" ht="12.75" customHeight="1" x14ac:dyDescent="0.2">
      <c r="B11067" s="236"/>
      <c r="C11067" s="236"/>
      <c r="D11067" s="236"/>
    </row>
    <row r="11068" spans="2:4" ht="12.75" customHeight="1" x14ac:dyDescent="0.2">
      <c r="B11068" s="236"/>
      <c r="C11068" s="236"/>
      <c r="D11068" s="236"/>
    </row>
    <row r="11069" spans="2:4" ht="12.75" customHeight="1" x14ac:dyDescent="0.2">
      <c r="B11069" s="236"/>
      <c r="C11069" s="236"/>
      <c r="D11069" s="236"/>
    </row>
    <row r="11070" spans="2:4" ht="12.75" customHeight="1" x14ac:dyDescent="0.2">
      <c r="B11070" s="236"/>
      <c r="C11070" s="236"/>
      <c r="D11070" s="236"/>
    </row>
    <row r="11071" spans="2:4" ht="12.75" customHeight="1" x14ac:dyDescent="0.2">
      <c r="B11071" s="236"/>
      <c r="C11071" s="236"/>
      <c r="D11071" s="236"/>
    </row>
    <row r="11072" spans="2:4" ht="12.75" customHeight="1" x14ac:dyDescent="0.2">
      <c r="B11072" s="236"/>
      <c r="C11072" s="236"/>
      <c r="D11072" s="236"/>
    </row>
    <row r="11073" spans="2:4" ht="12.75" customHeight="1" x14ac:dyDescent="0.2">
      <c r="B11073" s="236"/>
      <c r="C11073" s="236"/>
      <c r="D11073" s="236"/>
    </row>
    <row r="11074" spans="2:4" ht="12.75" customHeight="1" x14ac:dyDescent="0.2">
      <c r="B11074" s="236"/>
      <c r="C11074" s="236"/>
      <c r="D11074" s="236"/>
    </row>
    <row r="11075" spans="2:4" ht="12.75" customHeight="1" x14ac:dyDescent="0.2">
      <c r="B11075" s="236"/>
      <c r="C11075" s="236"/>
      <c r="D11075" s="236"/>
    </row>
    <row r="11076" spans="2:4" ht="12.75" customHeight="1" x14ac:dyDescent="0.2">
      <c r="B11076" s="236"/>
      <c r="C11076" s="236"/>
      <c r="D11076" s="236"/>
    </row>
    <row r="11077" spans="2:4" ht="12.75" customHeight="1" x14ac:dyDescent="0.2">
      <c r="B11077" s="236"/>
      <c r="C11077" s="236"/>
      <c r="D11077" s="236"/>
    </row>
    <row r="11078" spans="2:4" ht="12.75" customHeight="1" x14ac:dyDescent="0.2">
      <c r="B11078" s="236"/>
      <c r="C11078" s="236"/>
      <c r="D11078" s="236"/>
    </row>
    <row r="11079" spans="2:4" ht="12.75" customHeight="1" x14ac:dyDescent="0.2">
      <c r="B11079" s="236"/>
      <c r="C11079" s="236"/>
      <c r="D11079" s="236"/>
    </row>
    <row r="11080" spans="2:4" ht="12.75" customHeight="1" x14ac:dyDescent="0.2">
      <c r="B11080" s="236"/>
      <c r="C11080" s="236"/>
      <c r="D11080" s="236"/>
    </row>
    <row r="11081" spans="2:4" ht="12.75" customHeight="1" x14ac:dyDescent="0.2">
      <c r="B11081" s="236"/>
      <c r="C11081" s="236"/>
      <c r="D11081" s="236"/>
    </row>
    <row r="11082" spans="2:4" ht="12.75" customHeight="1" x14ac:dyDescent="0.2">
      <c r="B11082" s="236"/>
      <c r="C11082" s="236"/>
      <c r="D11082" s="236"/>
    </row>
    <row r="11083" spans="2:4" ht="12.75" customHeight="1" x14ac:dyDescent="0.2">
      <c r="B11083" s="236"/>
      <c r="C11083" s="236"/>
      <c r="D11083" s="236"/>
    </row>
    <row r="11084" spans="2:4" ht="12.75" customHeight="1" x14ac:dyDescent="0.2">
      <c r="B11084" s="236"/>
      <c r="C11084" s="236"/>
      <c r="D11084" s="236"/>
    </row>
    <row r="11085" spans="2:4" ht="12.75" customHeight="1" x14ac:dyDescent="0.2">
      <c r="B11085" s="236"/>
      <c r="C11085" s="236"/>
      <c r="D11085" s="236"/>
    </row>
    <row r="11086" spans="2:4" ht="12.75" customHeight="1" x14ac:dyDescent="0.2">
      <c r="B11086" s="236"/>
      <c r="C11086" s="236"/>
      <c r="D11086" s="236"/>
    </row>
    <row r="11087" spans="2:4" ht="12.75" customHeight="1" x14ac:dyDescent="0.2">
      <c r="B11087" s="236"/>
      <c r="C11087" s="236"/>
      <c r="D11087" s="236"/>
    </row>
    <row r="11088" spans="2:4" ht="12.75" customHeight="1" x14ac:dyDescent="0.2">
      <c r="B11088" s="236"/>
      <c r="C11088" s="236"/>
      <c r="D11088" s="236"/>
    </row>
    <row r="11089" spans="2:4" x14ac:dyDescent="0.2">
      <c r="B11089" s="236"/>
      <c r="C11089" s="236"/>
      <c r="D11089" s="236"/>
    </row>
    <row r="11090" spans="2:4" ht="12.75" customHeight="1" x14ac:dyDescent="0.2">
      <c r="B11090" s="236"/>
      <c r="C11090" s="236"/>
      <c r="D11090" s="236"/>
    </row>
    <row r="11091" spans="2:4" ht="12.75" customHeight="1" x14ac:dyDescent="0.2">
      <c r="B11091" s="236"/>
      <c r="C11091" s="236"/>
      <c r="D11091" s="236"/>
    </row>
    <row r="11092" spans="2:4" ht="12.75" customHeight="1" x14ac:dyDescent="0.2">
      <c r="B11092" s="236"/>
      <c r="C11092" s="236"/>
      <c r="D11092" s="236"/>
    </row>
    <row r="11093" spans="2:4" ht="12.75" customHeight="1" x14ac:dyDescent="0.2">
      <c r="B11093" s="236"/>
      <c r="C11093" s="236"/>
      <c r="D11093" s="236"/>
    </row>
    <row r="11094" spans="2:4" ht="12.75" customHeight="1" x14ac:dyDescent="0.2">
      <c r="B11094" s="236"/>
      <c r="C11094" s="236"/>
      <c r="D11094" s="236"/>
    </row>
    <row r="11095" spans="2:4" ht="12.75" customHeight="1" x14ac:dyDescent="0.2">
      <c r="B11095" s="236"/>
      <c r="C11095" s="236"/>
      <c r="D11095" s="236"/>
    </row>
    <row r="11096" spans="2:4" ht="12.75" customHeight="1" x14ac:dyDescent="0.2">
      <c r="B11096" s="236"/>
      <c r="C11096" s="236"/>
      <c r="D11096" s="236"/>
    </row>
    <row r="11097" spans="2:4" ht="12.75" customHeight="1" x14ac:dyDescent="0.2">
      <c r="B11097" s="236"/>
      <c r="C11097" s="236"/>
      <c r="D11097" s="236"/>
    </row>
    <row r="11098" spans="2:4" ht="12.75" customHeight="1" x14ac:dyDescent="0.2">
      <c r="B11098" s="236"/>
      <c r="C11098" s="236"/>
      <c r="D11098" s="236"/>
    </row>
    <row r="11099" spans="2:4" x14ac:dyDescent="0.2">
      <c r="B11099" s="236"/>
      <c r="C11099" s="236"/>
      <c r="D11099" s="236"/>
    </row>
    <row r="11100" spans="2:4" ht="12.75" customHeight="1" x14ac:dyDescent="0.2">
      <c r="B11100" s="236"/>
      <c r="C11100" s="236"/>
      <c r="D11100" s="236"/>
    </row>
    <row r="11101" spans="2:4" x14ac:dyDescent="0.2">
      <c r="B11101" s="236"/>
      <c r="C11101" s="236"/>
      <c r="D11101" s="236"/>
    </row>
    <row r="11102" spans="2:4" ht="12.75" customHeight="1" x14ac:dyDescent="0.2">
      <c r="B11102" s="236"/>
      <c r="C11102" s="236"/>
      <c r="D11102" s="236"/>
    </row>
    <row r="11103" spans="2:4" ht="12.75" customHeight="1" x14ac:dyDescent="0.2">
      <c r="B11103" s="236"/>
      <c r="C11103" s="236"/>
      <c r="D11103" s="236"/>
    </row>
    <row r="11104" spans="2:4" ht="12.75" customHeight="1" x14ac:dyDescent="0.2">
      <c r="B11104" s="236"/>
      <c r="C11104" s="236"/>
      <c r="D11104" s="236"/>
    </row>
    <row r="11105" spans="2:4" ht="12.75" customHeight="1" x14ac:dyDescent="0.2">
      <c r="B11105" s="236"/>
      <c r="C11105" s="236"/>
      <c r="D11105" s="236"/>
    </row>
    <row r="11106" spans="2:4" ht="12.75" customHeight="1" x14ac:dyDescent="0.2">
      <c r="B11106" s="236"/>
      <c r="C11106" s="236"/>
      <c r="D11106" s="236"/>
    </row>
    <row r="11107" spans="2:4" ht="12.75" customHeight="1" x14ac:dyDescent="0.2">
      <c r="B11107" s="236"/>
      <c r="C11107" s="236"/>
      <c r="D11107" s="236"/>
    </row>
    <row r="11108" spans="2:4" ht="12.75" customHeight="1" x14ac:dyDescent="0.2">
      <c r="B11108" s="236"/>
      <c r="C11108" s="236"/>
      <c r="D11108" s="236"/>
    </row>
    <row r="11109" spans="2:4" ht="12.75" customHeight="1" x14ac:dyDescent="0.2">
      <c r="B11109" s="236"/>
      <c r="C11109" s="236"/>
      <c r="D11109" s="236"/>
    </row>
    <row r="11110" spans="2:4" x14ac:dyDescent="0.2">
      <c r="B11110" s="236"/>
      <c r="C11110" s="236"/>
      <c r="D11110" s="236"/>
    </row>
    <row r="11111" spans="2:4" ht="12.75" customHeight="1" x14ac:dyDescent="0.2">
      <c r="B11111" s="236"/>
      <c r="C11111" s="236"/>
      <c r="D11111" s="236"/>
    </row>
    <row r="11112" spans="2:4" x14ac:dyDescent="0.2">
      <c r="B11112" s="236"/>
      <c r="C11112" s="236"/>
      <c r="D11112" s="236"/>
    </row>
    <row r="11113" spans="2:4" ht="12.75" customHeight="1" x14ac:dyDescent="0.2">
      <c r="B11113" s="236"/>
      <c r="C11113" s="236"/>
      <c r="D11113" s="236"/>
    </row>
    <row r="11114" spans="2:4" ht="12.75" customHeight="1" x14ac:dyDescent="0.2">
      <c r="B11114" s="236"/>
      <c r="C11114" s="236"/>
      <c r="D11114" s="236"/>
    </row>
    <row r="11115" spans="2:4" ht="12.75" customHeight="1" x14ac:dyDescent="0.2">
      <c r="B11115" s="236"/>
      <c r="C11115" s="236"/>
      <c r="D11115" s="236"/>
    </row>
    <row r="11116" spans="2:4" ht="12.75" customHeight="1" x14ac:dyDescent="0.2">
      <c r="B11116" s="236"/>
      <c r="C11116" s="236"/>
      <c r="D11116" s="236"/>
    </row>
    <row r="11117" spans="2:4" ht="12.75" customHeight="1" x14ac:dyDescent="0.2">
      <c r="B11117" s="236"/>
      <c r="C11117" s="236"/>
      <c r="D11117" s="236"/>
    </row>
    <row r="11118" spans="2:4" ht="12.75" customHeight="1" x14ac:dyDescent="0.2">
      <c r="B11118" s="236"/>
      <c r="C11118" s="236"/>
      <c r="D11118" s="236"/>
    </row>
    <row r="11119" spans="2:4" x14ac:dyDescent="0.2">
      <c r="B11119" s="236"/>
      <c r="C11119" s="236"/>
      <c r="D11119" s="236"/>
    </row>
    <row r="11120" spans="2:4" ht="12.75" customHeight="1" x14ac:dyDescent="0.2">
      <c r="B11120" s="236"/>
      <c r="C11120" s="236"/>
      <c r="D11120" s="236"/>
    </row>
    <row r="11121" spans="2:4" ht="12.75" customHeight="1" x14ac:dyDescent="0.2">
      <c r="B11121" s="236"/>
      <c r="C11121" s="236"/>
      <c r="D11121" s="236"/>
    </row>
    <row r="11122" spans="2:4" ht="12.75" customHeight="1" x14ac:dyDescent="0.2">
      <c r="B11122" s="236"/>
      <c r="C11122" s="236"/>
      <c r="D11122" s="236"/>
    </row>
    <row r="11123" spans="2:4" ht="12.75" customHeight="1" x14ac:dyDescent="0.2">
      <c r="B11123" s="236"/>
      <c r="C11123" s="236"/>
      <c r="D11123" s="236"/>
    </row>
    <row r="11124" spans="2:4" ht="12.75" customHeight="1" x14ac:dyDescent="0.2">
      <c r="B11124" s="236"/>
      <c r="C11124" s="236"/>
      <c r="D11124" s="236"/>
    </row>
    <row r="11125" spans="2:4" ht="12.75" customHeight="1" x14ac:dyDescent="0.2">
      <c r="B11125" s="236"/>
      <c r="C11125" s="236"/>
      <c r="D11125" s="236"/>
    </row>
    <row r="11126" spans="2:4" ht="12.75" customHeight="1" x14ac:dyDescent="0.2">
      <c r="B11126" s="236"/>
      <c r="C11126" s="236"/>
      <c r="D11126" s="236"/>
    </row>
    <row r="11127" spans="2:4" ht="12.75" customHeight="1" x14ac:dyDescent="0.2">
      <c r="B11127" s="236"/>
      <c r="C11127" s="236"/>
      <c r="D11127" s="236"/>
    </row>
    <row r="11128" spans="2:4" ht="12.75" customHeight="1" x14ac:dyDescent="0.2">
      <c r="B11128" s="236"/>
      <c r="C11128" s="236"/>
      <c r="D11128" s="236"/>
    </row>
    <row r="11129" spans="2:4" x14ac:dyDescent="0.2">
      <c r="B11129" s="236"/>
      <c r="C11129" s="236"/>
      <c r="D11129" s="236"/>
    </row>
    <row r="11130" spans="2:4" ht="12.75" customHeight="1" x14ac:dyDescent="0.2">
      <c r="B11130" s="236"/>
      <c r="C11130" s="236"/>
      <c r="D11130" s="236"/>
    </row>
    <row r="11131" spans="2:4" x14ac:dyDescent="0.2">
      <c r="B11131" s="236"/>
      <c r="C11131" s="236"/>
      <c r="D11131" s="236"/>
    </row>
    <row r="11132" spans="2:4" ht="12.75" customHeight="1" x14ac:dyDescent="0.2">
      <c r="B11132" s="236"/>
      <c r="C11132" s="236"/>
      <c r="D11132" s="236"/>
    </row>
    <row r="11133" spans="2:4" ht="12.75" customHeight="1" x14ac:dyDescent="0.2">
      <c r="B11133" s="236"/>
      <c r="C11133" s="236"/>
      <c r="D11133" s="236"/>
    </row>
    <row r="11134" spans="2:4" ht="12.75" customHeight="1" x14ac:dyDescent="0.2">
      <c r="B11134" s="236"/>
      <c r="C11134" s="236"/>
      <c r="D11134" s="236"/>
    </row>
    <row r="11135" spans="2:4" x14ac:dyDescent="0.2">
      <c r="B11135" s="236"/>
      <c r="C11135" s="236"/>
      <c r="D11135" s="236"/>
    </row>
    <row r="11136" spans="2:4" ht="12.75" customHeight="1" x14ac:dyDescent="0.2">
      <c r="B11136" s="236"/>
      <c r="C11136" s="236"/>
      <c r="D11136" s="236"/>
    </row>
    <row r="11137" spans="2:4" x14ac:dyDescent="0.2">
      <c r="B11137" s="236"/>
      <c r="C11137" s="236"/>
      <c r="D11137" s="236"/>
    </row>
    <row r="11138" spans="2:4" ht="12.75" customHeight="1" x14ac:dyDescent="0.2">
      <c r="B11138" s="236"/>
      <c r="C11138" s="236"/>
      <c r="D11138" s="236"/>
    </row>
    <row r="11139" spans="2:4" x14ac:dyDescent="0.2">
      <c r="B11139" s="236"/>
      <c r="C11139" s="236"/>
      <c r="D11139" s="236"/>
    </row>
    <row r="11140" spans="2:4" ht="12.75" customHeight="1" x14ac:dyDescent="0.2">
      <c r="B11140" s="236"/>
      <c r="C11140" s="236"/>
      <c r="D11140" s="236"/>
    </row>
    <row r="11141" spans="2:4" ht="12.75" customHeight="1" x14ac:dyDescent="0.2">
      <c r="B11141" s="236"/>
      <c r="C11141" s="236"/>
      <c r="D11141" s="236"/>
    </row>
    <row r="11142" spans="2:4" x14ac:dyDescent="0.2">
      <c r="B11142" s="236"/>
      <c r="C11142" s="236"/>
      <c r="D11142" s="236"/>
    </row>
    <row r="11143" spans="2:4" ht="12.75" customHeight="1" x14ac:dyDescent="0.2">
      <c r="B11143" s="236"/>
      <c r="C11143" s="236"/>
      <c r="D11143" s="236"/>
    </row>
    <row r="11144" spans="2:4" ht="12.75" customHeight="1" x14ac:dyDescent="0.2">
      <c r="B11144" s="236"/>
      <c r="C11144" s="236"/>
      <c r="D11144" s="236"/>
    </row>
    <row r="11145" spans="2:4" x14ac:dyDescent="0.2">
      <c r="B11145" s="236"/>
      <c r="C11145" s="236"/>
      <c r="D11145" s="236"/>
    </row>
    <row r="11146" spans="2:4" ht="12.75" customHeight="1" x14ac:dyDescent="0.2">
      <c r="B11146" s="236"/>
      <c r="C11146" s="236"/>
      <c r="D11146" s="236"/>
    </row>
    <row r="11147" spans="2:4" ht="12.75" customHeight="1" x14ac:dyDescent="0.2">
      <c r="B11147" s="236"/>
      <c r="C11147" s="236"/>
      <c r="D11147" s="236"/>
    </row>
    <row r="11148" spans="2:4" ht="12.75" customHeight="1" x14ac:dyDescent="0.2">
      <c r="B11148" s="236"/>
      <c r="C11148" s="236"/>
      <c r="D11148" s="236"/>
    </row>
    <row r="11149" spans="2:4" ht="12.75" customHeight="1" x14ac:dyDescent="0.2">
      <c r="B11149" s="236"/>
      <c r="C11149" s="236"/>
      <c r="D11149" s="236"/>
    </row>
    <row r="11150" spans="2:4" ht="12.75" customHeight="1" x14ac:dyDescent="0.2">
      <c r="B11150" s="236"/>
      <c r="C11150" s="236"/>
      <c r="D11150" s="236"/>
    </row>
    <row r="11151" spans="2:4" ht="12.75" customHeight="1" x14ac:dyDescent="0.2">
      <c r="B11151" s="236"/>
      <c r="C11151" s="236"/>
      <c r="D11151" s="236"/>
    </row>
    <row r="11152" spans="2:4" ht="12.75" customHeight="1" x14ac:dyDescent="0.2">
      <c r="B11152" s="236"/>
      <c r="C11152" s="236"/>
      <c r="D11152" s="236"/>
    </row>
    <row r="11153" spans="2:4" ht="12.75" customHeight="1" x14ac:dyDescent="0.2">
      <c r="B11153" s="236"/>
      <c r="C11153" s="236"/>
      <c r="D11153" s="236"/>
    </row>
    <row r="11154" spans="2:4" ht="12.75" customHeight="1" x14ac:dyDescent="0.2">
      <c r="B11154" s="236"/>
      <c r="C11154" s="236"/>
      <c r="D11154" s="236"/>
    </row>
    <row r="11155" spans="2:4" ht="12.75" customHeight="1" x14ac:dyDescent="0.2">
      <c r="B11155" s="236"/>
      <c r="C11155" s="236"/>
      <c r="D11155" s="236"/>
    </row>
    <row r="11156" spans="2:4" ht="12.75" customHeight="1" x14ac:dyDescent="0.2">
      <c r="B11156" s="236"/>
      <c r="C11156" s="236"/>
      <c r="D11156" s="236"/>
    </row>
    <row r="11157" spans="2:4" ht="12.75" customHeight="1" x14ac:dyDescent="0.2">
      <c r="B11157" s="236"/>
      <c r="C11157" s="236"/>
      <c r="D11157" s="236"/>
    </row>
    <row r="11158" spans="2:4" ht="12.75" customHeight="1" x14ac:dyDescent="0.2">
      <c r="B11158" s="236"/>
      <c r="C11158" s="236"/>
      <c r="D11158" s="236"/>
    </row>
    <row r="11159" spans="2:4" ht="12.75" customHeight="1" x14ac:dyDescent="0.2">
      <c r="B11159" s="236"/>
      <c r="C11159" s="236"/>
      <c r="D11159" s="236"/>
    </row>
    <row r="11160" spans="2:4" ht="12.75" customHeight="1" x14ac:dyDescent="0.2">
      <c r="B11160" s="236"/>
      <c r="C11160" s="236"/>
      <c r="D11160" s="236"/>
    </row>
    <row r="11161" spans="2:4" ht="12.75" customHeight="1" x14ac:dyDescent="0.2">
      <c r="B11161" s="236"/>
      <c r="C11161" s="236"/>
      <c r="D11161" s="236"/>
    </row>
    <row r="11162" spans="2:4" ht="12.75" customHeight="1" x14ac:dyDescent="0.2">
      <c r="B11162" s="236"/>
      <c r="C11162" s="236"/>
      <c r="D11162" s="236"/>
    </row>
    <row r="11163" spans="2:4" ht="12.75" customHeight="1" x14ac:dyDescent="0.2">
      <c r="B11163" s="236"/>
      <c r="C11163" s="236"/>
      <c r="D11163" s="236"/>
    </row>
    <row r="11164" spans="2:4" ht="12.75" customHeight="1" x14ac:dyDescent="0.2">
      <c r="B11164" s="236"/>
      <c r="C11164" s="236"/>
      <c r="D11164" s="236"/>
    </row>
    <row r="11165" spans="2:4" ht="12.75" customHeight="1" x14ac:dyDescent="0.2">
      <c r="B11165" s="236"/>
      <c r="C11165" s="236"/>
      <c r="D11165" s="236"/>
    </row>
    <row r="11166" spans="2:4" ht="12.75" customHeight="1" x14ac:dyDescent="0.2">
      <c r="B11166" s="236"/>
      <c r="C11166" s="236"/>
      <c r="D11166" s="236"/>
    </row>
    <row r="11167" spans="2:4" ht="12.75" customHeight="1" x14ac:dyDescent="0.2">
      <c r="B11167" s="236"/>
      <c r="C11167" s="236"/>
      <c r="D11167" s="236"/>
    </row>
    <row r="11168" spans="2:4" ht="12.75" customHeight="1" x14ac:dyDescent="0.2">
      <c r="B11168" s="236"/>
      <c r="C11168" s="236"/>
      <c r="D11168" s="236"/>
    </row>
    <row r="11169" spans="2:4" ht="12.75" customHeight="1" x14ac:dyDescent="0.2">
      <c r="B11169" s="236"/>
      <c r="C11169" s="236"/>
      <c r="D11169" s="236"/>
    </row>
    <row r="11170" spans="2:4" ht="12.75" customHeight="1" x14ac:dyDescent="0.2">
      <c r="B11170" s="236"/>
      <c r="C11170" s="236"/>
      <c r="D11170" s="236"/>
    </row>
    <row r="11171" spans="2:4" ht="12.75" customHeight="1" x14ac:dyDescent="0.2">
      <c r="B11171" s="236"/>
      <c r="C11171" s="236"/>
      <c r="D11171" s="236"/>
    </row>
    <row r="11172" spans="2:4" x14ac:dyDescent="0.2">
      <c r="B11172" s="236"/>
      <c r="C11172" s="236"/>
      <c r="D11172" s="236"/>
    </row>
    <row r="11173" spans="2:4" ht="12.75" customHeight="1" x14ac:dyDescent="0.2">
      <c r="B11173" s="236"/>
      <c r="C11173" s="236"/>
      <c r="D11173" s="236"/>
    </row>
    <row r="11174" spans="2:4" x14ac:dyDescent="0.2">
      <c r="B11174" s="236"/>
      <c r="C11174" s="236"/>
      <c r="D11174" s="236"/>
    </row>
    <row r="11175" spans="2:4" ht="12.75" customHeight="1" x14ac:dyDescent="0.2">
      <c r="B11175" s="236"/>
      <c r="C11175" s="236"/>
      <c r="D11175" s="236"/>
    </row>
    <row r="11176" spans="2:4" x14ac:dyDescent="0.2">
      <c r="B11176" s="236"/>
      <c r="C11176" s="236"/>
      <c r="D11176" s="236"/>
    </row>
    <row r="11177" spans="2:4" ht="12.75" customHeight="1" x14ac:dyDescent="0.2">
      <c r="B11177" s="236"/>
      <c r="C11177" s="236"/>
      <c r="D11177" s="236"/>
    </row>
    <row r="11178" spans="2:4" x14ac:dyDescent="0.2">
      <c r="B11178" s="236"/>
      <c r="C11178" s="236"/>
      <c r="D11178" s="236"/>
    </row>
    <row r="11179" spans="2:4" ht="12.75" customHeight="1" x14ac:dyDescent="0.2">
      <c r="B11179" s="236"/>
      <c r="C11179" s="236"/>
      <c r="D11179" s="236"/>
    </row>
    <row r="11180" spans="2:4" x14ac:dyDescent="0.2">
      <c r="B11180" s="236"/>
      <c r="C11180" s="236"/>
      <c r="D11180" s="236"/>
    </row>
    <row r="11181" spans="2:4" ht="12.75" customHeight="1" x14ac:dyDescent="0.2">
      <c r="B11181" s="236"/>
      <c r="C11181" s="236"/>
      <c r="D11181" s="236"/>
    </row>
    <row r="11182" spans="2:4" x14ac:dyDescent="0.2">
      <c r="B11182" s="236"/>
      <c r="C11182" s="236"/>
      <c r="D11182" s="236"/>
    </row>
    <row r="11183" spans="2:4" ht="12.75" customHeight="1" x14ac:dyDescent="0.2">
      <c r="B11183" s="236"/>
      <c r="C11183" s="236"/>
      <c r="D11183" s="236"/>
    </row>
    <row r="11184" spans="2:4" ht="12.75" customHeight="1" x14ac:dyDescent="0.2">
      <c r="B11184" s="236"/>
      <c r="C11184" s="236"/>
      <c r="D11184" s="236"/>
    </row>
    <row r="11185" spans="2:4" ht="12.75" customHeight="1" x14ac:dyDescent="0.2">
      <c r="B11185" s="236"/>
      <c r="C11185" s="236"/>
      <c r="D11185" s="236"/>
    </row>
    <row r="11186" spans="2:4" ht="12.75" customHeight="1" x14ac:dyDescent="0.2">
      <c r="B11186" s="236"/>
      <c r="C11186" s="236"/>
      <c r="D11186" s="236"/>
    </row>
    <row r="11187" spans="2:4" x14ac:dyDescent="0.2">
      <c r="B11187" s="236"/>
      <c r="C11187" s="236"/>
      <c r="D11187" s="236"/>
    </row>
    <row r="11188" spans="2:4" ht="12.75" customHeight="1" x14ac:dyDescent="0.2">
      <c r="B11188" s="236"/>
      <c r="C11188" s="236"/>
      <c r="D11188" s="236"/>
    </row>
    <row r="11189" spans="2:4" x14ac:dyDescent="0.2">
      <c r="B11189" s="236"/>
      <c r="C11189" s="236"/>
      <c r="D11189" s="236"/>
    </row>
    <row r="11190" spans="2:4" ht="12.75" customHeight="1" x14ac:dyDescent="0.2">
      <c r="B11190" s="236"/>
      <c r="C11190" s="236"/>
      <c r="D11190" s="236"/>
    </row>
    <row r="11191" spans="2:4" ht="12.75" customHeight="1" x14ac:dyDescent="0.2">
      <c r="B11191" s="236"/>
      <c r="C11191" s="236"/>
      <c r="D11191" s="236"/>
    </row>
    <row r="11192" spans="2:4" ht="12.75" customHeight="1" x14ac:dyDescent="0.2">
      <c r="B11192" s="236"/>
      <c r="C11192" s="236"/>
      <c r="D11192" s="236"/>
    </row>
    <row r="11193" spans="2:4" ht="12.75" customHeight="1" x14ac:dyDescent="0.2">
      <c r="B11193" s="236"/>
      <c r="C11193" s="236"/>
      <c r="D11193" s="236"/>
    </row>
    <row r="11194" spans="2:4" ht="12.75" customHeight="1" x14ac:dyDescent="0.2">
      <c r="B11194" s="236"/>
      <c r="C11194" s="236"/>
      <c r="D11194" s="236"/>
    </row>
    <row r="11195" spans="2:4" ht="12.75" customHeight="1" x14ac:dyDescent="0.2">
      <c r="B11195" s="236"/>
      <c r="C11195" s="236"/>
      <c r="D11195" s="236"/>
    </row>
    <row r="11196" spans="2:4" ht="12.75" customHeight="1" x14ac:dyDescent="0.2">
      <c r="B11196" s="236"/>
      <c r="C11196" s="236"/>
      <c r="D11196" s="236"/>
    </row>
    <row r="11197" spans="2:4" ht="12.75" customHeight="1" x14ac:dyDescent="0.2">
      <c r="B11197" s="236"/>
      <c r="C11197" s="236"/>
      <c r="D11197" s="236"/>
    </row>
    <row r="11198" spans="2:4" ht="12.75" customHeight="1" x14ac:dyDescent="0.2">
      <c r="B11198" s="236"/>
      <c r="C11198" s="236"/>
      <c r="D11198" s="236"/>
    </row>
    <row r="11199" spans="2:4" ht="12.75" customHeight="1" x14ac:dyDescent="0.2">
      <c r="B11199" s="236"/>
      <c r="C11199" s="236"/>
      <c r="D11199" s="236"/>
    </row>
    <row r="11200" spans="2:4" x14ac:dyDescent="0.2">
      <c r="B11200" s="236"/>
      <c r="C11200" s="236"/>
      <c r="D11200" s="236"/>
    </row>
    <row r="11201" spans="2:4" ht="12.75" customHeight="1" x14ac:dyDescent="0.2">
      <c r="B11201" s="236"/>
      <c r="C11201" s="236"/>
      <c r="D11201" s="236"/>
    </row>
    <row r="11202" spans="2:4" x14ac:dyDescent="0.2">
      <c r="B11202" s="236"/>
      <c r="C11202" s="236"/>
      <c r="D11202" s="236"/>
    </row>
    <row r="11203" spans="2:4" ht="12.75" customHeight="1" x14ac:dyDescent="0.2">
      <c r="B11203" s="236"/>
      <c r="C11203" s="236"/>
      <c r="D11203" s="236"/>
    </row>
    <row r="11204" spans="2:4" ht="12.75" customHeight="1" x14ac:dyDescent="0.2">
      <c r="B11204" s="236"/>
      <c r="C11204" s="236"/>
      <c r="D11204" s="236"/>
    </row>
    <row r="11205" spans="2:4" ht="12.75" customHeight="1" x14ac:dyDescent="0.2">
      <c r="B11205" s="236"/>
      <c r="C11205" s="236"/>
      <c r="D11205" s="236"/>
    </row>
    <row r="11206" spans="2:4" ht="12.75" customHeight="1" x14ac:dyDescent="0.2">
      <c r="B11206" s="236"/>
      <c r="C11206" s="236"/>
      <c r="D11206" s="236"/>
    </row>
    <row r="11207" spans="2:4" ht="12.75" customHeight="1" x14ac:dyDescent="0.2">
      <c r="B11207" s="236"/>
      <c r="C11207" s="236"/>
      <c r="D11207" s="236"/>
    </row>
    <row r="11208" spans="2:4" ht="12.75" customHeight="1" x14ac:dyDescent="0.2">
      <c r="B11208" s="236"/>
      <c r="C11208" s="236"/>
      <c r="D11208" s="236"/>
    </row>
    <row r="11209" spans="2:4" x14ac:dyDescent="0.2">
      <c r="B11209" s="236"/>
      <c r="C11209" s="236"/>
      <c r="D11209" s="236"/>
    </row>
    <row r="11210" spans="2:4" ht="12.75" customHeight="1" x14ac:dyDescent="0.2">
      <c r="B11210" s="236"/>
      <c r="C11210" s="236"/>
      <c r="D11210" s="236"/>
    </row>
    <row r="11211" spans="2:4" ht="12.75" customHeight="1" x14ac:dyDescent="0.2">
      <c r="B11211" s="236"/>
      <c r="C11211" s="236"/>
      <c r="D11211" s="236"/>
    </row>
    <row r="11212" spans="2:4" ht="12.75" customHeight="1" x14ac:dyDescent="0.2">
      <c r="B11212" s="236"/>
      <c r="C11212" s="236"/>
      <c r="D11212" s="236"/>
    </row>
    <row r="11213" spans="2:4" ht="12.75" customHeight="1" x14ac:dyDescent="0.2">
      <c r="B11213" s="236"/>
      <c r="C11213" s="236"/>
      <c r="D11213" s="236"/>
    </row>
    <row r="11214" spans="2:4" ht="12.75" customHeight="1" x14ac:dyDescent="0.2">
      <c r="B11214" s="236"/>
      <c r="C11214" s="236"/>
      <c r="D11214" s="236"/>
    </row>
    <row r="11215" spans="2:4" x14ac:dyDescent="0.2">
      <c r="B11215" s="236"/>
      <c r="C11215" s="236"/>
      <c r="D11215" s="236"/>
    </row>
    <row r="11216" spans="2:4" ht="12.75" customHeight="1" x14ac:dyDescent="0.2">
      <c r="B11216" s="236"/>
      <c r="C11216" s="236"/>
      <c r="D11216" s="236"/>
    </row>
    <row r="11217" spans="2:4" ht="12.75" customHeight="1" x14ac:dyDescent="0.2">
      <c r="B11217" s="236"/>
      <c r="C11217" s="236"/>
      <c r="D11217" s="236"/>
    </row>
    <row r="11218" spans="2:4" ht="12.75" customHeight="1" x14ac:dyDescent="0.2">
      <c r="B11218" s="236"/>
      <c r="C11218" s="236"/>
      <c r="D11218" s="236"/>
    </row>
    <row r="11219" spans="2:4" x14ac:dyDescent="0.2">
      <c r="B11219" s="236"/>
      <c r="C11219" s="236"/>
      <c r="D11219" s="236"/>
    </row>
    <row r="11220" spans="2:4" ht="12.75" customHeight="1" x14ac:dyDescent="0.2">
      <c r="B11220" s="236"/>
      <c r="C11220" s="236"/>
      <c r="D11220" s="236"/>
    </row>
    <row r="11221" spans="2:4" x14ac:dyDescent="0.2">
      <c r="B11221" s="236"/>
      <c r="C11221" s="236"/>
      <c r="D11221" s="236"/>
    </row>
    <row r="11222" spans="2:4" ht="12.75" customHeight="1" x14ac:dyDescent="0.2">
      <c r="B11222" s="236"/>
      <c r="C11222" s="236"/>
      <c r="D11222" s="236"/>
    </row>
    <row r="11223" spans="2:4" x14ac:dyDescent="0.2">
      <c r="B11223" s="236"/>
      <c r="C11223" s="236"/>
      <c r="D11223" s="236"/>
    </row>
    <row r="11224" spans="2:4" ht="12.75" customHeight="1" x14ac:dyDescent="0.2">
      <c r="B11224" s="236"/>
      <c r="C11224" s="236"/>
      <c r="D11224" s="236"/>
    </row>
    <row r="11225" spans="2:4" ht="12.75" customHeight="1" x14ac:dyDescent="0.2">
      <c r="B11225" s="236"/>
      <c r="C11225" s="236"/>
      <c r="D11225" s="236"/>
    </row>
    <row r="11226" spans="2:4" ht="12.75" customHeight="1" x14ac:dyDescent="0.2">
      <c r="B11226" s="236"/>
      <c r="C11226" s="236"/>
      <c r="D11226" s="236"/>
    </row>
    <row r="11227" spans="2:4" ht="12.75" customHeight="1" x14ac:dyDescent="0.2">
      <c r="B11227" s="236"/>
      <c r="C11227" s="236"/>
      <c r="D11227" s="236"/>
    </row>
    <row r="11228" spans="2:4" ht="12.75" customHeight="1" x14ac:dyDescent="0.2">
      <c r="B11228" s="236"/>
      <c r="C11228" s="236"/>
      <c r="D11228" s="236"/>
    </row>
    <row r="11229" spans="2:4" ht="12.75" customHeight="1" x14ac:dyDescent="0.2">
      <c r="B11229" s="236"/>
      <c r="C11229" s="236"/>
      <c r="D11229" s="236"/>
    </row>
    <row r="11230" spans="2:4" x14ac:dyDescent="0.2">
      <c r="B11230" s="236"/>
      <c r="C11230" s="236"/>
      <c r="D11230" s="236"/>
    </row>
    <row r="11231" spans="2:4" ht="12.75" customHeight="1" x14ac:dyDescent="0.2">
      <c r="B11231" s="236"/>
      <c r="C11231" s="236"/>
      <c r="D11231" s="236"/>
    </row>
    <row r="11232" spans="2:4" x14ac:dyDescent="0.2">
      <c r="B11232" s="236"/>
      <c r="C11232" s="236"/>
      <c r="D11232" s="236"/>
    </row>
    <row r="11233" spans="2:4" ht="12.75" customHeight="1" x14ac:dyDescent="0.2">
      <c r="B11233" s="236"/>
      <c r="C11233" s="236"/>
      <c r="D11233" s="236"/>
    </row>
    <row r="11234" spans="2:4" ht="12.75" customHeight="1" x14ac:dyDescent="0.2">
      <c r="B11234" s="236"/>
      <c r="C11234" s="236"/>
      <c r="D11234" s="236"/>
    </row>
    <row r="11235" spans="2:4" ht="12.75" customHeight="1" x14ac:dyDescent="0.2">
      <c r="B11235" s="236"/>
      <c r="C11235" s="236"/>
      <c r="D11235" s="236"/>
    </row>
    <row r="11236" spans="2:4" x14ac:dyDescent="0.2">
      <c r="B11236" s="236"/>
      <c r="C11236" s="236"/>
      <c r="D11236" s="236"/>
    </row>
    <row r="11237" spans="2:4" ht="12.75" customHeight="1" x14ac:dyDescent="0.2">
      <c r="B11237" s="236"/>
      <c r="C11237" s="236"/>
      <c r="D11237" s="236"/>
    </row>
    <row r="11238" spans="2:4" ht="12.75" customHeight="1" x14ac:dyDescent="0.2">
      <c r="B11238" s="236"/>
      <c r="C11238" s="236"/>
      <c r="D11238" s="236"/>
    </row>
    <row r="11239" spans="2:4" ht="12.75" customHeight="1" x14ac:dyDescent="0.2">
      <c r="B11239" s="236"/>
      <c r="C11239" s="236"/>
      <c r="D11239" s="236"/>
    </row>
    <row r="11240" spans="2:4" x14ac:dyDescent="0.2">
      <c r="B11240" s="236"/>
      <c r="C11240" s="236"/>
      <c r="D11240" s="236"/>
    </row>
    <row r="11241" spans="2:4" ht="12.75" customHeight="1" x14ac:dyDescent="0.2">
      <c r="B11241" s="236"/>
      <c r="C11241" s="236"/>
      <c r="D11241" s="236"/>
    </row>
    <row r="11242" spans="2:4" ht="12.75" customHeight="1" x14ac:dyDescent="0.2">
      <c r="B11242" s="236"/>
      <c r="C11242" s="236"/>
      <c r="D11242" s="236"/>
    </row>
    <row r="11243" spans="2:4" ht="12.75" customHeight="1" x14ac:dyDescent="0.2">
      <c r="B11243" s="236"/>
      <c r="C11243" s="236"/>
      <c r="D11243" s="236"/>
    </row>
    <row r="11244" spans="2:4" ht="12.75" customHeight="1" x14ac:dyDescent="0.2">
      <c r="B11244" s="236"/>
      <c r="C11244" s="236"/>
      <c r="D11244" s="236"/>
    </row>
    <row r="11245" spans="2:4" x14ac:dyDescent="0.2">
      <c r="B11245" s="236"/>
      <c r="C11245" s="236"/>
      <c r="D11245" s="236"/>
    </row>
    <row r="11246" spans="2:4" ht="12.75" customHeight="1" x14ac:dyDescent="0.2">
      <c r="B11246" s="236"/>
      <c r="C11246" s="236"/>
      <c r="D11246" s="236"/>
    </row>
    <row r="11247" spans="2:4" ht="12.75" customHeight="1" x14ac:dyDescent="0.2">
      <c r="B11247" s="236"/>
      <c r="C11247" s="236"/>
      <c r="D11247" s="236"/>
    </row>
    <row r="11248" spans="2:4" ht="12.75" customHeight="1" x14ac:dyDescent="0.2">
      <c r="B11248" s="236"/>
      <c r="C11248" s="236"/>
      <c r="D11248" s="236"/>
    </row>
    <row r="11249" spans="2:4" x14ac:dyDescent="0.2">
      <c r="B11249" s="236"/>
      <c r="C11249" s="236"/>
      <c r="D11249" s="236"/>
    </row>
    <row r="11250" spans="2:4" ht="12.75" customHeight="1" x14ac:dyDescent="0.2">
      <c r="B11250" s="236"/>
      <c r="C11250" s="236"/>
      <c r="D11250" s="236"/>
    </row>
    <row r="11251" spans="2:4" ht="12.75" customHeight="1" x14ac:dyDescent="0.2">
      <c r="B11251" s="236"/>
      <c r="C11251" s="236"/>
      <c r="D11251" s="236"/>
    </row>
    <row r="11252" spans="2:4" ht="12.75" customHeight="1" x14ac:dyDescent="0.2">
      <c r="B11252" s="236"/>
      <c r="C11252" s="236"/>
      <c r="D11252" s="236"/>
    </row>
    <row r="11253" spans="2:4" ht="12.75" customHeight="1" x14ac:dyDescent="0.2">
      <c r="B11253" s="236"/>
      <c r="C11253" s="236"/>
      <c r="D11253" s="236"/>
    </row>
    <row r="11254" spans="2:4" ht="12.75" customHeight="1" x14ac:dyDescent="0.2">
      <c r="B11254" s="236"/>
      <c r="C11254" s="236"/>
      <c r="D11254" s="236"/>
    </row>
    <row r="11255" spans="2:4" x14ac:dyDescent="0.2">
      <c r="B11255" s="236"/>
      <c r="C11255" s="236"/>
      <c r="D11255" s="236"/>
    </row>
    <row r="11256" spans="2:4" x14ac:dyDescent="0.2">
      <c r="B11256" s="236"/>
      <c r="C11256" s="236"/>
      <c r="D11256" s="236"/>
    </row>
    <row r="11257" spans="2:4" ht="12.75" customHeight="1" x14ac:dyDescent="0.2">
      <c r="B11257" s="236"/>
      <c r="C11257" s="236"/>
      <c r="D11257" s="236"/>
    </row>
    <row r="11258" spans="2:4" x14ac:dyDescent="0.2">
      <c r="B11258" s="236"/>
      <c r="C11258" s="236"/>
      <c r="D11258" s="236"/>
    </row>
    <row r="11259" spans="2:4" ht="12.75" customHeight="1" x14ac:dyDescent="0.2">
      <c r="B11259" s="236"/>
      <c r="C11259" s="236"/>
      <c r="D11259" s="236"/>
    </row>
    <row r="11260" spans="2:4" x14ac:dyDescent="0.2">
      <c r="B11260" s="236"/>
      <c r="C11260" s="236"/>
      <c r="D11260" s="236"/>
    </row>
    <row r="11261" spans="2:4" ht="12.75" customHeight="1" x14ac:dyDescent="0.2">
      <c r="B11261" s="236"/>
      <c r="C11261" s="236"/>
      <c r="D11261" s="236"/>
    </row>
    <row r="11262" spans="2:4" ht="12.75" customHeight="1" x14ac:dyDescent="0.2">
      <c r="B11262" s="236"/>
      <c r="C11262" s="236"/>
      <c r="D11262" s="236"/>
    </row>
    <row r="11263" spans="2:4" ht="12.75" customHeight="1" x14ac:dyDescent="0.2">
      <c r="B11263" s="236"/>
      <c r="C11263" s="236"/>
      <c r="D11263" s="236"/>
    </row>
    <row r="11264" spans="2:4" x14ac:dyDescent="0.2">
      <c r="B11264" s="236"/>
      <c r="C11264" s="236"/>
      <c r="D11264" s="236"/>
    </row>
    <row r="11265" spans="2:4" ht="12.75" customHeight="1" x14ac:dyDescent="0.2">
      <c r="B11265" s="236"/>
      <c r="C11265" s="236"/>
      <c r="D11265" s="236"/>
    </row>
    <row r="11266" spans="2:4" ht="12.75" customHeight="1" x14ac:dyDescent="0.2">
      <c r="B11266" s="236"/>
      <c r="C11266" s="236"/>
      <c r="D11266" s="236"/>
    </row>
    <row r="11267" spans="2:4" ht="12.75" customHeight="1" x14ac:dyDescent="0.2">
      <c r="B11267" s="236"/>
      <c r="C11267" s="236"/>
      <c r="D11267" s="236"/>
    </row>
    <row r="11268" spans="2:4" ht="12.75" customHeight="1" x14ac:dyDescent="0.2">
      <c r="B11268" s="236"/>
      <c r="C11268" s="236"/>
      <c r="D11268" s="236"/>
    </row>
    <row r="11269" spans="2:4" x14ac:dyDescent="0.2">
      <c r="B11269" s="236"/>
      <c r="C11269" s="236"/>
      <c r="D11269" s="236"/>
    </row>
    <row r="11270" spans="2:4" ht="12.75" customHeight="1" x14ac:dyDescent="0.2">
      <c r="B11270" s="236"/>
      <c r="C11270" s="236"/>
      <c r="D11270" s="236"/>
    </row>
    <row r="11271" spans="2:4" x14ac:dyDescent="0.2">
      <c r="B11271" s="236"/>
      <c r="C11271" s="236"/>
      <c r="D11271" s="236"/>
    </row>
    <row r="11272" spans="2:4" x14ac:dyDescent="0.2">
      <c r="B11272" s="236"/>
      <c r="C11272" s="236"/>
      <c r="D11272" s="236"/>
    </row>
    <row r="11273" spans="2:4" ht="12.75" customHeight="1" x14ac:dyDescent="0.2">
      <c r="B11273" s="236"/>
      <c r="C11273" s="236"/>
      <c r="D11273" s="236"/>
    </row>
    <row r="11274" spans="2:4" ht="12.75" customHeight="1" x14ac:dyDescent="0.2">
      <c r="B11274" s="236"/>
      <c r="C11274" s="236"/>
      <c r="D11274" s="236"/>
    </row>
    <row r="11275" spans="2:4" x14ac:dyDescent="0.2">
      <c r="B11275" s="236"/>
      <c r="C11275" s="236"/>
      <c r="D11275" s="236"/>
    </row>
    <row r="11276" spans="2:4" ht="12.75" customHeight="1" x14ac:dyDescent="0.2">
      <c r="B11276" s="236"/>
      <c r="C11276" s="236"/>
      <c r="D11276" s="236"/>
    </row>
    <row r="11277" spans="2:4" x14ac:dyDescent="0.2">
      <c r="B11277" s="236"/>
      <c r="C11277" s="236"/>
      <c r="D11277" s="236"/>
    </row>
    <row r="11278" spans="2:4" ht="12.75" customHeight="1" x14ac:dyDescent="0.2">
      <c r="B11278" s="236"/>
      <c r="C11278" s="236"/>
      <c r="D11278" s="236"/>
    </row>
    <row r="11279" spans="2:4" x14ac:dyDescent="0.2">
      <c r="B11279" s="236"/>
      <c r="C11279" s="236"/>
      <c r="D11279" s="236"/>
    </row>
    <row r="11280" spans="2:4" ht="12.75" customHeight="1" x14ac:dyDescent="0.2">
      <c r="B11280" s="236"/>
      <c r="C11280" s="236"/>
      <c r="D11280" s="236"/>
    </row>
    <row r="11281" spans="2:4" x14ac:dyDescent="0.2">
      <c r="B11281" s="236"/>
      <c r="C11281" s="236"/>
      <c r="D11281" s="236"/>
    </row>
    <row r="11282" spans="2:4" ht="12.75" customHeight="1" x14ac:dyDescent="0.2">
      <c r="B11282" s="236"/>
      <c r="C11282" s="236"/>
      <c r="D11282" s="236"/>
    </row>
    <row r="11283" spans="2:4" ht="12.75" customHeight="1" x14ac:dyDescent="0.2">
      <c r="B11283" s="236"/>
      <c r="C11283" s="236"/>
      <c r="D11283" s="236"/>
    </row>
    <row r="11284" spans="2:4" ht="12.75" customHeight="1" x14ac:dyDescent="0.2">
      <c r="B11284" s="236"/>
      <c r="C11284" s="236"/>
      <c r="D11284" s="236"/>
    </row>
    <row r="11285" spans="2:4" x14ac:dyDescent="0.2">
      <c r="B11285" s="236"/>
      <c r="C11285" s="236"/>
      <c r="D11285" s="236"/>
    </row>
    <row r="11286" spans="2:4" ht="12.75" customHeight="1" x14ac:dyDescent="0.2">
      <c r="B11286" s="236"/>
      <c r="C11286" s="236"/>
      <c r="D11286" s="236"/>
    </row>
    <row r="11287" spans="2:4" ht="12.75" customHeight="1" x14ac:dyDescent="0.2">
      <c r="B11287" s="236"/>
      <c r="C11287" s="236"/>
      <c r="D11287" s="236"/>
    </row>
    <row r="11288" spans="2:4" x14ac:dyDescent="0.2">
      <c r="B11288" s="236"/>
      <c r="C11288" s="236"/>
      <c r="D11288" s="236"/>
    </row>
    <row r="11289" spans="2:4" ht="12.75" customHeight="1" x14ac:dyDescent="0.2">
      <c r="B11289" s="236"/>
      <c r="C11289" s="236"/>
      <c r="D11289" s="236"/>
    </row>
    <row r="11290" spans="2:4" ht="12.75" customHeight="1" x14ac:dyDescent="0.2">
      <c r="B11290" s="236"/>
      <c r="C11290" s="236"/>
      <c r="D11290" s="236"/>
    </row>
    <row r="11291" spans="2:4" ht="12.75" customHeight="1" x14ac:dyDescent="0.2">
      <c r="B11291" s="236"/>
      <c r="C11291" s="236"/>
      <c r="D11291" s="236"/>
    </row>
    <row r="11292" spans="2:4" ht="12.75" customHeight="1" x14ac:dyDescent="0.2">
      <c r="B11292" s="236"/>
      <c r="C11292" s="236"/>
      <c r="D11292" s="236"/>
    </row>
    <row r="11293" spans="2:4" x14ac:dyDescent="0.2">
      <c r="B11293" s="236"/>
      <c r="C11293" s="236"/>
      <c r="D11293" s="236"/>
    </row>
    <row r="11294" spans="2:4" ht="12.75" customHeight="1" x14ac:dyDescent="0.2">
      <c r="B11294" s="236"/>
      <c r="C11294" s="236"/>
      <c r="D11294" s="236"/>
    </row>
    <row r="11295" spans="2:4" ht="12.75" customHeight="1" x14ac:dyDescent="0.2">
      <c r="B11295" s="236"/>
      <c r="C11295" s="236"/>
      <c r="D11295" s="236"/>
    </row>
    <row r="11296" spans="2:4" ht="12.75" customHeight="1" x14ac:dyDescent="0.2">
      <c r="B11296" s="236"/>
      <c r="C11296" s="236"/>
      <c r="D11296" s="236"/>
    </row>
    <row r="11297" spans="2:4" x14ac:dyDescent="0.2">
      <c r="B11297" s="236"/>
      <c r="C11297" s="236"/>
      <c r="D11297" s="236"/>
    </row>
    <row r="11298" spans="2:4" ht="12.75" customHeight="1" x14ac:dyDescent="0.2">
      <c r="B11298" s="236"/>
      <c r="C11298" s="236"/>
      <c r="D11298" s="236"/>
    </row>
    <row r="11299" spans="2:4" x14ac:dyDescent="0.2">
      <c r="B11299" s="236"/>
      <c r="C11299" s="236"/>
      <c r="D11299" s="236"/>
    </row>
    <row r="11300" spans="2:4" ht="12.75" customHeight="1" x14ac:dyDescent="0.2">
      <c r="B11300" s="236"/>
      <c r="C11300" s="236"/>
      <c r="D11300" s="236"/>
    </row>
    <row r="11301" spans="2:4" x14ac:dyDescent="0.2">
      <c r="B11301" s="236"/>
      <c r="C11301" s="236"/>
      <c r="D11301" s="236"/>
    </row>
    <row r="11302" spans="2:4" ht="12.75" customHeight="1" x14ac:dyDescent="0.2">
      <c r="B11302" s="236"/>
      <c r="C11302" s="236"/>
      <c r="D11302" s="236"/>
    </row>
    <row r="11303" spans="2:4" ht="12.75" customHeight="1" x14ac:dyDescent="0.2">
      <c r="B11303" s="236"/>
      <c r="C11303" s="236"/>
      <c r="D11303" s="236"/>
    </row>
    <row r="11304" spans="2:4" ht="12.75" customHeight="1" x14ac:dyDescent="0.2">
      <c r="B11304" s="236"/>
      <c r="C11304" s="236"/>
      <c r="D11304" s="236"/>
    </row>
    <row r="11305" spans="2:4" ht="12.75" customHeight="1" x14ac:dyDescent="0.2">
      <c r="B11305" s="236"/>
      <c r="C11305" s="236"/>
      <c r="D11305" s="236"/>
    </row>
    <row r="11306" spans="2:4" ht="12.75" customHeight="1" x14ac:dyDescent="0.2">
      <c r="B11306" s="236"/>
      <c r="C11306" s="236"/>
      <c r="D11306" s="236"/>
    </row>
    <row r="11307" spans="2:4" ht="12.75" customHeight="1" x14ac:dyDescent="0.2">
      <c r="B11307" s="236"/>
      <c r="C11307" s="236"/>
      <c r="D11307" s="236"/>
    </row>
    <row r="11308" spans="2:4" ht="12.75" customHeight="1" x14ac:dyDescent="0.2">
      <c r="B11308" s="236"/>
      <c r="C11308" s="236"/>
      <c r="D11308" s="236"/>
    </row>
    <row r="11309" spans="2:4" ht="12.75" customHeight="1" x14ac:dyDescent="0.2">
      <c r="B11309" s="236"/>
      <c r="C11309" s="236"/>
      <c r="D11309" s="236"/>
    </row>
    <row r="11310" spans="2:4" ht="12.75" customHeight="1" x14ac:dyDescent="0.2">
      <c r="B11310" s="236"/>
      <c r="C11310" s="236"/>
      <c r="D11310" s="236"/>
    </row>
    <row r="11311" spans="2:4" ht="12.75" customHeight="1" x14ac:dyDescent="0.2">
      <c r="B11311" s="236"/>
      <c r="C11311" s="236"/>
      <c r="D11311" s="236"/>
    </row>
    <row r="11312" spans="2:4" ht="12.75" customHeight="1" x14ac:dyDescent="0.2">
      <c r="B11312" s="236"/>
      <c r="C11312" s="236"/>
      <c r="D11312" s="236"/>
    </row>
    <row r="11313" spans="2:4" ht="12.75" customHeight="1" x14ac:dyDescent="0.2">
      <c r="B11313" s="236"/>
      <c r="C11313" s="236"/>
      <c r="D11313" s="236"/>
    </row>
    <row r="11314" spans="2:4" ht="12.75" customHeight="1" x14ac:dyDescent="0.2">
      <c r="B11314" s="236"/>
      <c r="C11314" s="236"/>
      <c r="D11314" s="236"/>
    </row>
    <row r="11315" spans="2:4" ht="12.75" customHeight="1" x14ac:dyDescent="0.2">
      <c r="B11315" s="236"/>
      <c r="C11315" s="236"/>
      <c r="D11315" s="236"/>
    </row>
    <row r="11316" spans="2:4" ht="12.75" customHeight="1" x14ac:dyDescent="0.2">
      <c r="B11316" s="236"/>
      <c r="C11316" s="236"/>
      <c r="D11316" s="236"/>
    </row>
    <row r="11317" spans="2:4" x14ac:dyDescent="0.2">
      <c r="B11317" s="236"/>
      <c r="C11317" s="236"/>
      <c r="D11317" s="236"/>
    </row>
    <row r="11318" spans="2:4" ht="12.75" customHeight="1" x14ac:dyDescent="0.2">
      <c r="B11318" s="236"/>
      <c r="C11318" s="236"/>
      <c r="D11318" s="236"/>
    </row>
    <row r="11319" spans="2:4" ht="12.75" customHeight="1" x14ac:dyDescent="0.2">
      <c r="B11319" s="236"/>
      <c r="C11319" s="236"/>
      <c r="D11319" s="236"/>
    </row>
    <row r="11320" spans="2:4" x14ac:dyDescent="0.2">
      <c r="B11320" s="236"/>
      <c r="C11320" s="236"/>
      <c r="D11320" s="236"/>
    </row>
    <row r="11321" spans="2:4" ht="12.75" customHeight="1" x14ac:dyDescent="0.2">
      <c r="B11321" s="236"/>
      <c r="C11321" s="236"/>
      <c r="D11321" s="236"/>
    </row>
    <row r="11322" spans="2:4" x14ac:dyDescent="0.2">
      <c r="B11322" s="236"/>
      <c r="C11322" s="236"/>
      <c r="D11322" s="236"/>
    </row>
    <row r="11323" spans="2:4" ht="12.75" customHeight="1" x14ac:dyDescent="0.2">
      <c r="B11323" s="236"/>
      <c r="C11323" s="236"/>
      <c r="D11323" s="236"/>
    </row>
    <row r="11324" spans="2:4" ht="12.75" customHeight="1" x14ac:dyDescent="0.2">
      <c r="B11324" s="236"/>
      <c r="C11324" s="236"/>
      <c r="D11324" s="236"/>
    </row>
    <row r="11325" spans="2:4" ht="12.75" customHeight="1" x14ac:dyDescent="0.2">
      <c r="B11325" s="236"/>
      <c r="C11325" s="236"/>
      <c r="D11325" s="236"/>
    </row>
    <row r="11326" spans="2:4" x14ac:dyDescent="0.2">
      <c r="B11326" s="236"/>
      <c r="C11326" s="236"/>
      <c r="D11326" s="236"/>
    </row>
    <row r="11327" spans="2:4" ht="12.75" customHeight="1" x14ac:dyDescent="0.2">
      <c r="B11327" s="236"/>
      <c r="C11327" s="236"/>
      <c r="D11327" s="236"/>
    </row>
    <row r="11328" spans="2:4" ht="12.75" customHeight="1" x14ac:dyDescent="0.2">
      <c r="B11328" s="236"/>
      <c r="C11328" s="236"/>
      <c r="D11328" s="236"/>
    </row>
    <row r="11329" spans="2:4" ht="12.75" customHeight="1" x14ac:dyDescent="0.2">
      <c r="B11329" s="236"/>
      <c r="C11329" s="236"/>
      <c r="D11329" s="236"/>
    </row>
    <row r="11330" spans="2:4" ht="12.75" customHeight="1" x14ac:dyDescent="0.2">
      <c r="B11330" s="236"/>
      <c r="C11330" s="236"/>
      <c r="D11330" s="236"/>
    </row>
    <row r="11331" spans="2:4" ht="12.75" customHeight="1" x14ac:dyDescent="0.2">
      <c r="B11331" s="236"/>
      <c r="C11331" s="236"/>
      <c r="D11331" s="236"/>
    </row>
    <row r="11332" spans="2:4" x14ac:dyDescent="0.2">
      <c r="B11332" s="236"/>
      <c r="C11332" s="236"/>
      <c r="D11332" s="236"/>
    </row>
    <row r="11333" spans="2:4" ht="12.75" customHeight="1" x14ac:dyDescent="0.2">
      <c r="B11333" s="236"/>
      <c r="C11333" s="236"/>
      <c r="D11333" s="236"/>
    </row>
    <row r="11334" spans="2:4" ht="12.75" customHeight="1" x14ac:dyDescent="0.2">
      <c r="B11334" s="236"/>
      <c r="C11334" s="236"/>
      <c r="D11334" s="236"/>
    </row>
    <row r="11335" spans="2:4" x14ac:dyDescent="0.2">
      <c r="B11335" s="236"/>
      <c r="C11335" s="236"/>
      <c r="D11335" s="236"/>
    </row>
    <row r="11336" spans="2:4" ht="12.75" customHeight="1" x14ac:dyDescent="0.2">
      <c r="B11336" s="236"/>
      <c r="C11336" s="236"/>
      <c r="D11336" s="236"/>
    </row>
    <row r="11337" spans="2:4" ht="12.75" customHeight="1" x14ac:dyDescent="0.2">
      <c r="B11337" s="236"/>
      <c r="C11337" s="236"/>
      <c r="D11337" s="236"/>
    </row>
    <row r="11338" spans="2:4" x14ac:dyDescent="0.2">
      <c r="B11338" s="236"/>
      <c r="C11338" s="236"/>
      <c r="D11338" s="236"/>
    </row>
    <row r="11339" spans="2:4" ht="12.75" customHeight="1" x14ac:dyDescent="0.2">
      <c r="B11339" s="236"/>
      <c r="C11339" s="236"/>
      <c r="D11339" s="236"/>
    </row>
    <row r="11340" spans="2:4" ht="12.75" customHeight="1" x14ac:dyDescent="0.2">
      <c r="B11340" s="236"/>
      <c r="C11340" s="236"/>
      <c r="D11340" s="236"/>
    </row>
    <row r="11341" spans="2:4" x14ac:dyDescent="0.2">
      <c r="B11341" s="236"/>
      <c r="C11341" s="236"/>
      <c r="D11341" s="236"/>
    </row>
    <row r="11342" spans="2:4" ht="12.75" customHeight="1" x14ac:dyDescent="0.2">
      <c r="B11342" s="236"/>
      <c r="C11342" s="236"/>
      <c r="D11342" s="236"/>
    </row>
    <row r="11343" spans="2:4" x14ac:dyDescent="0.2">
      <c r="B11343" s="236"/>
      <c r="C11343" s="236"/>
      <c r="D11343" s="236"/>
    </row>
    <row r="11344" spans="2:4" ht="12.75" customHeight="1" x14ac:dyDescent="0.2">
      <c r="B11344" s="236"/>
      <c r="C11344" s="236"/>
      <c r="D11344" s="236"/>
    </row>
    <row r="11345" spans="2:4" ht="12.75" customHeight="1" x14ac:dyDescent="0.2">
      <c r="B11345" s="236"/>
      <c r="C11345" s="236"/>
      <c r="D11345" s="236"/>
    </row>
    <row r="11346" spans="2:4" x14ac:dyDescent="0.2">
      <c r="B11346" s="236"/>
      <c r="C11346" s="236"/>
      <c r="D11346" s="236"/>
    </row>
    <row r="11347" spans="2:4" ht="12.75" customHeight="1" x14ac:dyDescent="0.2">
      <c r="B11347" s="236"/>
      <c r="C11347" s="236"/>
      <c r="D11347" s="236"/>
    </row>
    <row r="11348" spans="2:4" ht="12.75" customHeight="1" x14ac:dyDescent="0.2">
      <c r="B11348" s="236"/>
      <c r="C11348" s="236"/>
      <c r="D11348" s="236"/>
    </row>
    <row r="11349" spans="2:4" x14ac:dyDescent="0.2">
      <c r="B11349" s="236"/>
      <c r="C11349" s="236"/>
      <c r="D11349" s="236"/>
    </row>
    <row r="11350" spans="2:4" ht="12.75" customHeight="1" x14ac:dyDescent="0.2">
      <c r="B11350" s="236"/>
      <c r="C11350" s="236"/>
      <c r="D11350" s="236"/>
    </row>
    <row r="11351" spans="2:4" ht="12.75" customHeight="1" x14ac:dyDescent="0.2">
      <c r="B11351" s="236"/>
      <c r="C11351" s="236"/>
      <c r="D11351" s="236"/>
    </row>
    <row r="11352" spans="2:4" ht="12.75" customHeight="1" x14ac:dyDescent="0.2">
      <c r="B11352" s="236"/>
      <c r="C11352" s="236"/>
      <c r="D11352" s="236"/>
    </row>
    <row r="11353" spans="2:4" ht="12.75" customHeight="1" x14ac:dyDescent="0.2">
      <c r="B11353" s="236"/>
      <c r="C11353" s="236"/>
      <c r="D11353" s="236"/>
    </row>
    <row r="11354" spans="2:4" x14ac:dyDescent="0.2">
      <c r="B11354" s="236"/>
      <c r="C11354" s="236"/>
      <c r="D11354" s="236"/>
    </row>
    <row r="11355" spans="2:4" ht="12.75" customHeight="1" x14ac:dyDescent="0.2">
      <c r="B11355" s="236"/>
      <c r="C11355" s="236"/>
      <c r="D11355" s="236"/>
    </row>
    <row r="11356" spans="2:4" x14ac:dyDescent="0.2">
      <c r="B11356" s="236"/>
      <c r="C11356" s="236"/>
      <c r="D11356" s="236"/>
    </row>
    <row r="11357" spans="2:4" ht="12.75" customHeight="1" x14ac:dyDescent="0.2">
      <c r="B11357" s="236"/>
      <c r="C11357" s="236"/>
      <c r="D11357" s="236"/>
    </row>
    <row r="11358" spans="2:4" ht="12.75" customHeight="1" x14ac:dyDescent="0.2">
      <c r="B11358" s="236"/>
      <c r="C11358" s="236"/>
      <c r="D11358" s="236"/>
    </row>
    <row r="11359" spans="2:4" ht="12.75" customHeight="1" x14ac:dyDescent="0.2">
      <c r="B11359" s="236"/>
      <c r="C11359" s="236"/>
      <c r="D11359" s="236"/>
    </row>
    <row r="11360" spans="2:4" ht="12.75" customHeight="1" x14ac:dyDescent="0.2">
      <c r="B11360" s="236"/>
      <c r="C11360" s="236"/>
      <c r="D11360" s="236"/>
    </row>
    <row r="11361" spans="2:4" ht="12.75" customHeight="1" x14ac:dyDescent="0.2">
      <c r="B11361" s="236"/>
      <c r="C11361" s="236"/>
      <c r="D11361" s="236"/>
    </row>
    <row r="11362" spans="2:4" ht="12.75" customHeight="1" x14ac:dyDescent="0.2">
      <c r="B11362" s="236"/>
      <c r="C11362" s="236"/>
      <c r="D11362" s="236"/>
    </row>
    <row r="11363" spans="2:4" ht="12.75" customHeight="1" x14ac:dyDescent="0.2">
      <c r="B11363" s="236"/>
      <c r="C11363" s="236"/>
      <c r="D11363" s="236"/>
    </row>
    <row r="11364" spans="2:4" ht="12.75" customHeight="1" x14ac:dyDescent="0.2">
      <c r="B11364" s="236"/>
      <c r="C11364" s="236"/>
      <c r="D11364" s="236"/>
    </row>
    <row r="11365" spans="2:4" x14ac:dyDescent="0.2">
      <c r="B11365" s="236"/>
      <c r="C11365" s="236"/>
      <c r="D11365" s="236"/>
    </row>
    <row r="11366" spans="2:4" ht="12.75" customHeight="1" x14ac:dyDescent="0.2">
      <c r="B11366" s="236"/>
      <c r="C11366" s="236"/>
      <c r="D11366" s="236"/>
    </row>
    <row r="11367" spans="2:4" x14ac:dyDescent="0.2">
      <c r="B11367" s="236"/>
      <c r="C11367" s="236"/>
      <c r="D11367" s="236"/>
    </row>
    <row r="11368" spans="2:4" ht="12.75" customHeight="1" x14ac:dyDescent="0.2">
      <c r="B11368" s="236"/>
      <c r="C11368" s="236"/>
      <c r="D11368" s="236"/>
    </row>
    <row r="11369" spans="2:4" ht="12.75" customHeight="1" x14ac:dyDescent="0.2">
      <c r="B11369" s="236"/>
      <c r="C11369" s="236"/>
      <c r="D11369" s="236"/>
    </row>
    <row r="11370" spans="2:4" ht="12.75" customHeight="1" x14ac:dyDescent="0.2">
      <c r="B11370" s="236"/>
      <c r="C11370" s="236"/>
      <c r="D11370" s="236"/>
    </row>
    <row r="11371" spans="2:4" x14ac:dyDescent="0.2">
      <c r="B11371" s="236"/>
      <c r="C11371" s="236"/>
      <c r="D11371" s="236"/>
    </row>
    <row r="11372" spans="2:4" ht="12.75" customHeight="1" x14ac:dyDescent="0.2">
      <c r="B11372" s="236"/>
      <c r="C11372" s="236"/>
      <c r="D11372" s="236"/>
    </row>
    <row r="11373" spans="2:4" ht="12.75" customHeight="1" x14ac:dyDescent="0.2">
      <c r="B11373" s="236"/>
      <c r="C11373" s="236"/>
      <c r="D11373" s="236"/>
    </row>
    <row r="11374" spans="2:4" ht="12.75" customHeight="1" x14ac:dyDescent="0.2">
      <c r="B11374" s="236"/>
      <c r="C11374" s="236"/>
      <c r="D11374" s="236"/>
    </row>
    <row r="11375" spans="2:4" ht="12.75" customHeight="1" x14ac:dyDescent="0.2">
      <c r="B11375" s="236"/>
      <c r="C11375" s="236"/>
      <c r="D11375" s="236"/>
    </row>
    <row r="11376" spans="2:4" ht="12.75" customHeight="1" x14ac:dyDescent="0.2">
      <c r="B11376" s="236"/>
      <c r="C11376" s="236"/>
      <c r="D11376" s="236"/>
    </row>
    <row r="11377" spans="2:4" ht="12.75" customHeight="1" x14ac:dyDescent="0.2">
      <c r="B11377" s="236"/>
      <c r="C11377" s="236"/>
      <c r="D11377" s="236"/>
    </row>
    <row r="11378" spans="2:4" ht="12.75" customHeight="1" x14ac:dyDescent="0.2">
      <c r="B11378" s="236"/>
      <c r="C11378" s="236"/>
      <c r="D11378" s="236"/>
    </row>
    <row r="11379" spans="2:4" x14ac:dyDescent="0.2">
      <c r="B11379" s="236"/>
      <c r="C11379" s="236"/>
      <c r="D11379" s="236"/>
    </row>
    <row r="11380" spans="2:4" ht="12.75" customHeight="1" x14ac:dyDescent="0.2">
      <c r="B11380" s="236"/>
      <c r="C11380" s="236"/>
      <c r="D11380" s="236"/>
    </row>
    <row r="11381" spans="2:4" x14ac:dyDescent="0.2">
      <c r="B11381" s="236"/>
      <c r="C11381" s="236"/>
      <c r="D11381" s="236"/>
    </row>
    <row r="11382" spans="2:4" ht="12.75" customHeight="1" x14ac:dyDescent="0.2">
      <c r="B11382" s="236"/>
      <c r="C11382" s="236"/>
      <c r="D11382" s="236"/>
    </row>
    <row r="11383" spans="2:4" x14ac:dyDescent="0.2">
      <c r="B11383" s="236"/>
      <c r="C11383" s="236"/>
      <c r="D11383" s="236"/>
    </row>
    <row r="11384" spans="2:4" ht="12.75" customHeight="1" x14ac:dyDescent="0.2">
      <c r="B11384" s="236"/>
      <c r="C11384" s="236"/>
      <c r="D11384" s="236"/>
    </row>
    <row r="11385" spans="2:4" ht="12.75" customHeight="1" x14ac:dyDescent="0.2">
      <c r="B11385" s="236"/>
      <c r="C11385" s="236"/>
      <c r="D11385" s="236"/>
    </row>
    <row r="11386" spans="2:4" ht="12.75" customHeight="1" x14ac:dyDescent="0.2">
      <c r="B11386" s="236"/>
      <c r="C11386" s="236"/>
      <c r="D11386" s="236"/>
    </row>
    <row r="11387" spans="2:4" ht="12.75" customHeight="1" x14ac:dyDescent="0.2">
      <c r="B11387" s="236"/>
      <c r="C11387" s="236"/>
      <c r="D11387" s="236"/>
    </row>
    <row r="11388" spans="2:4" ht="12.75" customHeight="1" x14ac:dyDescent="0.2">
      <c r="B11388" s="236"/>
      <c r="C11388" s="236"/>
      <c r="D11388" s="236"/>
    </row>
    <row r="11389" spans="2:4" ht="12.75" customHeight="1" x14ac:dyDescent="0.2">
      <c r="B11389" s="236"/>
      <c r="C11389" s="236"/>
      <c r="D11389" s="236"/>
    </row>
    <row r="11390" spans="2:4" ht="12.75" customHeight="1" x14ac:dyDescent="0.2">
      <c r="B11390" s="236"/>
      <c r="C11390" s="236"/>
      <c r="D11390" s="236"/>
    </row>
    <row r="11391" spans="2:4" ht="12.75" customHeight="1" x14ac:dyDescent="0.2">
      <c r="B11391" s="236"/>
      <c r="C11391" s="236"/>
      <c r="D11391" s="236"/>
    </row>
    <row r="11392" spans="2:4" x14ac:dyDescent="0.2">
      <c r="B11392" s="236"/>
      <c r="C11392" s="236"/>
      <c r="D11392" s="236"/>
    </row>
    <row r="11393" spans="2:4" ht="12.75" customHeight="1" x14ac:dyDescent="0.2">
      <c r="B11393" s="236"/>
      <c r="C11393" s="236"/>
      <c r="D11393" s="236"/>
    </row>
    <row r="11394" spans="2:4" x14ac:dyDescent="0.2">
      <c r="B11394" s="236"/>
      <c r="C11394" s="236"/>
      <c r="D11394" s="236"/>
    </row>
    <row r="11395" spans="2:4" ht="12.75" customHeight="1" x14ac:dyDescent="0.2">
      <c r="B11395" s="236"/>
      <c r="C11395" s="236"/>
      <c r="D11395" s="236"/>
    </row>
    <row r="11396" spans="2:4" ht="12.75" customHeight="1" x14ac:dyDescent="0.2">
      <c r="B11396" s="236"/>
      <c r="C11396" s="236"/>
      <c r="D11396" s="236"/>
    </row>
    <row r="11397" spans="2:4" ht="12.75" customHeight="1" x14ac:dyDescent="0.2">
      <c r="B11397" s="236"/>
      <c r="C11397" s="236"/>
      <c r="D11397" s="236"/>
    </row>
    <row r="11398" spans="2:4" ht="12.75" customHeight="1" x14ac:dyDescent="0.2">
      <c r="B11398" s="236"/>
      <c r="C11398" s="236"/>
      <c r="D11398" s="236"/>
    </row>
    <row r="11399" spans="2:4" ht="12.75" customHeight="1" x14ac:dyDescent="0.2">
      <c r="B11399" s="236"/>
      <c r="C11399" s="236"/>
      <c r="D11399" s="236"/>
    </row>
    <row r="11400" spans="2:4" ht="12.75" customHeight="1" x14ac:dyDescent="0.2">
      <c r="B11400" s="236"/>
      <c r="C11400" s="236"/>
      <c r="D11400" s="236"/>
    </row>
    <row r="11401" spans="2:4" ht="12.75" customHeight="1" x14ac:dyDescent="0.2">
      <c r="B11401" s="236"/>
      <c r="C11401" s="236"/>
      <c r="D11401" s="236"/>
    </row>
    <row r="11402" spans="2:4" ht="12.75" customHeight="1" x14ac:dyDescent="0.2">
      <c r="B11402" s="236"/>
      <c r="C11402" s="236"/>
      <c r="D11402" s="236"/>
    </row>
    <row r="11403" spans="2:4" ht="12.75" customHeight="1" x14ac:dyDescent="0.2">
      <c r="B11403" s="236"/>
      <c r="C11403" s="236"/>
      <c r="D11403" s="236"/>
    </row>
    <row r="11404" spans="2:4" ht="12.75" customHeight="1" x14ac:dyDescent="0.2">
      <c r="B11404" s="236"/>
      <c r="C11404" s="236"/>
      <c r="D11404" s="236"/>
    </row>
    <row r="11405" spans="2:4" ht="12.75" customHeight="1" x14ac:dyDescent="0.2">
      <c r="B11405" s="236"/>
      <c r="C11405" s="236"/>
      <c r="D11405" s="236"/>
    </row>
    <row r="11406" spans="2:4" ht="12.75" customHeight="1" x14ac:dyDescent="0.2">
      <c r="B11406" s="236"/>
      <c r="C11406" s="236"/>
      <c r="D11406" s="236"/>
    </row>
    <row r="11407" spans="2:4" ht="12.75" customHeight="1" x14ac:dyDescent="0.2">
      <c r="B11407" s="236"/>
      <c r="C11407" s="236"/>
      <c r="D11407" s="236"/>
    </row>
    <row r="11408" spans="2:4" ht="12.75" customHeight="1" x14ac:dyDescent="0.2">
      <c r="B11408" s="236"/>
      <c r="C11408" s="236"/>
      <c r="D11408" s="236"/>
    </row>
    <row r="11409" spans="2:4" ht="12.75" customHeight="1" x14ac:dyDescent="0.2">
      <c r="B11409" s="236"/>
      <c r="C11409" s="236"/>
      <c r="D11409" s="236"/>
    </row>
    <row r="11410" spans="2:4" ht="12.75" customHeight="1" x14ac:dyDescent="0.2">
      <c r="B11410" s="236"/>
      <c r="C11410" s="236"/>
      <c r="D11410" s="236"/>
    </row>
    <row r="11411" spans="2:4" ht="12.75" customHeight="1" x14ac:dyDescent="0.2">
      <c r="B11411" s="236"/>
      <c r="C11411" s="236"/>
      <c r="D11411" s="236"/>
    </row>
    <row r="11412" spans="2:4" ht="12.75" customHeight="1" x14ac:dyDescent="0.2">
      <c r="B11412" s="236"/>
      <c r="C11412" s="236"/>
      <c r="D11412" s="236"/>
    </row>
    <row r="11413" spans="2:4" ht="12.75" customHeight="1" x14ac:dyDescent="0.2">
      <c r="B11413" s="236"/>
      <c r="C11413" s="236"/>
      <c r="D11413" s="236"/>
    </row>
    <row r="11414" spans="2:4" ht="12.75" customHeight="1" x14ac:dyDescent="0.2">
      <c r="B11414" s="236"/>
      <c r="C11414" s="236"/>
      <c r="D11414" s="236"/>
    </row>
    <row r="11415" spans="2:4" ht="12.75" customHeight="1" x14ac:dyDescent="0.2">
      <c r="B11415" s="236"/>
      <c r="C11415" s="236"/>
      <c r="D11415" s="236"/>
    </row>
    <row r="11416" spans="2:4" ht="12.75" customHeight="1" x14ac:dyDescent="0.2">
      <c r="B11416" s="236"/>
      <c r="C11416" s="236"/>
      <c r="D11416" s="236"/>
    </row>
    <row r="11417" spans="2:4" x14ac:dyDescent="0.2">
      <c r="B11417" s="236"/>
      <c r="C11417" s="236"/>
      <c r="D11417" s="236"/>
    </row>
    <row r="11418" spans="2:4" ht="12.75" customHeight="1" x14ac:dyDescent="0.2">
      <c r="B11418" s="236"/>
      <c r="C11418" s="236"/>
      <c r="D11418" s="236"/>
    </row>
    <row r="11419" spans="2:4" ht="12.75" customHeight="1" x14ac:dyDescent="0.2">
      <c r="B11419" s="236"/>
      <c r="C11419" s="236"/>
      <c r="D11419" s="236"/>
    </row>
    <row r="11420" spans="2:4" x14ac:dyDescent="0.2">
      <c r="B11420" s="236"/>
      <c r="C11420" s="236"/>
      <c r="D11420" s="236"/>
    </row>
    <row r="11421" spans="2:4" ht="12.75" customHeight="1" x14ac:dyDescent="0.2">
      <c r="B11421" s="236"/>
      <c r="C11421" s="236"/>
      <c r="D11421" s="236"/>
    </row>
    <row r="11422" spans="2:4" ht="12.75" customHeight="1" x14ac:dyDescent="0.2">
      <c r="B11422" s="236"/>
      <c r="C11422" s="236"/>
      <c r="D11422" s="236"/>
    </row>
    <row r="11423" spans="2:4" x14ac:dyDescent="0.2">
      <c r="B11423" s="236"/>
      <c r="C11423" s="236"/>
      <c r="D11423" s="236"/>
    </row>
    <row r="11424" spans="2:4" ht="12.75" customHeight="1" x14ac:dyDescent="0.2">
      <c r="B11424" s="236"/>
      <c r="C11424" s="236"/>
      <c r="D11424" s="236"/>
    </row>
    <row r="11425" spans="2:4" ht="12.75" customHeight="1" x14ac:dyDescent="0.2">
      <c r="B11425" s="236"/>
      <c r="C11425" s="236"/>
      <c r="D11425" s="236"/>
    </row>
    <row r="11426" spans="2:4" ht="12.75" customHeight="1" x14ac:dyDescent="0.2">
      <c r="B11426" s="236"/>
      <c r="C11426" s="236"/>
      <c r="D11426" s="236"/>
    </row>
    <row r="11427" spans="2:4" x14ac:dyDescent="0.2">
      <c r="B11427" s="236"/>
      <c r="C11427" s="236"/>
      <c r="D11427" s="236"/>
    </row>
    <row r="11428" spans="2:4" ht="12.75" customHeight="1" x14ac:dyDescent="0.2">
      <c r="B11428" s="236"/>
      <c r="C11428" s="236"/>
      <c r="D11428" s="236"/>
    </row>
    <row r="11429" spans="2:4" x14ac:dyDescent="0.2">
      <c r="B11429" s="236"/>
      <c r="C11429" s="236"/>
      <c r="D11429" s="236"/>
    </row>
    <row r="11430" spans="2:4" ht="12.75" customHeight="1" x14ac:dyDescent="0.2">
      <c r="B11430" s="236"/>
      <c r="C11430" s="236"/>
      <c r="D11430" s="236"/>
    </row>
    <row r="11431" spans="2:4" x14ac:dyDescent="0.2">
      <c r="B11431" s="236"/>
      <c r="C11431" s="236"/>
      <c r="D11431" s="236"/>
    </row>
    <row r="11432" spans="2:4" ht="12.75" customHeight="1" x14ac:dyDescent="0.2">
      <c r="B11432" s="236"/>
      <c r="C11432" s="236"/>
      <c r="D11432" s="236"/>
    </row>
    <row r="11433" spans="2:4" ht="12.75" customHeight="1" x14ac:dyDescent="0.2">
      <c r="B11433" s="236"/>
      <c r="C11433" s="236"/>
      <c r="D11433" s="236"/>
    </row>
    <row r="11434" spans="2:4" ht="12.75" customHeight="1" x14ac:dyDescent="0.2">
      <c r="B11434" s="236"/>
      <c r="C11434" s="236"/>
      <c r="D11434" s="236"/>
    </row>
    <row r="11435" spans="2:4" ht="12.75" customHeight="1" x14ac:dyDescent="0.2">
      <c r="B11435" s="236"/>
      <c r="C11435" s="236"/>
      <c r="D11435" s="236"/>
    </row>
    <row r="11436" spans="2:4" ht="12.75" customHeight="1" x14ac:dyDescent="0.2">
      <c r="B11436" s="236"/>
      <c r="C11436" s="236"/>
      <c r="D11436" s="236"/>
    </row>
    <row r="11437" spans="2:4" ht="12.75" customHeight="1" x14ac:dyDescent="0.2">
      <c r="B11437" s="236"/>
      <c r="C11437" s="236"/>
      <c r="D11437" s="236"/>
    </row>
    <row r="11438" spans="2:4" ht="12.75" customHeight="1" x14ac:dyDescent="0.2">
      <c r="B11438" s="236"/>
      <c r="C11438" s="236"/>
      <c r="D11438" s="236"/>
    </row>
    <row r="11439" spans="2:4" ht="12.75" customHeight="1" x14ac:dyDescent="0.2">
      <c r="B11439" s="236"/>
      <c r="C11439" s="236"/>
      <c r="D11439" s="236"/>
    </row>
    <row r="11440" spans="2:4" ht="12.75" customHeight="1" x14ac:dyDescent="0.2">
      <c r="B11440" s="236"/>
      <c r="C11440" s="236"/>
      <c r="D11440" s="236"/>
    </row>
    <row r="11441" spans="2:4" ht="12.75" customHeight="1" x14ac:dyDescent="0.2">
      <c r="B11441" s="236"/>
      <c r="C11441" s="236"/>
      <c r="D11441" s="236"/>
    </row>
    <row r="11442" spans="2:4" ht="12.75" customHeight="1" x14ac:dyDescent="0.2">
      <c r="B11442" s="236"/>
      <c r="C11442" s="236"/>
      <c r="D11442" s="236"/>
    </row>
    <row r="11443" spans="2:4" x14ac:dyDescent="0.2">
      <c r="B11443" s="236"/>
      <c r="C11443" s="236"/>
      <c r="D11443" s="236"/>
    </row>
    <row r="11444" spans="2:4" ht="12.75" customHeight="1" x14ac:dyDescent="0.2">
      <c r="B11444" s="236"/>
      <c r="C11444" s="236"/>
      <c r="D11444" s="236"/>
    </row>
    <row r="11445" spans="2:4" ht="12.75" customHeight="1" x14ac:dyDescent="0.2">
      <c r="B11445" s="236"/>
      <c r="C11445" s="236"/>
      <c r="D11445" s="236"/>
    </row>
    <row r="11446" spans="2:4" x14ac:dyDescent="0.2">
      <c r="B11446" s="236"/>
      <c r="C11446" s="236"/>
      <c r="D11446" s="236"/>
    </row>
    <row r="11447" spans="2:4" ht="12.75" customHeight="1" x14ac:dyDescent="0.2">
      <c r="B11447" s="236"/>
      <c r="C11447" s="236"/>
      <c r="D11447" s="236"/>
    </row>
    <row r="11448" spans="2:4" ht="12.75" customHeight="1" x14ac:dyDescent="0.2">
      <c r="B11448" s="236"/>
      <c r="C11448" s="236"/>
      <c r="D11448" s="236"/>
    </row>
    <row r="11449" spans="2:4" x14ac:dyDescent="0.2">
      <c r="B11449" s="236"/>
      <c r="C11449" s="236"/>
      <c r="D11449" s="236"/>
    </row>
    <row r="11450" spans="2:4" ht="12.75" customHeight="1" x14ac:dyDescent="0.2">
      <c r="B11450" s="236"/>
      <c r="C11450" s="236"/>
      <c r="D11450" s="236"/>
    </row>
    <row r="11451" spans="2:4" x14ac:dyDescent="0.2">
      <c r="B11451" s="236"/>
      <c r="C11451" s="236"/>
      <c r="D11451" s="236"/>
    </row>
    <row r="11452" spans="2:4" ht="12.75" customHeight="1" x14ac:dyDescent="0.2">
      <c r="B11452" s="236"/>
      <c r="C11452" s="236"/>
      <c r="D11452" s="236"/>
    </row>
    <row r="11453" spans="2:4" x14ac:dyDescent="0.2">
      <c r="B11453" s="236"/>
      <c r="C11453" s="236"/>
      <c r="D11453" s="236"/>
    </row>
    <row r="11454" spans="2:4" ht="12.75" customHeight="1" x14ac:dyDescent="0.2">
      <c r="B11454" s="236"/>
      <c r="C11454" s="236"/>
      <c r="D11454" s="236"/>
    </row>
    <row r="11455" spans="2:4" ht="12.75" customHeight="1" x14ac:dyDescent="0.2">
      <c r="B11455" s="236"/>
      <c r="C11455" s="236"/>
      <c r="D11455" s="236"/>
    </row>
    <row r="11456" spans="2:4" ht="12.75" customHeight="1" x14ac:dyDescent="0.2">
      <c r="B11456" s="236"/>
      <c r="C11456" s="236"/>
      <c r="D11456" s="236"/>
    </row>
    <row r="11457" spans="2:4" ht="12.75" customHeight="1" x14ac:dyDescent="0.2">
      <c r="B11457" s="236"/>
      <c r="C11457" s="236"/>
      <c r="D11457" s="236"/>
    </row>
    <row r="11458" spans="2:4" ht="12.75" customHeight="1" x14ac:dyDescent="0.2">
      <c r="B11458" s="236"/>
      <c r="C11458" s="236"/>
      <c r="D11458" s="236"/>
    </row>
    <row r="11459" spans="2:4" ht="12.75" customHeight="1" x14ac:dyDescent="0.2">
      <c r="B11459" s="236"/>
      <c r="C11459" s="236"/>
      <c r="D11459" s="236"/>
    </row>
    <row r="11460" spans="2:4" ht="12.75" customHeight="1" x14ac:dyDescent="0.2">
      <c r="B11460" s="236"/>
      <c r="C11460" s="236"/>
      <c r="D11460" s="236"/>
    </row>
    <row r="11461" spans="2:4" x14ac:dyDescent="0.2">
      <c r="B11461" s="236"/>
      <c r="C11461" s="236"/>
      <c r="D11461" s="236"/>
    </row>
    <row r="11462" spans="2:4" ht="12.75" customHeight="1" x14ac:dyDescent="0.2">
      <c r="B11462" s="236"/>
      <c r="C11462" s="236"/>
      <c r="D11462" s="236"/>
    </row>
    <row r="11463" spans="2:4" ht="12.75" customHeight="1" x14ac:dyDescent="0.2">
      <c r="B11463" s="236"/>
      <c r="C11463" s="236"/>
      <c r="D11463" s="236"/>
    </row>
    <row r="11464" spans="2:4" ht="12.75" customHeight="1" x14ac:dyDescent="0.2">
      <c r="B11464" s="236"/>
      <c r="C11464" s="236"/>
      <c r="D11464" s="236"/>
    </row>
    <row r="11465" spans="2:4" ht="12.75" customHeight="1" x14ac:dyDescent="0.2">
      <c r="B11465" s="236"/>
      <c r="C11465" s="236"/>
      <c r="D11465" s="236"/>
    </row>
    <row r="11466" spans="2:4" ht="12.75" customHeight="1" x14ac:dyDescent="0.2">
      <c r="B11466" s="236"/>
      <c r="C11466" s="236"/>
      <c r="D11466" s="236"/>
    </row>
    <row r="11467" spans="2:4" ht="12.75" customHeight="1" x14ac:dyDescent="0.2">
      <c r="B11467" s="236"/>
      <c r="C11467" s="236"/>
      <c r="D11467" s="236"/>
    </row>
    <row r="11468" spans="2:4" ht="12.75" customHeight="1" x14ac:dyDescent="0.2">
      <c r="B11468" s="236"/>
      <c r="C11468" s="236"/>
      <c r="D11468" s="236"/>
    </row>
    <row r="11469" spans="2:4" ht="12.75" customHeight="1" x14ac:dyDescent="0.2">
      <c r="B11469" s="236"/>
      <c r="C11469" s="236"/>
      <c r="D11469" s="236"/>
    </row>
    <row r="11470" spans="2:4" x14ac:dyDescent="0.2">
      <c r="B11470" s="236"/>
      <c r="C11470" s="236"/>
      <c r="D11470" s="236"/>
    </row>
    <row r="11471" spans="2:4" ht="12.75" customHeight="1" x14ac:dyDescent="0.2">
      <c r="B11471" s="236"/>
      <c r="C11471" s="236"/>
      <c r="D11471" s="236"/>
    </row>
    <row r="11472" spans="2:4" x14ac:dyDescent="0.2">
      <c r="B11472" s="236"/>
      <c r="C11472" s="236"/>
      <c r="D11472" s="236"/>
    </row>
    <row r="11473" spans="2:4" ht="12.75" customHeight="1" x14ac:dyDescent="0.2">
      <c r="B11473" s="236"/>
      <c r="C11473" s="236"/>
      <c r="D11473" s="236"/>
    </row>
    <row r="11474" spans="2:4" ht="12.75" customHeight="1" x14ac:dyDescent="0.2">
      <c r="B11474" s="236"/>
      <c r="C11474" s="236"/>
      <c r="D11474" s="236"/>
    </row>
    <row r="11475" spans="2:4" x14ac:dyDescent="0.2">
      <c r="B11475" s="236"/>
      <c r="C11475" s="236"/>
      <c r="D11475" s="236"/>
    </row>
    <row r="11476" spans="2:4" ht="12.75" customHeight="1" x14ac:dyDescent="0.2">
      <c r="B11476" s="236"/>
      <c r="C11476" s="236"/>
      <c r="D11476" s="236"/>
    </row>
    <row r="11477" spans="2:4" ht="12.75" customHeight="1" x14ac:dyDescent="0.2">
      <c r="B11477" s="236"/>
      <c r="C11477" s="236"/>
      <c r="D11477" s="236"/>
    </row>
    <row r="11478" spans="2:4" ht="12.75" customHeight="1" x14ac:dyDescent="0.2">
      <c r="B11478" s="236"/>
      <c r="C11478" s="236"/>
      <c r="D11478" s="236"/>
    </row>
    <row r="11479" spans="2:4" ht="12.75" customHeight="1" x14ac:dyDescent="0.2">
      <c r="B11479" s="236"/>
      <c r="C11479" s="236"/>
      <c r="D11479" s="236"/>
    </row>
    <row r="11480" spans="2:4" ht="12.75" customHeight="1" x14ac:dyDescent="0.2">
      <c r="B11480" s="236"/>
      <c r="C11480" s="236"/>
      <c r="D11480" s="236"/>
    </row>
    <row r="11481" spans="2:4" x14ac:dyDescent="0.2">
      <c r="B11481" s="236"/>
      <c r="C11481" s="236"/>
      <c r="D11481" s="236"/>
    </row>
    <row r="11482" spans="2:4" ht="12.75" customHeight="1" x14ac:dyDescent="0.2">
      <c r="B11482" s="236"/>
      <c r="C11482" s="236"/>
      <c r="D11482" s="236"/>
    </row>
    <row r="11483" spans="2:4" x14ac:dyDescent="0.2">
      <c r="B11483" s="236"/>
      <c r="C11483" s="236"/>
      <c r="D11483" s="236"/>
    </row>
    <row r="11484" spans="2:4" ht="12.75" customHeight="1" x14ac:dyDescent="0.2">
      <c r="B11484" s="236"/>
      <c r="C11484" s="236"/>
      <c r="D11484" s="236"/>
    </row>
    <row r="11485" spans="2:4" x14ac:dyDescent="0.2">
      <c r="B11485" s="236"/>
      <c r="C11485" s="236"/>
      <c r="D11485" s="236"/>
    </row>
    <row r="11486" spans="2:4" ht="12.75" customHeight="1" x14ac:dyDescent="0.2">
      <c r="B11486" s="236"/>
      <c r="C11486" s="236"/>
      <c r="D11486" s="236"/>
    </row>
    <row r="11487" spans="2:4" ht="12.75" customHeight="1" x14ac:dyDescent="0.2">
      <c r="B11487" s="236"/>
      <c r="C11487" s="236"/>
      <c r="D11487" s="236"/>
    </row>
    <row r="11488" spans="2:4" ht="12.75" customHeight="1" x14ac:dyDescent="0.2">
      <c r="B11488" s="236"/>
      <c r="C11488" s="236"/>
      <c r="D11488" s="236"/>
    </row>
    <row r="11489" spans="2:4" ht="12.75" customHeight="1" x14ac:dyDescent="0.2">
      <c r="B11489" s="236"/>
      <c r="C11489" s="236"/>
      <c r="D11489" s="236"/>
    </row>
    <row r="11490" spans="2:4" ht="12.75" customHeight="1" x14ac:dyDescent="0.2">
      <c r="B11490" s="236"/>
      <c r="C11490" s="236"/>
      <c r="D11490" s="236"/>
    </row>
    <row r="11491" spans="2:4" ht="12.75" customHeight="1" x14ac:dyDescent="0.2">
      <c r="B11491" s="236"/>
      <c r="C11491" s="236"/>
      <c r="D11491" s="236"/>
    </row>
    <row r="11492" spans="2:4" ht="12.75" customHeight="1" x14ac:dyDescent="0.2">
      <c r="B11492" s="236"/>
      <c r="C11492" s="236"/>
      <c r="D11492" s="236"/>
    </row>
    <row r="11493" spans="2:4" ht="12.75" customHeight="1" x14ac:dyDescent="0.2">
      <c r="B11493" s="236"/>
      <c r="C11493" s="236"/>
      <c r="D11493" s="236"/>
    </row>
    <row r="11494" spans="2:4" x14ac:dyDescent="0.2">
      <c r="B11494" s="236"/>
      <c r="C11494" s="236"/>
      <c r="D11494" s="236"/>
    </row>
    <row r="11495" spans="2:4" ht="12.75" customHeight="1" x14ac:dyDescent="0.2">
      <c r="B11495" s="236"/>
      <c r="C11495" s="236"/>
      <c r="D11495" s="236"/>
    </row>
    <row r="11496" spans="2:4" x14ac:dyDescent="0.2">
      <c r="B11496" s="236"/>
      <c r="C11496" s="236"/>
      <c r="D11496" s="236"/>
    </row>
    <row r="11497" spans="2:4" ht="12.75" customHeight="1" x14ac:dyDescent="0.2">
      <c r="B11497" s="236"/>
      <c r="C11497" s="236"/>
      <c r="D11497" s="236"/>
    </row>
    <row r="11498" spans="2:4" ht="12.75" customHeight="1" x14ac:dyDescent="0.2">
      <c r="B11498" s="236"/>
      <c r="C11498" s="236"/>
      <c r="D11498" s="236"/>
    </row>
    <row r="11499" spans="2:4" ht="12.75" customHeight="1" x14ac:dyDescent="0.2">
      <c r="B11499" s="236"/>
      <c r="C11499" s="236"/>
      <c r="D11499" s="236"/>
    </row>
    <row r="11500" spans="2:4" ht="12.75" customHeight="1" x14ac:dyDescent="0.2">
      <c r="B11500" s="236"/>
      <c r="C11500" s="236"/>
      <c r="D11500" s="236"/>
    </row>
    <row r="11501" spans="2:4" ht="12.75" customHeight="1" x14ac:dyDescent="0.2">
      <c r="B11501" s="236"/>
      <c r="C11501" s="236"/>
      <c r="D11501" s="236"/>
    </row>
    <row r="11502" spans="2:4" ht="12.75" customHeight="1" x14ac:dyDescent="0.2">
      <c r="B11502" s="236"/>
      <c r="C11502" s="236"/>
      <c r="D11502" s="236"/>
    </row>
    <row r="11503" spans="2:4" x14ac:dyDescent="0.2">
      <c r="B11503" s="236"/>
      <c r="C11503" s="236"/>
      <c r="D11503" s="236"/>
    </row>
    <row r="11504" spans="2:4" ht="12.75" customHeight="1" x14ac:dyDescent="0.2">
      <c r="B11504" s="236"/>
      <c r="C11504" s="236"/>
      <c r="D11504" s="236"/>
    </row>
    <row r="11505" spans="2:4" ht="12.75" customHeight="1" x14ac:dyDescent="0.2">
      <c r="B11505" s="236"/>
      <c r="C11505" s="236"/>
      <c r="D11505" s="236"/>
    </row>
    <row r="11506" spans="2:4" ht="12.75" customHeight="1" x14ac:dyDescent="0.2">
      <c r="B11506" s="236"/>
      <c r="C11506" s="236"/>
      <c r="D11506" s="236"/>
    </row>
    <row r="11507" spans="2:4" x14ac:dyDescent="0.2">
      <c r="B11507" s="236"/>
      <c r="C11507" s="236"/>
      <c r="D11507" s="236"/>
    </row>
    <row r="11508" spans="2:4" ht="12.75" customHeight="1" x14ac:dyDescent="0.2">
      <c r="B11508" s="236"/>
      <c r="C11508" s="236"/>
      <c r="D11508" s="236"/>
    </row>
    <row r="11509" spans="2:4" ht="12.75" customHeight="1" x14ac:dyDescent="0.2">
      <c r="B11509" s="236"/>
      <c r="C11509" s="236"/>
      <c r="D11509" s="236"/>
    </row>
    <row r="11510" spans="2:4" x14ac:dyDescent="0.2">
      <c r="B11510" s="236"/>
      <c r="C11510" s="236"/>
      <c r="D11510" s="236"/>
    </row>
    <row r="11511" spans="2:4" ht="12.75" customHeight="1" x14ac:dyDescent="0.2">
      <c r="B11511" s="236"/>
      <c r="C11511" s="236"/>
      <c r="D11511" s="236"/>
    </row>
    <row r="11512" spans="2:4" ht="12.75" customHeight="1" x14ac:dyDescent="0.2">
      <c r="B11512" s="236"/>
      <c r="C11512" s="236"/>
      <c r="D11512" s="236"/>
    </row>
    <row r="11513" spans="2:4" ht="12.75" customHeight="1" x14ac:dyDescent="0.2">
      <c r="B11513" s="236"/>
      <c r="C11513" s="236"/>
      <c r="D11513" s="236"/>
    </row>
    <row r="11514" spans="2:4" ht="12.75" customHeight="1" x14ac:dyDescent="0.2">
      <c r="B11514" s="236"/>
      <c r="C11514" s="236"/>
      <c r="D11514" s="236"/>
    </row>
    <row r="11515" spans="2:4" ht="12.75" customHeight="1" x14ac:dyDescent="0.2">
      <c r="B11515" s="236"/>
      <c r="C11515" s="236"/>
      <c r="D11515" s="236"/>
    </row>
    <row r="11516" spans="2:4" ht="12.75" customHeight="1" x14ac:dyDescent="0.2">
      <c r="B11516" s="236"/>
      <c r="C11516" s="236"/>
      <c r="D11516" s="236"/>
    </row>
    <row r="11517" spans="2:4" x14ac:dyDescent="0.2">
      <c r="B11517" s="236"/>
      <c r="C11517" s="236"/>
      <c r="D11517" s="236"/>
    </row>
    <row r="11518" spans="2:4" ht="12.75" customHeight="1" x14ac:dyDescent="0.2">
      <c r="B11518" s="236"/>
      <c r="C11518" s="236"/>
      <c r="D11518" s="236"/>
    </row>
    <row r="11519" spans="2:4" ht="12.75" customHeight="1" x14ac:dyDescent="0.2">
      <c r="B11519" s="236"/>
      <c r="C11519" s="236"/>
      <c r="D11519" s="236"/>
    </row>
    <row r="11520" spans="2:4" ht="12.75" customHeight="1" x14ac:dyDescent="0.2">
      <c r="B11520" s="236"/>
      <c r="C11520" s="236"/>
      <c r="D11520" s="236"/>
    </row>
    <row r="11521" spans="2:4" ht="12.75" customHeight="1" x14ac:dyDescent="0.2">
      <c r="B11521" s="236"/>
      <c r="C11521" s="236"/>
      <c r="D11521" s="236"/>
    </row>
    <row r="11522" spans="2:4" ht="12.75" customHeight="1" x14ac:dyDescent="0.2">
      <c r="B11522" s="236"/>
      <c r="C11522" s="236"/>
      <c r="D11522" s="236"/>
    </row>
    <row r="11523" spans="2:4" ht="12.75" customHeight="1" x14ac:dyDescent="0.2">
      <c r="B11523" s="236"/>
      <c r="C11523" s="236"/>
      <c r="D11523" s="236"/>
    </row>
    <row r="11524" spans="2:4" ht="12.75" customHeight="1" x14ac:dyDescent="0.2">
      <c r="B11524" s="236"/>
      <c r="C11524" s="236"/>
      <c r="D11524" s="236"/>
    </row>
    <row r="11525" spans="2:4" ht="12.75" customHeight="1" x14ac:dyDescent="0.2">
      <c r="B11525" s="236"/>
      <c r="C11525" s="236"/>
      <c r="D11525" s="236"/>
    </row>
    <row r="11526" spans="2:4" ht="12.75" customHeight="1" x14ac:dyDescent="0.2">
      <c r="B11526" s="236"/>
      <c r="C11526" s="236"/>
      <c r="D11526" s="236"/>
    </row>
    <row r="11527" spans="2:4" ht="12.75" customHeight="1" x14ac:dyDescent="0.2">
      <c r="B11527" s="236"/>
      <c r="C11527" s="236"/>
      <c r="D11527" s="236"/>
    </row>
    <row r="11528" spans="2:4" ht="12.75" customHeight="1" x14ac:dyDescent="0.2">
      <c r="B11528" s="236"/>
      <c r="C11528" s="236"/>
      <c r="D11528" s="236"/>
    </row>
    <row r="11529" spans="2:4" ht="12.75" customHeight="1" x14ac:dyDescent="0.2">
      <c r="B11529" s="236"/>
      <c r="C11529" s="236"/>
      <c r="D11529" s="236"/>
    </row>
    <row r="11530" spans="2:4" ht="12.75" customHeight="1" x14ac:dyDescent="0.2">
      <c r="B11530" s="236"/>
      <c r="C11530" s="236"/>
      <c r="D11530" s="236"/>
    </row>
    <row r="11531" spans="2:4" ht="12.75" customHeight="1" x14ac:dyDescent="0.2">
      <c r="B11531" s="236"/>
      <c r="C11531" s="236"/>
      <c r="D11531" s="236"/>
    </row>
    <row r="11532" spans="2:4" ht="12.75" customHeight="1" x14ac:dyDescent="0.2">
      <c r="B11532" s="236"/>
      <c r="C11532" s="236"/>
      <c r="D11532" s="236"/>
    </row>
    <row r="11533" spans="2:4" ht="12.75" customHeight="1" x14ac:dyDescent="0.2">
      <c r="B11533" s="236"/>
      <c r="C11533" s="236"/>
      <c r="D11533" s="236"/>
    </row>
    <row r="11534" spans="2:4" ht="12.75" customHeight="1" x14ac:dyDescent="0.2">
      <c r="B11534" s="236"/>
      <c r="C11534" s="236"/>
      <c r="D11534" s="236"/>
    </row>
    <row r="11535" spans="2:4" ht="12.75" customHeight="1" x14ac:dyDescent="0.2">
      <c r="B11535" s="236"/>
      <c r="C11535" s="236"/>
      <c r="D11535" s="236"/>
    </row>
    <row r="11536" spans="2:4" ht="12.75" customHeight="1" x14ac:dyDescent="0.2">
      <c r="B11536" s="236"/>
      <c r="C11536" s="236"/>
      <c r="D11536" s="236"/>
    </row>
    <row r="11537" spans="2:4" ht="12.75" customHeight="1" x14ac:dyDescent="0.2">
      <c r="B11537" s="236"/>
      <c r="C11537" s="236"/>
      <c r="D11537" s="236"/>
    </row>
    <row r="11538" spans="2:4" ht="12.75" customHeight="1" x14ac:dyDescent="0.2">
      <c r="B11538" s="236"/>
      <c r="C11538" s="236"/>
      <c r="D11538" s="236"/>
    </row>
    <row r="11539" spans="2:4" ht="12.75" customHeight="1" x14ac:dyDescent="0.2">
      <c r="B11539" s="236"/>
      <c r="C11539" s="236"/>
      <c r="D11539" s="236"/>
    </row>
    <row r="11540" spans="2:4" ht="12.75" customHeight="1" x14ac:dyDescent="0.2">
      <c r="B11540" s="236"/>
      <c r="C11540" s="236"/>
      <c r="D11540" s="236"/>
    </row>
    <row r="11541" spans="2:4" ht="12.75" customHeight="1" x14ac:dyDescent="0.2">
      <c r="B11541" s="236"/>
      <c r="C11541" s="236"/>
      <c r="D11541" s="236"/>
    </row>
    <row r="11542" spans="2:4" ht="12.75" customHeight="1" x14ac:dyDescent="0.2">
      <c r="B11542" s="236"/>
      <c r="C11542" s="236"/>
      <c r="D11542" s="236"/>
    </row>
    <row r="11543" spans="2:4" ht="12.75" customHeight="1" x14ac:dyDescent="0.2">
      <c r="B11543" s="236"/>
      <c r="C11543" s="236"/>
      <c r="D11543" s="236"/>
    </row>
    <row r="11544" spans="2:4" ht="12.75" customHeight="1" x14ac:dyDescent="0.2">
      <c r="B11544" s="236"/>
      <c r="C11544" s="236"/>
      <c r="D11544" s="236"/>
    </row>
    <row r="11545" spans="2:4" ht="12.75" customHeight="1" x14ac:dyDescent="0.2">
      <c r="B11545" s="236"/>
      <c r="C11545" s="236"/>
      <c r="D11545" s="236"/>
    </row>
    <row r="11546" spans="2:4" ht="12.75" customHeight="1" x14ac:dyDescent="0.2">
      <c r="B11546" s="236"/>
      <c r="C11546" s="236"/>
      <c r="D11546" s="236"/>
    </row>
    <row r="11547" spans="2:4" x14ac:dyDescent="0.2">
      <c r="B11547" s="236"/>
      <c r="C11547" s="236"/>
      <c r="D11547" s="236"/>
    </row>
    <row r="11548" spans="2:4" ht="12.75" customHeight="1" x14ac:dyDescent="0.2">
      <c r="B11548" s="236"/>
      <c r="C11548" s="236"/>
      <c r="D11548" s="236"/>
    </row>
    <row r="11549" spans="2:4" x14ac:dyDescent="0.2">
      <c r="B11549" s="236"/>
      <c r="C11549" s="236"/>
      <c r="D11549" s="236"/>
    </row>
    <row r="11550" spans="2:4" ht="12.75" customHeight="1" x14ac:dyDescent="0.2">
      <c r="B11550" s="236"/>
      <c r="C11550" s="236"/>
      <c r="D11550" s="236"/>
    </row>
    <row r="11551" spans="2:4" ht="12.75" customHeight="1" x14ac:dyDescent="0.2">
      <c r="B11551" s="236"/>
      <c r="C11551" s="236"/>
      <c r="D11551" s="236"/>
    </row>
    <row r="11552" spans="2:4" x14ac:dyDescent="0.2">
      <c r="B11552" s="236"/>
      <c r="C11552" s="236"/>
      <c r="D11552" s="236"/>
    </row>
    <row r="11553" spans="2:4" ht="12.75" customHeight="1" x14ac:dyDescent="0.2">
      <c r="B11553" s="236"/>
      <c r="C11553" s="236"/>
      <c r="D11553" s="236"/>
    </row>
    <row r="11554" spans="2:4" ht="12.75" customHeight="1" x14ac:dyDescent="0.2">
      <c r="B11554" s="236"/>
      <c r="C11554" s="236"/>
      <c r="D11554" s="236"/>
    </row>
    <row r="11555" spans="2:4" ht="12.75" customHeight="1" x14ac:dyDescent="0.2">
      <c r="B11555" s="236"/>
      <c r="C11555" s="236"/>
      <c r="D11555" s="236"/>
    </row>
    <row r="11556" spans="2:4" ht="12.75" customHeight="1" x14ac:dyDescent="0.2">
      <c r="B11556" s="236"/>
      <c r="C11556" s="236"/>
      <c r="D11556" s="236"/>
    </row>
    <row r="11557" spans="2:4" ht="12.75" customHeight="1" x14ac:dyDescent="0.2">
      <c r="B11557" s="236"/>
      <c r="C11557" s="236"/>
      <c r="D11557" s="236"/>
    </row>
    <row r="11558" spans="2:4" ht="12.75" customHeight="1" x14ac:dyDescent="0.2">
      <c r="B11558" s="236"/>
      <c r="C11558" s="236"/>
      <c r="D11558" s="236"/>
    </row>
    <row r="11559" spans="2:4" ht="12.75" customHeight="1" x14ac:dyDescent="0.2">
      <c r="B11559" s="236"/>
      <c r="C11559" s="236"/>
      <c r="D11559" s="236"/>
    </row>
    <row r="11560" spans="2:4" ht="12.75" customHeight="1" x14ac:dyDescent="0.2">
      <c r="B11560" s="236"/>
      <c r="C11560" s="236"/>
      <c r="D11560" s="236"/>
    </row>
    <row r="11561" spans="2:4" ht="12.75" customHeight="1" x14ac:dyDescent="0.2">
      <c r="B11561" s="236"/>
      <c r="C11561" s="236"/>
      <c r="D11561" s="236"/>
    </row>
    <row r="11562" spans="2:4" ht="12.75" customHeight="1" x14ac:dyDescent="0.2">
      <c r="B11562" s="236"/>
      <c r="C11562" s="236"/>
      <c r="D11562" s="236"/>
    </row>
    <row r="11563" spans="2:4" ht="12.75" customHeight="1" x14ac:dyDescent="0.2">
      <c r="B11563" s="236"/>
      <c r="C11563" s="236"/>
      <c r="D11563" s="236"/>
    </row>
    <row r="11564" spans="2:4" ht="12.75" customHeight="1" x14ac:dyDescent="0.2">
      <c r="B11564" s="236"/>
      <c r="C11564" s="236"/>
      <c r="D11564" s="236"/>
    </row>
    <row r="11565" spans="2:4" ht="12.75" customHeight="1" x14ac:dyDescent="0.2">
      <c r="B11565" s="236"/>
      <c r="C11565" s="236"/>
      <c r="D11565" s="236"/>
    </row>
    <row r="11566" spans="2:4" ht="12.75" customHeight="1" x14ac:dyDescent="0.2">
      <c r="B11566" s="236"/>
      <c r="C11566" s="236"/>
      <c r="D11566" s="236"/>
    </row>
    <row r="11567" spans="2:4" ht="12.75" customHeight="1" x14ac:dyDescent="0.2">
      <c r="B11567" s="236"/>
      <c r="C11567" s="236"/>
      <c r="D11567" s="236"/>
    </row>
    <row r="11568" spans="2:4" x14ac:dyDescent="0.2">
      <c r="B11568" s="236"/>
      <c r="C11568" s="236"/>
      <c r="D11568" s="236"/>
    </row>
    <row r="11569" spans="2:4" ht="12.75" customHeight="1" x14ac:dyDescent="0.2">
      <c r="B11569" s="236"/>
      <c r="C11569" s="236"/>
      <c r="D11569" s="236"/>
    </row>
    <row r="11570" spans="2:4" ht="12.75" customHeight="1" x14ac:dyDescent="0.2">
      <c r="B11570" s="236"/>
      <c r="C11570" s="236"/>
      <c r="D11570" s="236"/>
    </row>
    <row r="11571" spans="2:4" ht="12.75" customHeight="1" x14ac:dyDescent="0.2">
      <c r="B11571" s="236"/>
      <c r="C11571" s="236"/>
      <c r="D11571" s="236"/>
    </row>
    <row r="11572" spans="2:4" ht="12.75" customHeight="1" x14ac:dyDescent="0.2">
      <c r="B11572" s="236"/>
      <c r="C11572" s="236"/>
      <c r="D11572" s="236"/>
    </row>
    <row r="11573" spans="2:4" ht="12.75" customHeight="1" x14ac:dyDescent="0.2">
      <c r="B11573" s="236"/>
      <c r="C11573" s="236"/>
      <c r="D11573" s="236"/>
    </row>
    <row r="11574" spans="2:4" ht="12.75" customHeight="1" x14ac:dyDescent="0.2">
      <c r="B11574" s="236"/>
      <c r="C11574" s="236"/>
      <c r="D11574" s="236"/>
    </row>
    <row r="11575" spans="2:4" ht="12.75" customHeight="1" x14ac:dyDescent="0.2">
      <c r="B11575" s="236"/>
      <c r="C11575" s="236"/>
      <c r="D11575" s="236"/>
    </row>
    <row r="11576" spans="2:4" ht="12.75" customHeight="1" x14ac:dyDescent="0.2">
      <c r="B11576" s="236"/>
      <c r="C11576" s="236"/>
      <c r="D11576" s="236"/>
    </row>
    <row r="11577" spans="2:4" ht="12.75" customHeight="1" x14ac:dyDescent="0.2">
      <c r="B11577" s="236"/>
      <c r="C11577" s="236"/>
      <c r="D11577" s="236"/>
    </row>
    <row r="11578" spans="2:4" ht="12.75" customHeight="1" x14ac:dyDescent="0.2">
      <c r="B11578" s="236"/>
      <c r="C11578" s="236"/>
      <c r="D11578" s="236"/>
    </row>
    <row r="11579" spans="2:4" ht="12.75" customHeight="1" x14ac:dyDescent="0.2">
      <c r="B11579" s="236"/>
      <c r="C11579" s="236"/>
      <c r="D11579" s="236"/>
    </row>
    <row r="11580" spans="2:4" ht="12.75" customHeight="1" x14ac:dyDescent="0.2">
      <c r="B11580" s="236"/>
      <c r="C11580" s="236"/>
      <c r="D11580" s="236"/>
    </row>
    <row r="11581" spans="2:4" ht="12.75" customHeight="1" x14ac:dyDescent="0.2">
      <c r="B11581" s="236"/>
      <c r="C11581" s="236"/>
      <c r="D11581" s="236"/>
    </row>
    <row r="11582" spans="2:4" ht="12.75" customHeight="1" x14ac:dyDescent="0.2">
      <c r="B11582" s="236"/>
      <c r="C11582" s="236"/>
      <c r="D11582" s="236"/>
    </row>
    <row r="11583" spans="2:4" ht="12.75" customHeight="1" x14ac:dyDescent="0.2">
      <c r="B11583" s="236"/>
      <c r="C11583" s="236"/>
      <c r="D11583" s="236"/>
    </row>
    <row r="11584" spans="2:4" ht="12.75" customHeight="1" x14ac:dyDescent="0.2">
      <c r="B11584" s="236"/>
      <c r="C11584" s="236"/>
      <c r="D11584" s="236"/>
    </row>
    <row r="11585" spans="2:4" ht="12.75" customHeight="1" x14ac:dyDescent="0.2">
      <c r="B11585" s="236"/>
      <c r="C11585" s="236"/>
      <c r="D11585" s="236"/>
    </row>
    <row r="11586" spans="2:4" ht="12.75" customHeight="1" x14ac:dyDescent="0.2">
      <c r="B11586" s="236"/>
      <c r="C11586" s="236"/>
      <c r="D11586" s="236"/>
    </row>
    <row r="11587" spans="2:4" ht="12.75" customHeight="1" x14ac:dyDescent="0.2">
      <c r="B11587" s="236"/>
      <c r="C11587" s="236"/>
      <c r="D11587" s="236"/>
    </row>
    <row r="11588" spans="2:4" ht="12.75" customHeight="1" x14ac:dyDescent="0.2">
      <c r="B11588" s="236"/>
      <c r="C11588" s="236"/>
      <c r="D11588" s="236"/>
    </row>
    <row r="11589" spans="2:4" ht="12.75" customHeight="1" x14ac:dyDescent="0.2">
      <c r="B11589" s="236"/>
      <c r="C11589" s="236"/>
      <c r="D11589" s="236"/>
    </row>
    <row r="11590" spans="2:4" ht="12.75" customHeight="1" x14ac:dyDescent="0.2">
      <c r="B11590" s="236"/>
      <c r="C11590" s="236"/>
      <c r="D11590" s="236"/>
    </row>
    <row r="11591" spans="2:4" x14ac:dyDescent="0.2">
      <c r="B11591" s="236"/>
      <c r="C11591" s="236"/>
      <c r="D11591" s="236"/>
    </row>
    <row r="11592" spans="2:4" ht="12.75" customHeight="1" x14ac:dyDescent="0.2">
      <c r="B11592" s="236"/>
      <c r="C11592" s="236"/>
      <c r="D11592" s="236"/>
    </row>
    <row r="11593" spans="2:4" ht="12.75" customHeight="1" x14ac:dyDescent="0.2">
      <c r="B11593" s="236"/>
      <c r="C11593" s="236"/>
      <c r="D11593" s="236"/>
    </row>
    <row r="11594" spans="2:4" x14ac:dyDescent="0.2">
      <c r="B11594" s="236"/>
      <c r="C11594" s="236"/>
      <c r="D11594" s="236"/>
    </row>
    <row r="11595" spans="2:4" ht="12.75" customHeight="1" x14ac:dyDescent="0.2">
      <c r="B11595" s="236"/>
      <c r="C11595" s="236"/>
      <c r="D11595" s="236"/>
    </row>
    <row r="11596" spans="2:4" ht="12.75" customHeight="1" x14ac:dyDescent="0.2">
      <c r="B11596" s="236"/>
      <c r="C11596" s="236"/>
      <c r="D11596" s="236"/>
    </row>
    <row r="11597" spans="2:4" ht="12.75" customHeight="1" x14ac:dyDescent="0.2">
      <c r="B11597" s="236"/>
      <c r="C11597" s="236"/>
      <c r="D11597" s="236"/>
    </row>
    <row r="11598" spans="2:4" ht="12.75" customHeight="1" x14ac:dyDescent="0.2">
      <c r="B11598" s="236"/>
      <c r="C11598" s="236"/>
      <c r="D11598" s="236"/>
    </row>
    <row r="11599" spans="2:4" ht="12.75" customHeight="1" x14ac:dyDescent="0.2">
      <c r="B11599" s="236"/>
      <c r="C11599" s="236"/>
      <c r="D11599" s="236"/>
    </row>
    <row r="11600" spans="2:4" ht="12.75" customHeight="1" x14ac:dyDescent="0.2">
      <c r="B11600" s="236"/>
      <c r="C11600" s="236"/>
      <c r="D11600" s="236"/>
    </row>
    <row r="11601" spans="2:4" ht="12.75" customHeight="1" x14ac:dyDescent="0.2">
      <c r="B11601" s="236"/>
      <c r="C11601" s="236"/>
      <c r="D11601" s="236"/>
    </row>
    <row r="11602" spans="2:4" x14ac:dyDescent="0.2">
      <c r="B11602" s="236"/>
      <c r="C11602" s="236"/>
      <c r="D11602" s="236"/>
    </row>
    <row r="11603" spans="2:4" ht="12.75" customHeight="1" x14ac:dyDescent="0.2">
      <c r="B11603" s="236"/>
      <c r="C11603" s="236"/>
      <c r="D11603" s="236"/>
    </row>
    <row r="11604" spans="2:4" ht="12.75" customHeight="1" x14ac:dyDescent="0.2">
      <c r="B11604" s="236"/>
      <c r="C11604" s="236"/>
      <c r="D11604" s="236"/>
    </row>
    <row r="11605" spans="2:4" ht="12.75" customHeight="1" x14ac:dyDescent="0.2">
      <c r="B11605" s="236"/>
      <c r="C11605" s="236"/>
      <c r="D11605" s="236"/>
    </row>
    <row r="11606" spans="2:4" ht="12.75" customHeight="1" x14ac:dyDescent="0.2">
      <c r="B11606" s="236"/>
      <c r="C11606" s="236"/>
      <c r="D11606" s="236"/>
    </row>
    <row r="11607" spans="2:4" ht="12.75" customHeight="1" x14ac:dyDescent="0.2">
      <c r="B11607" s="236"/>
      <c r="C11607" s="236"/>
      <c r="D11607" s="236"/>
    </row>
    <row r="11608" spans="2:4" x14ac:dyDescent="0.2">
      <c r="B11608" s="236"/>
      <c r="C11608" s="236"/>
      <c r="D11608" s="236"/>
    </row>
    <row r="11609" spans="2:4" ht="12.75" customHeight="1" x14ac:dyDescent="0.2">
      <c r="B11609" s="236"/>
      <c r="C11609" s="236"/>
      <c r="D11609" s="236"/>
    </row>
    <row r="11610" spans="2:4" ht="12.75" customHeight="1" x14ac:dyDescent="0.2">
      <c r="B11610" s="236"/>
      <c r="C11610" s="236"/>
      <c r="D11610" s="236"/>
    </row>
    <row r="11611" spans="2:4" ht="12.75" customHeight="1" x14ac:dyDescent="0.2">
      <c r="B11611" s="236"/>
      <c r="C11611" s="236"/>
      <c r="D11611" s="236"/>
    </row>
    <row r="11612" spans="2:4" x14ac:dyDescent="0.2">
      <c r="B11612" s="236"/>
      <c r="C11612" s="236"/>
      <c r="D11612" s="236"/>
    </row>
    <row r="11613" spans="2:4" ht="12.75" customHeight="1" x14ac:dyDescent="0.2">
      <c r="B11613" s="236"/>
      <c r="C11613" s="236"/>
      <c r="D11613" s="236"/>
    </row>
    <row r="11614" spans="2:4" x14ac:dyDescent="0.2">
      <c r="B11614" s="236"/>
      <c r="C11614" s="236"/>
      <c r="D11614" s="236"/>
    </row>
    <row r="11615" spans="2:4" ht="12.75" customHeight="1" x14ac:dyDescent="0.2">
      <c r="B11615" s="236"/>
      <c r="C11615" s="236"/>
      <c r="D11615" s="236"/>
    </row>
    <row r="11616" spans="2:4" ht="12.75" customHeight="1" x14ac:dyDescent="0.2">
      <c r="B11616" s="236"/>
      <c r="C11616" s="236"/>
      <c r="D11616" s="236"/>
    </row>
    <row r="11617" spans="2:4" ht="12.75" customHeight="1" x14ac:dyDescent="0.2">
      <c r="B11617" s="236"/>
      <c r="C11617" s="236"/>
      <c r="D11617" s="236"/>
    </row>
    <row r="11618" spans="2:4" x14ac:dyDescent="0.2">
      <c r="B11618" s="236"/>
      <c r="C11618" s="236"/>
      <c r="D11618" s="236"/>
    </row>
    <row r="11619" spans="2:4" x14ac:dyDescent="0.2">
      <c r="B11619" s="236"/>
      <c r="C11619" s="236"/>
      <c r="D11619" s="236"/>
    </row>
    <row r="11620" spans="2:4" ht="12.75" customHeight="1" x14ac:dyDescent="0.2">
      <c r="B11620" s="236"/>
      <c r="C11620" s="236"/>
      <c r="D11620" s="236"/>
    </row>
    <row r="11621" spans="2:4" ht="12.75" customHeight="1" x14ac:dyDescent="0.2">
      <c r="B11621" s="236"/>
      <c r="C11621" s="236"/>
      <c r="D11621" s="236"/>
    </row>
    <row r="11622" spans="2:4" x14ac:dyDescent="0.2">
      <c r="B11622" s="236"/>
      <c r="C11622" s="236"/>
      <c r="D11622" s="236"/>
    </row>
    <row r="11623" spans="2:4" ht="12.75" customHeight="1" x14ac:dyDescent="0.2">
      <c r="B11623" s="236"/>
      <c r="C11623" s="236"/>
      <c r="D11623" s="236"/>
    </row>
    <row r="11624" spans="2:4" ht="12.75" customHeight="1" x14ac:dyDescent="0.2">
      <c r="B11624" s="236"/>
      <c r="C11624" s="236"/>
      <c r="D11624" s="236"/>
    </row>
    <row r="11625" spans="2:4" ht="12.75" customHeight="1" x14ac:dyDescent="0.2">
      <c r="B11625" s="236"/>
      <c r="C11625" s="236"/>
      <c r="D11625" s="236"/>
    </row>
    <row r="11626" spans="2:4" ht="12.75" customHeight="1" x14ac:dyDescent="0.2">
      <c r="B11626" s="236"/>
      <c r="C11626" s="236"/>
      <c r="D11626" s="236"/>
    </row>
    <row r="11627" spans="2:4" ht="12.75" customHeight="1" x14ac:dyDescent="0.2">
      <c r="B11627" s="236"/>
      <c r="C11627" s="236"/>
      <c r="D11627" s="236"/>
    </row>
    <row r="11628" spans="2:4" ht="12.75" customHeight="1" x14ac:dyDescent="0.2">
      <c r="B11628" s="236"/>
      <c r="C11628" s="236"/>
      <c r="D11628" s="236"/>
    </row>
    <row r="11629" spans="2:4" ht="12.75" customHeight="1" x14ac:dyDescent="0.2">
      <c r="B11629" s="236"/>
      <c r="C11629" s="236"/>
      <c r="D11629" s="236"/>
    </row>
    <row r="11630" spans="2:4" x14ac:dyDescent="0.2">
      <c r="B11630" s="236"/>
      <c r="C11630" s="236"/>
      <c r="D11630" s="236"/>
    </row>
    <row r="11631" spans="2:4" ht="12.75" customHeight="1" x14ac:dyDescent="0.2">
      <c r="B11631" s="236"/>
      <c r="C11631" s="236"/>
      <c r="D11631" s="236"/>
    </row>
    <row r="11632" spans="2:4" x14ac:dyDescent="0.2">
      <c r="B11632" s="236"/>
      <c r="C11632" s="236"/>
      <c r="D11632" s="236"/>
    </row>
    <row r="11633" spans="2:4" ht="12.75" customHeight="1" x14ac:dyDescent="0.2">
      <c r="B11633" s="236"/>
      <c r="C11633" s="236"/>
      <c r="D11633" s="236"/>
    </row>
    <row r="11634" spans="2:4" ht="12.75" customHeight="1" x14ac:dyDescent="0.2">
      <c r="B11634" s="236"/>
      <c r="C11634" s="236"/>
      <c r="D11634" s="236"/>
    </row>
    <row r="11635" spans="2:4" ht="12.75" customHeight="1" x14ac:dyDescent="0.2">
      <c r="B11635" s="236"/>
      <c r="C11635" s="236"/>
      <c r="D11635" s="236"/>
    </row>
    <row r="11636" spans="2:4" x14ac:dyDescent="0.2">
      <c r="B11636" s="236"/>
      <c r="C11636" s="236"/>
      <c r="D11636" s="236"/>
    </row>
    <row r="11637" spans="2:4" ht="12.75" customHeight="1" x14ac:dyDescent="0.2">
      <c r="B11637" s="236"/>
      <c r="C11637" s="236"/>
      <c r="D11637" s="236"/>
    </row>
    <row r="11638" spans="2:4" ht="12.75" customHeight="1" x14ac:dyDescent="0.2">
      <c r="B11638" s="236"/>
      <c r="C11638" s="236"/>
      <c r="D11638" s="236"/>
    </row>
    <row r="11639" spans="2:4" x14ac:dyDescent="0.2">
      <c r="B11639" s="236"/>
      <c r="C11639" s="236"/>
      <c r="D11639" s="236"/>
    </row>
    <row r="11640" spans="2:4" ht="12.75" customHeight="1" x14ac:dyDescent="0.2">
      <c r="B11640" s="236"/>
      <c r="C11640" s="236"/>
      <c r="D11640" s="236"/>
    </row>
    <row r="11641" spans="2:4" ht="12.75" customHeight="1" x14ac:dyDescent="0.2">
      <c r="B11641" s="236"/>
      <c r="C11641" s="236"/>
      <c r="D11641" s="236"/>
    </row>
    <row r="11642" spans="2:4" ht="12.75" customHeight="1" x14ac:dyDescent="0.2">
      <c r="B11642" s="236"/>
      <c r="C11642" s="236"/>
      <c r="D11642" s="236"/>
    </row>
    <row r="11643" spans="2:4" ht="12.75" customHeight="1" x14ac:dyDescent="0.2">
      <c r="B11643" s="236"/>
      <c r="C11643" s="236"/>
      <c r="D11643" s="236"/>
    </row>
    <row r="11644" spans="2:4" ht="12.75" customHeight="1" x14ac:dyDescent="0.2">
      <c r="B11644" s="236"/>
      <c r="C11644" s="236"/>
      <c r="D11644" s="236"/>
    </row>
    <row r="11645" spans="2:4" ht="12.75" customHeight="1" x14ac:dyDescent="0.2">
      <c r="B11645" s="236"/>
      <c r="C11645" s="236"/>
      <c r="D11645" s="236"/>
    </row>
    <row r="11646" spans="2:4" ht="12.75" customHeight="1" x14ac:dyDescent="0.2">
      <c r="B11646" s="236"/>
      <c r="C11646" s="236"/>
      <c r="D11646" s="236"/>
    </row>
    <row r="11647" spans="2:4" ht="12.75" customHeight="1" x14ac:dyDescent="0.2">
      <c r="B11647" s="236"/>
      <c r="C11647" s="236"/>
      <c r="D11647" s="236"/>
    </row>
    <row r="11648" spans="2:4" x14ac:dyDescent="0.2">
      <c r="B11648" s="236"/>
      <c r="C11648" s="236"/>
      <c r="D11648" s="236"/>
    </row>
    <row r="11649" spans="2:4" ht="12.75" customHeight="1" x14ac:dyDescent="0.2">
      <c r="B11649" s="236"/>
      <c r="C11649" s="236"/>
      <c r="D11649" s="236"/>
    </row>
    <row r="11650" spans="2:4" ht="12.75" customHeight="1" x14ac:dyDescent="0.2">
      <c r="B11650" s="236"/>
      <c r="C11650" s="236"/>
      <c r="D11650" s="236"/>
    </row>
    <row r="11651" spans="2:4" x14ac:dyDescent="0.2">
      <c r="B11651" s="236"/>
      <c r="C11651" s="236"/>
      <c r="D11651" s="236"/>
    </row>
    <row r="11652" spans="2:4" ht="12.75" customHeight="1" x14ac:dyDescent="0.2">
      <c r="B11652" s="236"/>
      <c r="C11652" s="236"/>
      <c r="D11652" s="236"/>
    </row>
    <row r="11653" spans="2:4" x14ac:dyDescent="0.2">
      <c r="B11653" s="236"/>
      <c r="C11653" s="236"/>
      <c r="D11653" s="236"/>
    </row>
    <row r="11654" spans="2:4" ht="12.75" customHeight="1" x14ac:dyDescent="0.2">
      <c r="B11654" s="236"/>
      <c r="C11654" s="236"/>
      <c r="D11654" s="236"/>
    </row>
    <row r="11655" spans="2:4" ht="12.75" customHeight="1" x14ac:dyDescent="0.2">
      <c r="B11655" s="236"/>
      <c r="C11655" s="236"/>
      <c r="D11655" s="236"/>
    </row>
    <row r="11656" spans="2:4" x14ac:dyDescent="0.2">
      <c r="B11656" s="236"/>
      <c r="C11656" s="236"/>
      <c r="D11656" s="236"/>
    </row>
    <row r="11657" spans="2:4" ht="12.75" customHeight="1" x14ac:dyDescent="0.2">
      <c r="B11657" s="236"/>
      <c r="C11657" s="236"/>
      <c r="D11657" s="236"/>
    </row>
    <row r="11658" spans="2:4" x14ac:dyDescent="0.2">
      <c r="B11658" s="236"/>
      <c r="C11658" s="236"/>
      <c r="D11658" s="236"/>
    </row>
    <row r="11659" spans="2:4" ht="12.75" customHeight="1" x14ac:dyDescent="0.2">
      <c r="B11659" s="236"/>
      <c r="C11659" s="236"/>
      <c r="D11659" s="236"/>
    </row>
    <row r="11660" spans="2:4" x14ac:dyDescent="0.2">
      <c r="B11660" s="236"/>
      <c r="C11660" s="236"/>
      <c r="D11660" s="236"/>
    </row>
    <row r="11661" spans="2:4" ht="12.75" customHeight="1" x14ac:dyDescent="0.2">
      <c r="B11661" s="236"/>
      <c r="C11661" s="236"/>
      <c r="D11661" s="236"/>
    </row>
    <row r="11662" spans="2:4" x14ac:dyDescent="0.2">
      <c r="B11662" s="236"/>
      <c r="C11662" s="236"/>
      <c r="D11662" s="236"/>
    </row>
    <row r="11663" spans="2:4" ht="12.75" customHeight="1" x14ac:dyDescent="0.2">
      <c r="B11663" s="236"/>
      <c r="C11663" s="236"/>
      <c r="D11663" s="236"/>
    </row>
    <row r="11664" spans="2:4" x14ac:dyDescent="0.2">
      <c r="B11664" s="236"/>
      <c r="C11664" s="236"/>
      <c r="D11664" s="236"/>
    </row>
    <row r="11665" spans="2:4" ht="12.75" customHeight="1" x14ac:dyDescent="0.2">
      <c r="B11665" s="236"/>
      <c r="C11665" s="236"/>
      <c r="D11665" s="236"/>
    </row>
    <row r="11666" spans="2:4" x14ac:dyDescent="0.2">
      <c r="B11666" s="236"/>
      <c r="C11666" s="236"/>
      <c r="D11666" s="236"/>
    </row>
    <row r="11667" spans="2:4" ht="12.75" customHeight="1" x14ac:dyDescent="0.2">
      <c r="B11667" s="236"/>
      <c r="C11667" s="236"/>
      <c r="D11667" s="236"/>
    </row>
    <row r="11668" spans="2:4" x14ac:dyDescent="0.2">
      <c r="B11668" s="236"/>
      <c r="C11668" s="236"/>
      <c r="D11668" s="236"/>
    </row>
    <row r="11669" spans="2:4" ht="12.75" customHeight="1" x14ac:dyDescent="0.2">
      <c r="B11669" s="236"/>
      <c r="C11669" s="236"/>
      <c r="D11669" s="236"/>
    </row>
    <row r="11670" spans="2:4" x14ac:dyDescent="0.2">
      <c r="B11670" s="236"/>
      <c r="C11670" s="236"/>
      <c r="D11670" s="236"/>
    </row>
    <row r="11671" spans="2:4" ht="12.75" customHeight="1" x14ac:dyDescent="0.2">
      <c r="B11671" s="236"/>
      <c r="C11671" s="236"/>
      <c r="D11671" s="236"/>
    </row>
    <row r="11672" spans="2:4" ht="12.75" customHeight="1" x14ac:dyDescent="0.2">
      <c r="B11672" s="236"/>
      <c r="C11672" s="236"/>
      <c r="D11672" s="236"/>
    </row>
    <row r="11673" spans="2:4" ht="12.75" customHeight="1" x14ac:dyDescent="0.2">
      <c r="B11673" s="236"/>
      <c r="C11673" s="236"/>
      <c r="D11673" s="236"/>
    </row>
    <row r="11674" spans="2:4" ht="12.75" customHeight="1" x14ac:dyDescent="0.2">
      <c r="B11674" s="236"/>
      <c r="C11674" s="236"/>
      <c r="D11674" s="236"/>
    </row>
    <row r="11675" spans="2:4" x14ac:dyDescent="0.2">
      <c r="B11675" s="236"/>
      <c r="C11675" s="236"/>
      <c r="D11675" s="236"/>
    </row>
    <row r="11676" spans="2:4" ht="12.75" customHeight="1" x14ac:dyDescent="0.2">
      <c r="B11676" s="236"/>
      <c r="C11676" s="236"/>
      <c r="D11676" s="236"/>
    </row>
    <row r="11677" spans="2:4" x14ac:dyDescent="0.2">
      <c r="B11677" s="236"/>
      <c r="C11677" s="236"/>
      <c r="D11677" s="236"/>
    </row>
    <row r="11678" spans="2:4" ht="12.75" customHeight="1" x14ac:dyDescent="0.2">
      <c r="B11678" s="236"/>
      <c r="C11678" s="236"/>
      <c r="D11678" s="236"/>
    </row>
    <row r="11679" spans="2:4" ht="12.75" customHeight="1" x14ac:dyDescent="0.2">
      <c r="B11679" s="236"/>
      <c r="C11679" s="236"/>
      <c r="D11679" s="236"/>
    </row>
    <row r="11680" spans="2:4" x14ac:dyDescent="0.2">
      <c r="B11680" s="236"/>
      <c r="C11680" s="236"/>
      <c r="D11680" s="236"/>
    </row>
    <row r="11681" spans="2:4" ht="12.75" customHeight="1" x14ac:dyDescent="0.2">
      <c r="B11681" s="236"/>
      <c r="C11681" s="236"/>
      <c r="D11681" s="236"/>
    </row>
    <row r="11682" spans="2:4" x14ac:dyDescent="0.2">
      <c r="B11682" s="236"/>
      <c r="C11682" s="236"/>
      <c r="D11682" s="236"/>
    </row>
    <row r="11683" spans="2:4" ht="12.75" customHeight="1" x14ac:dyDescent="0.2">
      <c r="B11683" s="236"/>
      <c r="C11683" s="236"/>
      <c r="D11683" s="236"/>
    </row>
    <row r="11684" spans="2:4" ht="12.75" customHeight="1" x14ac:dyDescent="0.2">
      <c r="B11684" s="236"/>
      <c r="C11684" s="236"/>
      <c r="D11684" s="236"/>
    </row>
    <row r="11685" spans="2:4" ht="12.75" customHeight="1" x14ac:dyDescent="0.2">
      <c r="B11685" s="236"/>
      <c r="C11685" s="236"/>
      <c r="D11685" s="236"/>
    </row>
    <row r="11686" spans="2:4" ht="12.75" customHeight="1" x14ac:dyDescent="0.2">
      <c r="B11686" s="236"/>
      <c r="C11686" s="236"/>
      <c r="D11686" s="236"/>
    </row>
    <row r="11687" spans="2:4" ht="12.75" customHeight="1" x14ac:dyDescent="0.2">
      <c r="B11687" s="236"/>
      <c r="C11687" s="236"/>
      <c r="D11687" s="236"/>
    </row>
    <row r="11688" spans="2:4" ht="12.75" customHeight="1" x14ac:dyDescent="0.2">
      <c r="B11688" s="236"/>
      <c r="C11688" s="236"/>
      <c r="D11688" s="236"/>
    </row>
    <row r="11689" spans="2:4" ht="12.75" customHeight="1" x14ac:dyDescent="0.2">
      <c r="B11689" s="236"/>
      <c r="C11689" s="236"/>
      <c r="D11689" s="236"/>
    </row>
    <row r="11690" spans="2:4" x14ac:dyDescent="0.2">
      <c r="B11690" s="236"/>
      <c r="C11690" s="236"/>
      <c r="D11690" s="236"/>
    </row>
    <row r="11691" spans="2:4" ht="12.75" customHeight="1" x14ac:dyDescent="0.2">
      <c r="B11691" s="236"/>
      <c r="C11691" s="236"/>
      <c r="D11691" s="236"/>
    </row>
    <row r="11692" spans="2:4" x14ac:dyDescent="0.2">
      <c r="B11692" s="236"/>
      <c r="C11692" s="236"/>
      <c r="D11692" s="236"/>
    </row>
    <row r="11693" spans="2:4" ht="12.75" customHeight="1" x14ac:dyDescent="0.2">
      <c r="B11693" s="236"/>
      <c r="C11693" s="236"/>
      <c r="D11693" s="236"/>
    </row>
    <row r="11694" spans="2:4" x14ac:dyDescent="0.2">
      <c r="B11694" s="236"/>
      <c r="C11694" s="236"/>
      <c r="D11694" s="236"/>
    </row>
    <row r="11695" spans="2:4" ht="12.75" customHeight="1" x14ac:dyDescent="0.2">
      <c r="B11695" s="236"/>
      <c r="C11695" s="236"/>
      <c r="D11695" s="236"/>
    </row>
    <row r="11696" spans="2:4" ht="12.75" customHeight="1" x14ac:dyDescent="0.2">
      <c r="B11696" s="236"/>
      <c r="C11696" s="236"/>
      <c r="D11696" s="236"/>
    </row>
    <row r="11697" spans="2:4" ht="12.75" customHeight="1" x14ac:dyDescent="0.2">
      <c r="B11697" s="236"/>
      <c r="C11697" s="236"/>
      <c r="D11697" s="236"/>
    </row>
    <row r="11698" spans="2:4" ht="12.75" customHeight="1" x14ac:dyDescent="0.2">
      <c r="B11698" s="236"/>
      <c r="C11698" s="236"/>
      <c r="D11698" s="236"/>
    </row>
    <row r="11699" spans="2:4" x14ac:dyDescent="0.2">
      <c r="B11699" s="236"/>
      <c r="C11699" s="236"/>
      <c r="D11699" s="236"/>
    </row>
    <row r="11700" spans="2:4" ht="12.75" customHeight="1" x14ac:dyDescent="0.2">
      <c r="B11700" s="236"/>
      <c r="C11700" s="236"/>
      <c r="D11700" s="236"/>
    </row>
    <row r="11701" spans="2:4" ht="12.75" customHeight="1" x14ac:dyDescent="0.2">
      <c r="B11701" s="236"/>
      <c r="C11701" s="236"/>
      <c r="D11701" s="236"/>
    </row>
    <row r="11702" spans="2:4" ht="12.75" customHeight="1" x14ac:dyDescent="0.2">
      <c r="B11702" s="236"/>
      <c r="C11702" s="236"/>
      <c r="D11702" s="236"/>
    </row>
    <row r="11703" spans="2:4" ht="12.75" customHeight="1" x14ac:dyDescent="0.2">
      <c r="B11703" s="236"/>
      <c r="C11703" s="236"/>
      <c r="D11703" s="236"/>
    </row>
    <row r="11704" spans="2:4" ht="12.75" customHeight="1" x14ac:dyDescent="0.2">
      <c r="B11704" s="236"/>
      <c r="C11704" s="236"/>
      <c r="D11704" s="236"/>
    </row>
    <row r="11705" spans="2:4" ht="12.75" customHeight="1" x14ac:dyDescent="0.2">
      <c r="B11705" s="236"/>
      <c r="C11705" s="236"/>
      <c r="D11705" s="236"/>
    </row>
    <row r="11706" spans="2:4" ht="12.75" customHeight="1" x14ac:dyDescent="0.2">
      <c r="B11706" s="236"/>
      <c r="C11706" s="236"/>
      <c r="D11706" s="236"/>
    </row>
    <row r="11707" spans="2:4" ht="12.75" customHeight="1" x14ac:dyDescent="0.2">
      <c r="B11707" s="236"/>
      <c r="C11707" s="236"/>
      <c r="D11707" s="236"/>
    </row>
    <row r="11708" spans="2:4" x14ac:dyDescent="0.2">
      <c r="B11708" s="236"/>
      <c r="C11708" s="236"/>
      <c r="D11708" s="236"/>
    </row>
    <row r="11709" spans="2:4" ht="12.75" customHeight="1" x14ac:dyDescent="0.2">
      <c r="B11709" s="236"/>
      <c r="C11709" s="236"/>
      <c r="D11709" s="236"/>
    </row>
    <row r="11710" spans="2:4" ht="12.75" customHeight="1" x14ac:dyDescent="0.2">
      <c r="B11710" s="236"/>
      <c r="C11710" s="236"/>
      <c r="D11710" s="236"/>
    </row>
    <row r="11711" spans="2:4" x14ac:dyDescent="0.2">
      <c r="B11711" s="236"/>
      <c r="C11711" s="236"/>
      <c r="D11711" s="236"/>
    </row>
    <row r="11712" spans="2:4" ht="12.75" customHeight="1" x14ac:dyDescent="0.2">
      <c r="B11712" s="236"/>
      <c r="C11712" s="236"/>
      <c r="D11712" s="236"/>
    </row>
    <row r="11713" spans="2:4" ht="12.75" customHeight="1" x14ac:dyDescent="0.2">
      <c r="B11713" s="236"/>
      <c r="C11713" s="236"/>
      <c r="D11713" s="236"/>
    </row>
    <row r="11714" spans="2:4" x14ac:dyDescent="0.2">
      <c r="B11714" s="236"/>
      <c r="C11714" s="236"/>
      <c r="D11714" s="236"/>
    </row>
    <row r="11715" spans="2:4" ht="12.75" customHeight="1" x14ac:dyDescent="0.2">
      <c r="B11715" s="236"/>
      <c r="C11715" s="236"/>
      <c r="D11715" s="236"/>
    </row>
    <row r="11716" spans="2:4" ht="12.75" customHeight="1" x14ac:dyDescent="0.2">
      <c r="B11716" s="236"/>
      <c r="C11716" s="236"/>
      <c r="D11716" s="236"/>
    </row>
    <row r="11717" spans="2:4" ht="12.75" customHeight="1" x14ac:dyDescent="0.2">
      <c r="B11717" s="236"/>
      <c r="C11717" s="236"/>
      <c r="D11717" s="236"/>
    </row>
    <row r="11718" spans="2:4" x14ac:dyDescent="0.2">
      <c r="B11718" s="236"/>
      <c r="C11718" s="236"/>
      <c r="D11718" s="236"/>
    </row>
    <row r="11719" spans="2:4" ht="12.75" customHeight="1" x14ac:dyDescent="0.2">
      <c r="B11719" s="236"/>
      <c r="C11719" s="236"/>
      <c r="D11719" s="236"/>
    </row>
    <row r="11720" spans="2:4" x14ac:dyDescent="0.2">
      <c r="B11720" s="236"/>
      <c r="C11720" s="236"/>
      <c r="D11720" s="236"/>
    </row>
    <row r="11721" spans="2:4" ht="12.75" customHeight="1" x14ac:dyDescent="0.2">
      <c r="B11721" s="236"/>
      <c r="C11721" s="236"/>
      <c r="D11721" s="236"/>
    </row>
    <row r="11722" spans="2:4" ht="12.75" customHeight="1" x14ac:dyDescent="0.2">
      <c r="B11722" s="236"/>
      <c r="C11722" s="236"/>
      <c r="D11722" s="236"/>
    </row>
    <row r="11723" spans="2:4" ht="12.75" customHeight="1" x14ac:dyDescent="0.2">
      <c r="B11723" s="236"/>
      <c r="C11723" s="236"/>
      <c r="D11723" s="236"/>
    </row>
    <row r="11724" spans="2:4" ht="12.75" customHeight="1" x14ac:dyDescent="0.2">
      <c r="B11724" s="236"/>
      <c r="C11724" s="236"/>
      <c r="D11724" s="236"/>
    </row>
    <row r="11725" spans="2:4" x14ac:dyDescent="0.2">
      <c r="B11725" s="236"/>
      <c r="C11725" s="236"/>
      <c r="D11725" s="236"/>
    </row>
    <row r="11726" spans="2:4" ht="12.75" customHeight="1" x14ac:dyDescent="0.2">
      <c r="B11726" s="236"/>
      <c r="C11726" s="236"/>
      <c r="D11726" s="236"/>
    </row>
    <row r="11727" spans="2:4" ht="12.75" customHeight="1" x14ac:dyDescent="0.2">
      <c r="B11727" s="236"/>
      <c r="C11727" s="236"/>
      <c r="D11727" s="236"/>
    </row>
    <row r="11728" spans="2:4" x14ac:dyDescent="0.2">
      <c r="B11728" s="236"/>
      <c r="C11728" s="236"/>
      <c r="D11728" s="236"/>
    </row>
    <row r="11729" spans="2:4" ht="12.75" customHeight="1" x14ac:dyDescent="0.2">
      <c r="B11729" s="236"/>
      <c r="C11729" s="236"/>
      <c r="D11729" s="236"/>
    </row>
    <row r="11730" spans="2:4" ht="12.75" customHeight="1" x14ac:dyDescent="0.2">
      <c r="B11730" s="236"/>
      <c r="C11730" s="236"/>
      <c r="D11730" s="236"/>
    </row>
    <row r="11731" spans="2:4" ht="12.75" customHeight="1" x14ac:dyDescent="0.2">
      <c r="B11731" s="236"/>
      <c r="C11731" s="236"/>
      <c r="D11731" s="236"/>
    </row>
    <row r="11732" spans="2:4" ht="12.75" customHeight="1" x14ac:dyDescent="0.2">
      <c r="B11732" s="236"/>
      <c r="C11732" s="236"/>
      <c r="D11732" s="236"/>
    </row>
    <row r="11733" spans="2:4" ht="12.75" customHeight="1" x14ac:dyDescent="0.2">
      <c r="B11733" s="236"/>
      <c r="C11733" s="236"/>
      <c r="D11733" s="236"/>
    </row>
    <row r="11734" spans="2:4" ht="12.75" customHeight="1" x14ac:dyDescent="0.2">
      <c r="B11734" s="236"/>
      <c r="C11734" s="236"/>
      <c r="D11734" s="236"/>
    </row>
    <row r="11735" spans="2:4" x14ac:dyDescent="0.2">
      <c r="B11735" s="236"/>
      <c r="C11735" s="236"/>
      <c r="D11735" s="236"/>
    </row>
    <row r="11736" spans="2:4" ht="12.75" customHeight="1" x14ac:dyDescent="0.2">
      <c r="B11736" s="236"/>
      <c r="C11736" s="236"/>
      <c r="D11736" s="236"/>
    </row>
    <row r="11737" spans="2:4" ht="12.75" customHeight="1" x14ac:dyDescent="0.2">
      <c r="B11737" s="236"/>
      <c r="C11737" s="236"/>
      <c r="D11737" s="236"/>
    </row>
    <row r="11738" spans="2:4" ht="12.75" customHeight="1" x14ac:dyDescent="0.2">
      <c r="B11738" s="236"/>
      <c r="C11738" s="236"/>
      <c r="D11738" s="236"/>
    </row>
    <row r="11739" spans="2:4" x14ac:dyDescent="0.2">
      <c r="B11739" s="236"/>
      <c r="C11739" s="236"/>
      <c r="D11739" s="236"/>
    </row>
    <row r="11740" spans="2:4" ht="12.75" customHeight="1" x14ac:dyDescent="0.2">
      <c r="B11740" s="236"/>
      <c r="C11740" s="236"/>
      <c r="D11740" s="236"/>
    </row>
    <row r="11741" spans="2:4" ht="12.75" customHeight="1" x14ac:dyDescent="0.2">
      <c r="B11741" s="236"/>
      <c r="C11741" s="236"/>
      <c r="D11741" s="236"/>
    </row>
    <row r="11742" spans="2:4" ht="12.75" customHeight="1" x14ac:dyDescent="0.2">
      <c r="B11742" s="236"/>
      <c r="C11742" s="236"/>
      <c r="D11742" s="236"/>
    </row>
    <row r="11743" spans="2:4" x14ac:dyDescent="0.2">
      <c r="B11743" s="236"/>
      <c r="C11743" s="236"/>
      <c r="D11743" s="236"/>
    </row>
    <row r="11744" spans="2:4" ht="12.75" customHeight="1" x14ac:dyDescent="0.2">
      <c r="B11744" s="236"/>
      <c r="C11744" s="236"/>
      <c r="D11744" s="236"/>
    </row>
    <row r="11745" spans="2:4" ht="12.75" customHeight="1" x14ac:dyDescent="0.2">
      <c r="B11745" s="236"/>
      <c r="C11745" s="236"/>
      <c r="D11745" s="236"/>
    </row>
    <row r="11746" spans="2:4" ht="12.75" customHeight="1" x14ac:dyDescent="0.2">
      <c r="B11746" s="236"/>
      <c r="C11746" s="236"/>
      <c r="D11746" s="236"/>
    </row>
    <row r="11747" spans="2:4" ht="12.75" customHeight="1" x14ac:dyDescent="0.2">
      <c r="B11747" s="236"/>
      <c r="C11747" s="236"/>
      <c r="D11747" s="236"/>
    </row>
    <row r="11748" spans="2:4" ht="12.75" customHeight="1" x14ac:dyDescent="0.2">
      <c r="B11748" s="236"/>
      <c r="C11748" s="236"/>
      <c r="D11748" s="236"/>
    </row>
    <row r="11749" spans="2:4" x14ac:dyDescent="0.2">
      <c r="B11749" s="236"/>
      <c r="C11749" s="236"/>
      <c r="D11749" s="236"/>
    </row>
    <row r="11750" spans="2:4" ht="12.75" customHeight="1" x14ac:dyDescent="0.2">
      <c r="B11750" s="236"/>
      <c r="C11750" s="236"/>
      <c r="D11750" s="236"/>
    </row>
    <row r="11751" spans="2:4" x14ac:dyDescent="0.2">
      <c r="B11751" s="236"/>
      <c r="C11751" s="236"/>
      <c r="D11751" s="236"/>
    </row>
    <row r="11752" spans="2:4" ht="12.75" customHeight="1" x14ac:dyDescent="0.2">
      <c r="B11752" s="236"/>
      <c r="C11752" s="236"/>
      <c r="D11752" s="236"/>
    </row>
    <row r="11753" spans="2:4" ht="12.75" customHeight="1" x14ac:dyDescent="0.2">
      <c r="B11753" s="236"/>
      <c r="C11753" s="236"/>
      <c r="D11753" s="236"/>
    </row>
    <row r="11754" spans="2:4" x14ac:dyDescent="0.2">
      <c r="B11754" s="236"/>
      <c r="C11754" s="236"/>
      <c r="D11754" s="236"/>
    </row>
    <row r="11755" spans="2:4" ht="12.75" customHeight="1" x14ac:dyDescent="0.2">
      <c r="B11755" s="236"/>
      <c r="C11755" s="236"/>
      <c r="D11755" s="236"/>
    </row>
    <row r="11756" spans="2:4" ht="12.75" customHeight="1" x14ac:dyDescent="0.2">
      <c r="B11756" s="236"/>
      <c r="C11756" s="236"/>
      <c r="D11756" s="236"/>
    </row>
    <row r="11757" spans="2:4" ht="12.75" customHeight="1" x14ac:dyDescent="0.2">
      <c r="B11757" s="236"/>
      <c r="C11757" s="236"/>
      <c r="D11757" s="236"/>
    </row>
    <row r="11758" spans="2:4" ht="12.75" customHeight="1" x14ac:dyDescent="0.2">
      <c r="B11758" s="236"/>
      <c r="C11758" s="236"/>
      <c r="D11758" s="236"/>
    </row>
    <row r="11759" spans="2:4" ht="12.75" customHeight="1" x14ac:dyDescent="0.2">
      <c r="B11759" s="236"/>
      <c r="C11759" s="236"/>
      <c r="D11759" s="236"/>
    </row>
    <row r="11760" spans="2:4" x14ac:dyDescent="0.2">
      <c r="B11760" s="236"/>
      <c r="C11760" s="236"/>
      <c r="D11760" s="236"/>
    </row>
    <row r="11761" spans="2:4" ht="12.75" customHeight="1" x14ac:dyDescent="0.2">
      <c r="B11761" s="236"/>
      <c r="C11761" s="236"/>
      <c r="D11761" s="236"/>
    </row>
    <row r="11762" spans="2:4" ht="12.75" customHeight="1" x14ac:dyDescent="0.2">
      <c r="B11762" s="236"/>
      <c r="C11762" s="236"/>
      <c r="D11762" s="236"/>
    </row>
    <row r="11763" spans="2:4" ht="12.75" customHeight="1" x14ac:dyDescent="0.2">
      <c r="B11763" s="236"/>
      <c r="C11763" s="236"/>
      <c r="D11763" s="236"/>
    </row>
    <row r="11764" spans="2:4" ht="12.75" customHeight="1" x14ac:dyDescent="0.2">
      <c r="B11764" s="236"/>
      <c r="C11764" s="236"/>
      <c r="D11764" s="236"/>
    </row>
    <row r="11765" spans="2:4" ht="12.75" customHeight="1" x14ac:dyDescent="0.2">
      <c r="B11765" s="236"/>
      <c r="C11765" s="236"/>
      <c r="D11765" s="236"/>
    </row>
    <row r="11766" spans="2:4" ht="12.75" customHeight="1" x14ac:dyDescent="0.2">
      <c r="B11766" s="236"/>
      <c r="C11766" s="236"/>
      <c r="D11766" s="236"/>
    </row>
    <row r="11767" spans="2:4" ht="12.75" customHeight="1" x14ac:dyDescent="0.2">
      <c r="B11767" s="236"/>
      <c r="C11767" s="236"/>
      <c r="D11767" s="236"/>
    </row>
    <row r="11768" spans="2:4" ht="12.75" customHeight="1" x14ac:dyDescent="0.2">
      <c r="B11768" s="236"/>
      <c r="C11768" s="236"/>
      <c r="D11768" s="236"/>
    </row>
    <row r="11769" spans="2:4" x14ac:dyDescent="0.2">
      <c r="B11769" s="236"/>
      <c r="C11769" s="236"/>
      <c r="D11769" s="236"/>
    </row>
    <row r="11770" spans="2:4" ht="12.75" customHeight="1" x14ac:dyDescent="0.2">
      <c r="B11770" s="236"/>
      <c r="C11770" s="236"/>
      <c r="D11770" s="236"/>
    </row>
    <row r="11771" spans="2:4" ht="12.75" customHeight="1" x14ac:dyDescent="0.2">
      <c r="B11771" s="236"/>
      <c r="C11771" s="236"/>
      <c r="D11771" s="236"/>
    </row>
    <row r="11772" spans="2:4" ht="12.75" customHeight="1" x14ac:dyDescent="0.2">
      <c r="B11772" s="236"/>
      <c r="C11772" s="236"/>
      <c r="D11772" s="236"/>
    </row>
    <row r="11773" spans="2:4" ht="12.75" customHeight="1" x14ac:dyDescent="0.2">
      <c r="B11773" s="236"/>
      <c r="C11773" s="236"/>
      <c r="D11773" s="236"/>
    </row>
    <row r="11774" spans="2:4" ht="12.75" customHeight="1" x14ac:dyDescent="0.2">
      <c r="B11774" s="236"/>
      <c r="C11774" s="236"/>
      <c r="D11774" s="236"/>
    </row>
    <row r="11775" spans="2:4" x14ac:dyDescent="0.2">
      <c r="B11775" s="236"/>
      <c r="C11775" s="236"/>
      <c r="D11775" s="236"/>
    </row>
    <row r="11776" spans="2:4" ht="12.75" customHeight="1" x14ac:dyDescent="0.2">
      <c r="B11776" s="236"/>
      <c r="C11776" s="236"/>
      <c r="D11776" s="236"/>
    </row>
    <row r="11777" spans="2:4" x14ac:dyDescent="0.2">
      <c r="B11777" s="236"/>
      <c r="C11777" s="236"/>
      <c r="D11777" s="236"/>
    </row>
    <row r="11778" spans="2:4" ht="12.75" customHeight="1" x14ac:dyDescent="0.2">
      <c r="B11778" s="236"/>
      <c r="C11778" s="236"/>
      <c r="D11778" s="236"/>
    </row>
    <row r="11779" spans="2:4" ht="12.75" customHeight="1" x14ac:dyDescent="0.2">
      <c r="B11779" s="236"/>
      <c r="C11779" s="236"/>
      <c r="D11779" s="236"/>
    </row>
    <row r="11780" spans="2:4" ht="12.75" customHeight="1" x14ac:dyDescent="0.2">
      <c r="B11780" s="236"/>
      <c r="C11780" s="236"/>
      <c r="D11780" s="236"/>
    </row>
    <row r="11781" spans="2:4" ht="12.75" customHeight="1" x14ac:dyDescent="0.2">
      <c r="B11781" s="236"/>
      <c r="C11781" s="236"/>
      <c r="D11781" s="236"/>
    </row>
    <row r="11782" spans="2:4" x14ac:dyDescent="0.2">
      <c r="B11782" s="236"/>
      <c r="C11782" s="236"/>
      <c r="D11782" s="236"/>
    </row>
    <row r="11783" spans="2:4" ht="12.75" customHeight="1" x14ac:dyDescent="0.2">
      <c r="B11783" s="236"/>
      <c r="C11783" s="236"/>
      <c r="D11783" s="236"/>
    </row>
    <row r="11784" spans="2:4" x14ac:dyDescent="0.2">
      <c r="B11784" s="236"/>
      <c r="C11784" s="236"/>
      <c r="D11784" s="236"/>
    </row>
    <row r="11785" spans="2:4" ht="12.75" customHeight="1" x14ac:dyDescent="0.2">
      <c r="B11785" s="236"/>
      <c r="C11785" s="236"/>
      <c r="D11785" s="236"/>
    </row>
    <row r="11786" spans="2:4" ht="12.75" customHeight="1" x14ac:dyDescent="0.2">
      <c r="B11786" s="236"/>
      <c r="C11786" s="236"/>
      <c r="D11786" s="236"/>
    </row>
    <row r="11787" spans="2:4" ht="12.75" customHeight="1" x14ac:dyDescent="0.2">
      <c r="B11787" s="236"/>
      <c r="C11787" s="236"/>
      <c r="D11787" s="236"/>
    </row>
    <row r="11788" spans="2:4" ht="12.75" customHeight="1" x14ac:dyDescent="0.2">
      <c r="B11788" s="236"/>
      <c r="C11788" s="236"/>
      <c r="D11788" s="236"/>
    </row>
    <row r="11789" spans="2:4" ht="12.75" customHeight="1" x14ac:dyDescent="0.2">
      <c r="B11789" s="236"/>
      <c r="C11789" s="236"/>
      <c r="D11789" s="236"/>
    </row>
    <row r="11790" spans="2:4" ht="12.75" customHeight="1" x14ac:dyDescent="0.2">
      <c r="B11790" s="236"/>
      <c r="C11790" s="236"/>
      <c r="D11790" s="236"/>
    </row>
    <row r="11791" spans="2:4" ht="12.75" customHeight="1" x14ac:dyDescent="0.2">
      <c r="B11791" s="236"/>
      <c r="C11791" s="236"/>
      <c r="D11791" s="236"/>
    </row>
    <row r="11792" spans="2:4" x14ac:dyDescent="0.2">
      <c r="B11792" s="236"/>
      <c r="C11792" s="236"/>
      <c r="D11792" s="236"/>
    </row>
    <row r="11793" spans="2:4" ht="12.75" customHeight="1" x14ac:dyDescent="0.2">
      <c r="B11793" s="236"/>
      <c r="C11793" s="236"/>
      <c r="D11793" s="236"/>
    </row>
    <row r="11794" spans="2:4" x14ac:dyDescent="0.2">
      <c r="B11794" s="236"/>
      <c r="C11794" s="236"/>
      <c r="D11794" s="236"/>
    </row>
    <row r="11795" spans="2:4" ht="12.75" customHeight="1" x14ac:dyDescent="0.2">
      <c r="B11795" s="236"/>
      <c r="C11795" s="236"/>
      <c r="D11795" s="236"/>
    </row>
    <row r="11796" spans="2:4" x14ac:dyDescent="0.2">
      <c r="B11796" s="236"/>
      <c r="C11796" s="236"/>
      <c r="D11796" s="236"/>
    </row>
    <row r="11797" spans="2:4" ht="12.75" customHeight="1" x14ac:dyDescent="0.2">
      <c r="B11797" s="236"/>
      <c r="C11797" s="236"/>
      <c r="D11797" s="236"/>
    </row>
    <row r="11798" spans="2:4" x14ac:dyDescent="0.2">
      <c r="B11798" s="236"/>
      <c r="C11798" s="236"/>
      <c r="D11798" s="236"/>
    </row>
    <row r="11799" spans="2:4" ht="12.75" customHeight="1" x14ac:dyDescent="0.2">
      <c r="B11799" s="236"/>
      <c r="C11799" s="236"/>
      <c r="D11799" s="236"/>
    </row>
    <row r="11800" spans="2:4" ht="12.75" customHeight="1" x14ac:dyDescent="0.2">
      <c r="B11800" s="236"/>
      <c r="C11800" s="236"/>
      <c r="D11800" s="236"/>
    </row>
    <row r="11801" spans="2:4" ht="12.75" customHeight="1" x14ac:dyDescent="0.2">
      <c r="B11801" s="236"/>
      <c r="C11801" s="236"/>
      <c r="D11801" s="236"/>
    </row>
    <row r="11802" spans="2:4" x14ac:dyDescent="0.2">
      <c r="B11802" s="236"/>
      <c r="C11802" s="236"/>
      <c r="D11802" s="236"/>
    </row>
    <row r="11803" spans="2:4" ht="12.75" customHeight="1" x14ac:dyDescent="0.2">
      <c r="B11803" s="236"/>
      <c r="C11803" s="236"/>
      <c r="D11803" s="236"/>
    </row>
    <row r="11804" spans="2:4" ht="12.75" customHeight="1" x14ac:dyDescent="0.2">
      <c r="B11804" s="236"/>
      <c r="C11804" s="236"/>
      <c r="D11804" s="236"/>
    </row>
    <row r="11805" spans="2:4" ht="12.75" customHeight="1" x14ac:dyDescent="0.2">
      <c r="B11805" s="236"/>
      <c r="C11805" s="236"/>
      <c r="D11805" s="236"/>
    </row>
    <row r="11806" spans="2:4" ht="12.75" customHeight="1" x14ac:dyDescent="0.2">
      <c r="B11806" s="236"/>
      <c r="C11806" s="236"/>
      <c r="D11806" s="236"/>
    </row>
    <row r="11807" spans="2:4" ht="12.75" customHeight="1" x14ac:dyDescent="0.2">
      <c r="B11807" s="236"/>
      <c r="C11807" s="236"/>
      <c r="D11807" s="236"/>
    </row>
    <row r="11808" spans="2:4" ht="12.75" customHeight="1" x14ac:dyDescent="0.2">
      <c r="B11808" s="236"/>
      <c r="C11808" s="236"/>
      <c r="D11808" s="236"/>
    </row>
    <row r="11809" spans="2:4" x14ac:dyDescent="0.2">
      <c r="B11809" s="236"/>
      <c r="C11809" s="236"/>
      <c r="D11809" s="236"/>
    </row>
    <row r="11810" spans="2:4" ht="12.75" customHeight="1" x14ac:dyDescent="0.2">
      <c r="B11810" s="236"/>
      <c r="C11810" s="236"/>
      <c r="D11810" s="236"/>
    </row>
    <row r="11811" spans="2:4" x14ac:dyDescent="0.2">
      <c r="B11811" s="236"/>
      <c r="C11811" s="236"/>
      <c r="D11811" s="236"/>
    </row>
    <row r="11812" spans="2:4" ht="12.75" customHeight="1" x14ac:dyDescent="0.2">
      <c r="B11812" s="236"/>
      <c r="C11812" s="236"/>
      <c r="D11812" s="236"/>
    </row>
    <row r="11813" spans="2:4" ht="12.75" customHeight="1" x14ac:dyDescent="0.2">
      <c r="B11813" s="236"/>
      <c r="C11813" s="236"/>
      <c r="D11813" s="236"/>
    </row>
    <row r="11814" spans="2:4" ht="12.75" customHeight="1" x14ac:dyDescent="0.2">
      <c r="B11814" s="236"/>
      <c r="C11814" s="236"/>
      <c r="D11814" s="236"/>
    </row>
    <row r="11815" spans="2:4" ht="12.75" customHeight="1" x14ac:dyDescent="0.2">
      <c r="B11815" s="236"/>
      <c r="C11815" s="236"/>
      <c r="D11815" s="236"/>
    </row>
    <row r="11816" spans="2:4" ht="12.75" customHeight="1" x14ac:dyDescent="0.2">
      <c r="B11816" s="236"/>
      <c r="C11816" s="236"/>
      <c r="D11816" s="236"/>
    </row>
    <row r="11817" spans="2:4" ht="12.75" customHeight="1" x14ac:dyDescent="0.2">
      <c r="B11817" s="236"/>
      <c r="C11817" s="236"/>
      <c r="D11817" s="236"/>
    </row>
    <row r="11818" spans="2:4" ht="12.75" customHeight="1" x14ac:dyDescent="0.2">
      <c r="B11818" s="236"/>
      <c r="C11818" s="236"/>
      <c r="D11818" s="236"/>
    </row>
    <row r="11819" spans="2:4" ht="12.75" customHeight="1" x14ac:dyDescent="0.2">
      <c r="B11819" s="236"/>
      <c r="C11819" s="236"/>
      <c r="D11819" s="236"/>
    </row>
    <row r="11820" spans="2:4" x14ac:dyDescent="0.2">
      <c r="B11820" s="236"/>
      <c r="C11820" s="236"/>
      <c r="D11820" s="236"/>
    </row>
    <row r="11821" spans="2:4" ht="12.75" customHeight="1" x14ac:dyDescent="0.2">
      <c r="B11821" s="236"/>
      <c r="C11821" s="236"/>
      <c r="D11821" s="236"/>
    </row>
    <row r="11822" spans="2:4" ht="12.75" customHeight="1" x14ac:dyDescent="0.2">
      <c r="B11822" s="236"/>
      <c r="C11822" s="236"/>
      <c r="D11822" s="236"/>
    </row>
    <row r="11823" spans="2:4" ht="12.75" customHeight="1" x14ac:dyDescent="0.2">
      <c r="B11823" s="236"/>
      <c r="C11823" s="236"/>
      <c r="D11823" s="236"/>
    </row>
    <row r="11824" spans="2:4" ht="12.75" customHeight="1" x14ac:dyDescent="0.2">
      <c r="B11824" s="236"/>
      <c r="C11824" s="236"/>
      <c r="D11824" s="236"/>
    </row>
    <row r="11825" spans="2:4" ht="12.75" customHeight="1" x14ac:dyDescent="0.2">
      <c r="B11825" s="236"/>
      <c r="C11825" s="236"/>
      <c r="D11825" s="236"/>
    </row>
    <row r="11826" spans="2:4" x14ac:dyDescent="0.2">
      <c r="B11826" s="236"/>
      <c r="C11826" s="236"/>
      <c r="D11826" s="236"/>
    </row>
    <row r="11827" spans="2:4" ht="12.75" customHeight="1" x14ac:dyDescent="0.2">
      <c r="B11827" s="236"/>
      <c r="C11827" s="236"/>
      <c r="D11827" s="236"/>
    </row>
    <row r="11828" spans="2:4" ht="12.75" customHeight="1" x14ac:dyDescent="0.2">
      <c r="B11828" s="236"/>
      <c r="C11828" s="236"/>
      <c r="D11828" s="236"/>
    </row>
    <row r="11829" spans="2:4" x14ac:dyDescent="0.2">
      <c r="B11829" s="236"/>
      <c r="C11829" s="236"/>
      <c r="D11829" s="236"/>
    </row>
    <row r="11830" spans="2:4" ht="12.75" customHeight="1" x14ac:dyDescent="0.2">
      <c r="B11830" s="236"/>
      <c r="C11830" s="236"/>
      <c r="D11830" s="236"/>
    </row>
    <row r="11831" spans="2:4" ht="12.75" customHeight="1" x14ac:dyDescent="0.2">
      <c r="B11831" s="236"/>
      <c r="C11831" s="236"/>
      <c r="D11831" s="236"/>
    </row>
    <row r="11832" spans="2:4" ht="12.75" customHeight="1" x14ac:dyDescent="0.2">
      <c r="B11832" s="236"/>
      <c r="C11832" s="236"/>
      <c r="D11832" s="236"/>
    </row>
    <row r="11833" spans="2:4" ht="12.75" customHeight="1" x14ac:dyDescent="0.2">
      <c r="B11833" s="236"/>
      <c r="C11833" s="236"/>
      <c r="D11833" s="236"/>
    </row>
    <row r="11834" spans="2:4" ht="12.75" customHeight="1" x14ac:dyDescent="0.2">
      <c r="B11834" s="236"/>
      <c r="C11834" s="236"/>
      <c r="D11834" s="236"/>
    </row>
    <row r="11835" spans="2:4" ht="12.75" customHeight="1" x14ac:dyDescent="0.2">
      <c r="B11835" s="236"/>
      <c r="C11835" s="236"/>
      <c r="D11835" s="236"/>
    </row>
    <row r="11836" spans="2:4" ht="12.75" customHeight="1" x14ac:dyDescent="0.2">
      <c r="B11836" s="236"/>
      <c r="C11836" s="236"/>
      <c r="D11836" s="236"/>
    </row>
    <row r="11837" spans="2:4" ht="12.75" customHeight="1" x14ac:dyDescent="0.2">
      <c r="B11837" s="236"/>
      <c r="C11837" s="236"/>
      <c r="D11837" s="236"/>
    </row>
    <row r="11838" spans="2:4" ht="12.75" customHeight="1" x14ac:dyDescent="0.2">
      <c r="B11838" s="236"/>
      <c r="C11838" s="236"/>
      <c r="D11838" s="236"/>
    </row>
    <row r="11839" spans="2:4" x14ac:dyDescent="0.2">
      <c r="B11839" s="236"/>
      <c r="C11839" s="236"/>
      <c r="D11839" s="236"/>
    </row>
    <row r="11840" spans="2:4" ht="12.75" customHeight="1" x14ac:dyDescent="0.2">
      <c r="B11840" s="236"/>
      <c r="C11840" s="236"/>
      <c r="D11840" s="236"/>
    </row>
    <row r="11841" spans="2:4" x14ac:dyDescent="0.2">
      <c r="B11841" s="236"/>
      <c r="C11841" s="236"/>
      <c r="D11841" s="236"/>
    </row>
    <row r="11842" spans="2:4" ht="12.75" customHeight="1" x14ac:dyDescent="0.2">
      <c r="B11842" s="236"/>
      <c r="C11842" s="236"/>
      <c r="D11842" s="236"/>
    </row>
    <row r="11843" spans="2:4" ht="12.75" customHeight="1" x14ac:dyDescent="0.2">
      <c r="B11843" s="236"/>
      <c r="C11843" s="236"/>
      <c r="D11843" s="236"/>
    </row>
    <row r="11844" spans="2:4" ht="12.75" customHeight="1" x14ac:dyDescent="0.2">
      <c r="B11844" s="236"/>
      <c r="C11844" s="236"/>
      <c r="D11844" s="236"/>
    </row>
    <row r="11845" spans="2:4" ht="12.75" customHeight="1" x14ac:dyDescent="0.2">
      <c r="B11845" s="236"/>
      <c r="C11845" s="236"/>
      <c r="D11845" s="236"/>
    </row>
    <row r="11846" spans="2:4" ht="12.75" customHeight="1" x14ac:dyDescent="0.2">
      <c r="B11846" s="236"/>
      <c r="C11846" s="236"/>
      <c r="D11846" s="236"/>
    </row>
    <row r="11847" spans="2:4" x14ac:dyDescent="0.2">
      <c r="B11847" s="236"/>
      <c r="C11847" s="236"/>
      <c r="D11847" s="236"/>
    </row>
    <row r="11848" spans="2:4" ht="12.75" customHeight="1" x14ac:dyDescent="0.2">
      <c r="B11848" s="236"/>
      <c r="C11848" s="236"/>
      <c r="D11848" s="236"/>
    </row>
    <row r="11849" spans="2:4" ht="12.75" customHeight="1" x14ac:dyDescent="0.2">
      <c r="B11849" s="236"/>
      <c r="C11849" s="236"/>
      <c r="D11849" s="236"/>
    </row>
    <row r="11850" spans="2:4" x14ac:dyDescent="0.2">
      <c r="B11850" s="236"/>
      <c r="C11850" s="236"/>
      <c r="D11850" s="236"/>
    </row>
    <row r="11851" spans="2:4" ht="12.75" customHeight="1" x14ac:dyDescent="0.2">
      <c r="B11851" s="236"/>
      <c r="C11851" s="236"/>
      <c r="D11851" s="236"/>
    </row>
    <row r="11852" spans="2:4" ht="12.75" customHeight="1" x14ac:dyDescent="0.2">
      <c r="B11852" s="236"/>
      <c r="C11852" s="236"/>
      <c r="D11852" s="236"/>
    </row>
    <row r="11853" spans="2:4" x14ac:dyDescent="0.2">
      <c r="B11853" s="236"/>
      <c r="C11853" s="236"/>
      <c r="D11853" s="236"/>
    </row>
    <row r="11854" spans="2:4" ht="12.75" customHeight="1" x14ac:dyDescent="0.2">
      <c r="B11854" s="236"/>
      <c r="C11854" s="236"/>
      <c r="D11854" s="236"/>
    </row>
    <row r="11855" spans="2:4" ht="12.75" customHeight="1" x14ac:dyDescent="0.2">
      <c r="B11855" s="236"/>
      <c r="C11855" s="236"/>
      <c r="D11855" s="236"/>
    </row>
    <row r="11856" spans="2:4" x14ac:dyDescent="0.2">
      <c r="B11856" s="236"/>
      <c r="C11856" s="236"/>
      <c r="D11856" s="236"/>
    </row>
    <row r="11857" spans="2:4" ht="12.75" customHeight="1" x14ac:dyDescent="0.2">
      <c r="B11857" s="236"/>
      <c r="C11857" s="236"/>
      <c r="D11857" s="236"/>
    </row>
    <row r="11858" spans="2:4" ht="12.75" customHeight="1" x14ac:dyDescent="0.2">
      <c r="B11858" s="236"/>
      <c r="C11858" s="236"/>
      <c r="D11858" s="236"/>
    </row>
    <row r="11859" spans="2:4" ht="12.75" customHeight="1" x14ac:dyDescent="0.2">
      <c r="B11859" s="236"/>
      <c r="C11859" s="236"/>
      <c r="D11859" s="236"/>
    </row>
    <row r="11860" spans="2:4" x14ac:dyDescent="0.2">
      <c r="B11860" s="236"/>
      <c r="C11860" s="236"/>
      <c r="D11860" s="236"/>
    </row>
    <row r="11861" spans="2:4" ht="12.75" customHeight="1" x14ac:dyDescent="0.2">
      <c r="B11861" s="236"/>
      <c r="C11861" s="236"/>
      <c r="D11861" s="236"/>
    </row>
    <row r="11862" spans="2:4" x14ac:dyDescent="0.2">
      <c r="B11862" s="236"/>
      <c r="C11862" s="236"/>
      <c r="D11862" s="236"/>
    </row>
    <row r="11863" spans="2:4" ht="12.75" customHeight="1" x14ac:dyDescent="0.2">
      <c r="B11863" s="236"/>
      <c r="C11863" s="236"/>
      <c r="D11863" s="236"/>
    </row>
    <row r="11864" spans="2:4" ht="12.75" customHeight="1" x14ac:dyDescent="0.2">
      <c r="B11864" s="236"/>
      <c r="C11864" s="236"/>
      <c r="D11864" s="236"/>
    </row>
    <row r="11865" spans="2:4" ht="12.75" customHeight="1" x14ac:dyDescent="0.2">
      <c r="B11865" s="236"/>
      <c r="C11865" s="236"/>
      <c r="D11865" s="236"/>
    </row>
    <row r="11866" spans="2:4" ht="12.75" customHeight="1" x14ac:dyDescent="0.2">
      <c r="B11866" s="236"/>
      <c r="C11866" s="236"/>
      <c r="D11866" s="236"/>
    </row>
    <row r="11867" spans="2:4" x14ac:dyDescent="0.2">
      <c r="B11867" s="236"/>
      <c r="C11867" s="236"/>
      <c r="D11867" s="236"/>
    </row>
    <row r="11868" spans="2:4" ht="12.75" customHeight="1" x14ac:dyDescent="0.2">
      <c r="B11868" s="236"/>
      <c r="C11868" s="236"/>
      <c r="D11868" s="236"/>
    </row>
    <row r="11869" spans="2:4" x14ac:dyDescent="0.2">
      <c r="B11869" s="236"/>
      <c r="C11869" s="236"/>
      <c r="D11869" s="236"/>
    </row>
    <row r="11870" spans="2:4" ht="12.75" customHeight="1" x14ac:dyDescent="0.2">
      <c r="B11870" s="236"/>
      <c r="C11870" s="236"/>
      <c r="D11870" s="236"/>
    </row>
    <row r="11871" spans="2:4" ht="12.75" customHeight="1" x14ac:dyDescent="0.2">
      <c r="B11871" s="236"/>
      <c r="C11871" s="236"/>
      <c r="D11871" s="236"/>
    </row>
    <row r="11872" spans="2:4" ht="12.75" customHeight="1" x14ac:dyDescent="0.2">
      <c r="B11872" s="236"/>
      <c r="C11872" s="236"/>
      <c r="D11872" s="236"/>
    </row>
    <row r="11873" spans="2:4" ht="12.75" customHeight="1" x14ac:dyDescent="0.2">
      <c r="B11873" s="236"/>
      <c r="C11873" s="236"/>
      <c r="D11873" s="236"/>
    </row>
    <row r="11874" spans="2:4" ht="12.75" customHeight="1" x14ac:dyDescent="0.2">
      <c r="B11874" s="236"/>
      <c r="C11874" s="236"/>
      <c r="D11874" s="236"/>
    </row>
    <row r="11875" spans="2:4" ht="12.75" customHeight="1" x14ac:dyDescent="0.2">
      <c r="B11875" s="236"/>
      <c r="C11875" s="236"/>
      <c r="D11875" s="236"/>
    </row>
    <row r="11876" spans="2:4" ht="12.75" customHeight="1" x14ac:dyDescent="0.2">
      <c r="B11876" s="236"/>
      <c r="C11876" s="236"/>
      <c r="D11876" s="236"/>
    </row>
    <row r="11877" spans="2:4" ht="12.75" customHeight="1" x14ac:dyDescent="0.2">
      <c r="B11877" s="236"/>
      <c r="C11877" s="236"/>
      <c r="D11877" s="236"/>
    </row>
    <row r="11878" spans="2:4" ht="12.75" customHeight="1" x14ac:dyDescent="0.2">
      <c r="B11878" s="236"/>
      <c r="C11878" s="236"/>
      <c r="D11878" s="236"/>
    </row>
    <row r="11879" spans="2:4" ht="12.75" customHeight="1" x14ac:dyDescent="0.2">
      <c r="B11879" s="236"/>
      <c r="C11879" s="236"/>
      <c r="D11879" s="236"/>
    </row>
    <row r="11880" spans="2:4" ht="12.75" customHeight="1" x14ac:dyDescent="0.2">
      <c r="B11880" s="236"/>
      <c r="C11880" s="236"/>
      <c r="D11880" s="236"/>
    </row>
    <row r="11881" spans="2:4" x14ac:dyDescent="0.2">
      <c r="B11881" s="236"/>
      <c r="C11881" s="236"/>
      <c r="D11881" s="236"/>
    </row>
    <row r="11882" spans="2:4" ht="12.75" customHeight="1" x14ac:dyDescent="0.2">
      <c r="B11882" s="236"/>
      <c r="C11882" s="236"/>
      <c r="D11882" s="236"/>
    </row>
    <row r="11883" spans="2:4" x14ac:dyDescent="0.2">
      <c r="B11883" s="236"/>
      <c r="C11883" s="236"/>
      <c r="D11883" s="236"/>
    </row>
    <row r="11884" spans="2:4" x14ac:dyDescent="0.2">
      <c r="B11884" s="236"/>
      <c r="C11884" s="236"/>
      <c r="D11884" s="236"/>
    </row>
    <row r="11885" spans="2:4" x14ac:dyDescent="0.2">
      <c r="B11885" s="236"/>
      <c r="C11885" s="236"/>
      <c r="D11885" s="236"/>
    </row>
    <row r="11886" spans="2:4" ht="12.75" customHeight="1" x14ac:dyDescent="0.2">
      <c r="B11886" s="236"/>
      <c r="C11886" s="236"/>
      <c r="D11886" s="236"/>
    </row>
    <row r="11887" spans="2:4" ht="12.75" customHeight="1" x14ac:dyDescent="0.2">
      <c r="B11887" s="236"/>
      <c r="C11887" s="236"/>
      <c r="D11887" s="236"/>
    </row>
    <row r="11888" spans="2:4" ht="12.75" customHeight="1" x14ac:dyDescent="0.2">
      <c r="B11888" s="236"/>
      <c r="C11888" s="236"/>
      <c r="D11888" s="236"/>
    </row>
    <row r="11889" spans="2:4" ht="12.75" customHeight="1" x14ac:dyDescent="0.2">
      <c r="B11889" s="236"/>
      <c r="C11889" s="236"/>
      <c r="D11889" s="236"/>
    </row>
    <row r="11890" spans="2:4" ht="12.75" customHeight="1" x14ac:dyDescent="0.2">
      <c r="B11890" s="236"/>
      <c r="C11890" s="236"/>
      <c r="D11890" s="236"/>
    </row>
    <row r="11891" spans="2:4" ht="12.75" customHeight="1" x14ac:dyDescent="0.2">
      <c r="B11891" s="236"/>
      <c r="C11891" s="236"/>
      <c r="D11891" s="236"/>
    </row>
    <row r="11892" spans="2:4" ht="12.75" customHeight="1" x14ac:dyDescent="0.2">
      <c r="B11892" s="236"/>
      <c r="C11892" s="236"/>
      <c r="D11892" s="236"/>
    </row>
    <row r="11893" spans="2:4" ht="12.75" customHeight="1" x14ac:dyDescent="0.2">
      <c r="B11893" s="236"/>
      <c r="C11893" s="236"/>
      <c r="D11893" s="236"/>
    </row>
    <row r="11894" spans="2:4" ht="12.75" customHeight="1" x14ac:dyDescent="0.2">
      <c r="B11894" s="236"/>
      <c r="C11894" s="236"/>
      <c r="D11894" s="236"/>
    </row>
    <row r="11895" spans="2:4" ht="12.75" customHeight="1" x14ac:dyDescent="0.2">
      <c r="B11895" s="236"/>
      <c r="C11895" s="236"/>
      <c r="D11895" s="236"/>
    </row>
    <row r="11896" spans="2:4" ht="12.75" customHeight="1" x14ac:dyDescent="0.2">
      <c r="B11896" s="236"/>
      <c r="C11896" s="236"/>
      <c r="D11896" s="236"/>
    </row>
    <row r="11897" spans="2:4" x14ac:dyDescent="0.2">
      <c r="B11897" s="236"/>
      <c r="C11897" s="236"/>
      <c r="D11897" s="236"/>
    </row>
    <row r="11898" spans="2:4" ht="12.75" customHeight="1" x14ac:dyDescent="0.2">
      <c r="B11898" s="236"/>
      <c r="C11898" s="236"/>
      <c r="D11898" s="236"/>
    </row>
    <row r="11899" spans="2:4" ht="12.75" customHeight="1" x14ac:dyDescent="0.2">
      <c r="B11899" s="236"/>
      <c r="C11899" s="236"/>
      <c r="D11899" s="236"/>
    </row>
    <row r="11900" spans="2:4" x14ac:dyDescent="0.2">
      <c r="B11900" s="236"/>
      <c r="C11900" s="236"/>
      <c r="D11900" s="236"/>
    </row>
    <row r="11901" spans="2:4" ht="12.75" customHeight="1" x14ac:dyDescent="0.2">
      <c r="B11901" s="236"/>
      <c r="C11901" s="236"/>
      <c r="D11901" s="236"/>
    </row>
    <row r="11902" spans="2:4" ht="12.75" customHeight="1" x14ac:dyDescent="0.2">
      <c r="B11902" s="236"/>
      <c r="C11902" s="236"/>
      <c r="D11902" s="236"/>
    </row>
    <row r="11903" spans="2:4" ht="12.75" customHeight="1" x14ac:dyDescent="0.2">
      <c r="B11903" s="236"/>
      <c r="C11903" s="236"/>
      <c r="D11903" s="236"/>
    </row>
    <row r="11904" spans="2:4" ht="12.75" customHeight="1" x14ac:dyDescent="0.2">
      <c r="B11904" s="236"/>
      <c r="C11904" s="236"/>
      <c r="D11904" s="236"/>
    </row>
    <row r="11905" spans="2:4" ht="12.75" customHeight="1" x14ac:dyDescent="0.2">
      <c r="B11905" s="236"/>
      <c r="C11905" s="236"/>
      <c r="D11905" s="236"/>
    </row>
    <row r="11906" spans="2:4" ht="12.75" customHeight="1" x14ac:dyDescent="0.2">
      <c r="B11906" s="236"/>
      <c r="C11906" s="236"/>
      <c r="D11906" s="236"/>
    </row>
    <row r="11907" spans="2:4" ht="12.75" customHeight="1" x14ac:dyDescent="0.2">
      <c r="B11907" s="236"/>
      <c r="C11907" s="236"/>
      <c r="D11907" s="236"/>
    </row>
    <row r="11908" spans="2:4" ht="12.75" customHeight="1" x14ac:dyDescent="0.2">
      <c r="B11908" s="236"/>
      <c r="C11908" s="236"/>
      <c r="D11908" s="236"/>
    </row>
    <row r="11909" spans="2:4" ht="12.75" customHeight="1" x14ac:dyDescent="0.2">
      <c r="B11909" s="236"/>
      <c r="C11909" s="236"/>
      <c r="D11909" s="236"/>
    </row>
    <row r="11910" spans="2:4" ht="12.75" customHeight="1" x14ac:dyDescent="0.2">
      <c r="B11910" s="236"/>
      <c r="C11910" s="236"/>
      <c r="D11910" s="236"/>
    </row>
    <row r="11911" spans="2:4" ht="12.75" customHeight="1" x14ac:dyDescent="0.2">
      <c r="B11911" s="236"/>
      <c r="C11911" s="236"/>
      <c r="D11911" s="236"/>
    </row>
    <row r="11912" spans="2:4" ht="12.75" customHeight="1" x14ac:dyDescent="0.2">
      <c r="B11912" s="236"/>
      <c r="C11912" s="236"/>
      <c r="D11912" s="236"/>
    </row>
    <row r="11913" spans="2:4" ht="12.75" customHeight="1" x14ac:dyDescent="0.2">
      <c r="B11913" s="236"/>
      <c r="C11913" s="236"/>
      <c r="D11913" s="236"/>
    </row>
    <row r="11914" spans="2:4" x14ac:dyDescent="0.2">
      <c r="B11914" s="236"/>
      <c r="C11914" s="236"/>
      <c r="D11914" s="236"/>
    </row>
    <row r="11915" spans="2:4" ht="12.75" customHeight="1" x14ac:dyDescent="0.2">
      <c r="B11915" s="236"/>
      <c r="C11915" s="236"/>
      <c r="D11915" s="236"/>
    </row>
    <row r="11916" spans="2:4" ht="12.75" customHeight="1" x14ac:dyDescent="0.2">
      <c r="B11916" s="236"/>
      <c r="C11916" s="236"/>
      <c r="D11916" s="236"/>
    </row>
    <row r="11917" spans="2:4" x14ac:dyDescent="0.2">
      <c r="B11917" s="236"/>
      <c r="C11917" s="236"/>
      <c r="D11917" s="236"/>
    </row>
    <row r="11918" spans="2:4" x14ac:dyDescent="0.2">
      <c r="B11918" s="236"/>
      <c r="C11918" s="236"/>
      <c r="D11918" s="236"/>
    </row>
    <row r="11919" spans="2:4" x14ac:dyDescent="0.2">
      <c r="B11919" s="236"/>
      <c r="C11919" s="236"/>
      <c r="D11919" s="236"/>
    </row>
    <row r="11920" spans="2:4" ht="12.75" customHeight="1" x14ac:dyDescent="0.2">
      <c r="B11920" s="236"/>
      <c r="C11920" s="236"/>
      <c r="D11920" s="236"/>
    </row>
    <row r="11921" spans="2:4" ht="12.75" customHeight="1" x14ac:dyDescent="0.2">
      <c r="B11921" s="236"/>
      <c r="C11921" s="236"/>
      <c r="D11921" s="236"/>
    </row>
    <row r="11922" spans="2:4" ht="12.75" customHeight="1" x14ac:dyDescent="0.2">
      <c r="B11922" s="236"/>
      <c r="C11922" s="236"/>
      <c r="D11922" s="236"/>
    </row>
    <row r="11923" spans="2:4" ht="12.75" customHeight="1" x14ac:dyDescent="0.2">
      <c r="B11923" s="236"/>
      <c r="C11923" s="236"/>
      <c r="D11923" s="236"/>
    </row>
    <row r="11924" spans="2:4" ht="12.75" customHeight="1" x14ac:dyDescent="0.2">
      <c r="B11924" s="236"/>
      <c r="C11924" s="236"/>
      <c r="D11924" s="236"/>
    </row>
    <row r="11925" spans="2:4" ht="12.75" customHeight="1" x14ac:dyDescent="0.2">
      <c r="B11925" s="236"/>
      <c r="C11925" s="236"/>
      <c r="D11925" s="236"/>
    </row>
    <row r="11926" spans="2:4" ht="12.75" customHeight="1" x14ac:dyDescent="0.2">
      <c r="B11926" s="236"/>
      <c r="C11926" s="236"/>
      <c r="D11926" s="236"/>
    </row>
    <row r="11927" spans="2:4" ht="12.75" customHeight="1" x14ac:dyDescent="0.2">
      <c r="B11927" s="236"/>
      <c r="C11927" s="236"/>
      <c r="D11927" s="236"/>
    </row>
    <row r="11928" spans="2:4" ht="12.75" customHeight="1" x14ac:dyDescent="0.2">
      <c r="B11928" s="236"/>
      <c r="C11928" s="236"/>
      <c r="D11928" s="236"/>
    </row>
    <row r="11929" spans="2:4" ht="12.75" customHeight="1" x14ac:dyDescent="0.2">
      <c r="B11929" s="236"/>
      <c r="C11929" s="236"/>
      <c r="D11929" s="236"/>
    </row>
    <row r="11930" spans="2:4" ht="12.75" customHeight="1" x14ac:dyDescent="0.2">
      <c r="B11930" s="236"/>
      <c r="C11930" s="236"/>
      <c r="D11930" s="236"/>
    </row>
    <row r="11931" spans="2:4" ht="12.75" customHeight="1" x14ac:dyDescent="0.2">
      <c r="B11931" s="236"/>
      <c r="C11931" s="236"/>
      <c r="D11931" s="236"/>
    </row>
    <row r="11932" spans="2:4" ht="12.75" customHeight="1" x14ac:dyDescent="0.2">
      <c r="B11932" s="236"/>
      <c r="C11932" s="236"/>
      <c r="D11932" s="236"/>
    </row>
    <row r="11933" spans="2:4" ht="12.75" customHeight="1" x14ac:dyDescent="0.2">
      <c r="B11933" s="236"/>
      <c r="C11933" s="236"/>
      <c r="D11933" s="236"/>
    </row>
    <row r="11934" spans="2:4" ht="12.75" customHeight="1" x14ac:dyDescent="0.2">
      <c r="B11934" s="236"/>
      <c r="C11934" s="236"/>
      <c r="D11934" s="236"/>
    </row>
    <row r="11935" spans="2:4" x14ac:dyDescent="0.2">
      <c r="B11935" s="236"/>
      <c r="C11935" s="236"/>
      <c r="D11935" s="236"/>
    </row>
    <row r="11936" spans="2:4" ht="12.75" customHeight="1" x14ac:dyDescent="0.2">
      <c r="B11936" s="236"/>
      <c r="C11936" s="236"/>
      <c r="D11936" s="236"/>
    </row>
    <row r="11937" spans="2:4" x14ac:dyDescent="0.2">
      <c r="B11937" s="236"/>
      <c r="C11937" s="236"/>
      <c r="D11937" s="236"/>
    </row>
    <row r="11938" spans="2:4" ht="12.75" customHeight="1" x14ac:dyDescent="0.2">
      <c r="B11938" s="236"/>
      <c r="C11938" s="236"/>
      <c r="D11938" s="236"/>
    </row>
    <row r="11939" spans="2:4" x14ac:dyDescent="0.2">
      <c r="B11939" s="236"/>
      <c r="C11939" s="236"/>
      <c r="D11939" s="236"/>
    </row>
    <row r="11940" spans="2:4" ht="12.75" customHeight="1" x14ac:dyDescent="0.2">
      <c r="B11940" s="236"/>
      <c r="C11940" s="236"/>
      <c r="D11940" s="236"/>
    </row>
    <row r="11941" spans="2:4" x14ac:dyDescent="0.2">
      <c r="B11941" s="236"/>
      <c r="C11941" s="236"/>
      <c r="D11941" s="236"/>
    </row>
    <row r="11942" spans="2:4" ht="12.75" customHeight="1" x14ac:dyDescent="0.2">
      <c r="B11942" s="236"/>
      <c r="C11942" s="236"/>
      <c r="D11942" s="236"/>
    </row>
    <row r="11943" spans="2:4" ht="12.75" customHeight="1" x14ac:dyDescent="0.2">
      <c r="B11943" s="236"/>
      <c r="C11943" s="236"/>
      <c r="D11943" s="236"/>
    </row>
    <row r="11944" spans="2:4" x14ac:dyDescent="0.2">
      <c r="B11944" s="236"/>
      <c r="C11944" s="236"/>
      <c r="D11944" s="236"/>
    </row>
    <row r="11945" spans="2:4" ht="12.75" customHeight="1" x14ac:dyDescent="0.2">
      <c r="B11945" s="236"/>
      <c r="C11945" s="236"/>
      <c r="D11945" s="236"/>
    </row>
    <row r="11946" spans="2:4" x14ac:dyDescent="0.2">
      <c r="B11946" s="236"/>
      <c r="C11946" s="236"/>
      <c r="D11946" s="236"/>
    </row>
    <row r="11947" spans="2:4" ht="12.75" customHeight="1" x14ac:dyDescent="0.2">
      <c r="B11947" s="236"/>
      <c r="C11947" s="236"/>
      <c r="D11947" s="236"/>
    </row>
    <row r="11948" spans="2:4" x14ac:dyDescent="0.2">
      <c r="B11948" s="236"/>
      <c r="C11948" s="236"/>
      <c r="D11948" s="236"/>
    </row>
    <row r="11949" spans="2:4" ht="12.75" customHeight="1" x14ac:dyDescent="0.2">
      <c r="B11949" s="236"/>
      <c r="C11949" s="236"/>
      <c r="D11949" s="236"/>
    </row>
    <row r="11950" spans="2:4" x14ac:dyDescent="0.2">
      <c r="B11950" s="236"/>
      <c r="C11950" s="236"/>
      <c r="D11950" s="236"/>
    </row>
    <row r="11951" spans="2:4" x14ac:dyDescent="0.2">
      <c r="B11951" s="236"/>
      <c r="C11951" s="236"/>
      <c r="D11951" s="236"/>
    </row>
    <row r="11952" spans="2:4" x14ac:dyDescent="0.2">
      <c r="B11952" s="236"/>
      <c r="C11952" s="236"/>
      <c r="D11952" s="236"/>
    </row>
    <row r="11953" spans="2:4" ht="12.75" customHeight="1" x14ac:dyDescent="0.2">
      <c r="B11953" s="236"/>
      <c r="C11953" s="236"/>
      <c r="D11953" s="236"/>
    </row>
    <row r="11954" spans="2:4" ht="12.75" customHeight="1" x14ac:dyDescent="0.2">
      <c r="B11954" s="236"/>
      <c r="C11954" s="236"/>
      <c r="D11954" s="236"/>
    </row>
    <row r="11955" spans="2:4" ht="12.75" customHeight="1" x14ac:dyDescent="0.2">
      <c r="B11955" s="236"/>
      <c r="C11955" s="236"/>
      <c r="D11955" s="236"/>
    </row>
    <row r="11956" spans="2:4" ht="12.75" customHeight="1" x14ac:dyDescent="0.2">
      <c r="B11956" s="236"/>
      <c r="C11956" s="236"/>
      <c r="D11956" s="236"/>
    </row>
    <row r="11957" spans="2:4" ht="12.75" customHeight="1" x14ac:dyDescent="0.2">
      <c r="B11957" s="236"/>
      <c r="C11957" s="236"/>
      <c r="D11957" s="236"/>
    </row>
    <row r="11958" spans="2:4" ht="12.75" customHeight="1" x14ac:dyDescent="0.2">
      <c r="B11958" s="236"/>
      <c r="C11958" s="236"/>
      <c r="D11958" s="236"/>
    </row>
    <row r="11959" spans="2:4" ht="12.75" customHeight="1" x14ac:dyDescent="0.2">
      <c r="B11959" s="236"/>
      <c r="C11959" s="236"/>
      <c r="D11959" s="236"/>
    </row>
    <row r="11960" spans="2:4" ht="12.75" customHeight="1" x14ac:dyDescent="0.2">
      <c r="B11960" s="236"/>
      <c r="C11960" s="236"/>
      <c r="D11960" s="236"/>
    </row>
    <row r="11961" spans="2:4" ht="12.75" customHeight="1" x14ac:dyDescent="0.2">
      <c r="B11961" s="236"/>
      <c r="C11961" s="236"/>
      <c r="D11961" s="236"/>
    </row>
    <row r="11962" spans="2:4" ht="12.75" customHeight="1" x14ac:dyDescent="0.2">
      <c r="B11962" s="236"/>
      <c r="C11962" s="236"/>
      <c r="D11962" s="236"/>
    </row>
    <row r="11963" spans="2:4" x14ac:dyDescent="0.2">
      <c r="B11963" s="236"/>
      <c r="C11963" s="236"/>
      <c r="D11963" s="236"/>
    </row>
    <row r="11964" spans="2:4" ht="12.75" customHeight="1" x14ac:dyDescent="0.2">
      <c r="B11964" s="236"/>
      <c r="C11964" s="236"/>
      <c r="D11964" s="236"/>
    </row>
    <row r="11965" spans="2:4" x14ac:dyDescent="0.2">
      <c r="B11965" s="236"/>
      <c r="C11965" s="236"/>
      <c r="D11965" s="236"/>
    </row>
    <row r="11966" spans="2:4" ht="12.75" customHeight="1" x14ac:dyDescent="0.2">
      <c r="B11966" s="236"/>
      <c r="C11966" s="236"/>
      <c r="D11966" s="236"/>
    </row>
    <row r="11967" spans="2:4" x14ac:dyDescent="0.2">
      <c r="B11967" s="236"/>
      <c r="C11967" s="236"/>
      <c r="D11967" s="236"/>
    </row>
    <row r="11968" spans="2:4" ht="12.75" customHeight="1" x14ac:dyDescent="0.2">
      <c r="B11968" s="236"/>
      <c r="C11968" s="236"/>
      <c r="D11968" s="236"/>
    </row>
    <row r="11969" spans="2:4" ht="12.75" customHeight="1" x14ac:dyDescent="0.2">
      <c r="B11969" s="236"/>
      <c r="C11969" s="236"/>
      <c r="D11969" s="236"/>
    </row>
    <row r="11970" spans="2:4" ht="12.75" customHeight="1" x14ac:dyDescent="0.2">
      <c r="B11970" s="236"/>
      <c r="C11970" s="236"/>
      <c r="D11970" s="236"/>
    </row>
    <row r="11971" spans="2:4" x14ac:dyDescent="0.2">
      <c r="B11971" s="236"/>
      <c r="C11971" s="236"/>
      <c r="D11971" s="236"/>
    </row>
    <row r="11972" spans="2:4" ht="12.75" customHeight="1" x14ac:dyDescent="0.2">
      <c r="B11972" s="236"/>
      <c r="C11972" s="236"/>
      <c r="D11972" s="236"/>
    </row>
    <row r="11973" spans="2:4" x14ac:dyDescent="0.2">
      <c r="B11973" s="236"/>
      <c r="C11973" s="236"/>
      <c r="D11973" s="236"/>
    </row>
    <row r="11974" spans="2:4" ht="12.75" customHeight="1" x14ac:dyDescent="0.2">
      <c r="B11974" s="236"/>
      <c r="C11974" s="236"/>
      <c r="D11974" s="236"/>
    </row>
    <row r="11975" spans="2:4" ht="12.75" customHeight="1" x14ac:dyDescent="0.2">
      <c r="B11975" s="236"/>
      <c r="C11975" s="236"/>
      <c r="D11975" s="236"/>
    </row>
    <row r="11976" spans="2:4" ht="12.75" customHeight="1" x14ac:dyDescent="0.2">
      <c r="B11976" s="236"/>
      <c r="C11976" s="236"/>
      <c r="D11976" s="236"/>
    </row>
    <row r="11977" spans="2:4" ht="12.75" customHeight="1" x14ac:dyDescent="0.2">
      <c r="B11977" s="236"/>
      <c r="C11977" s="236"/>
      <c r="D11977" s="236"/>
    </row>
    <row r="11978" spans="2:4" ht="12.75" customHeight="1" x14ac:dyDescent="0.2">
      <c r="B11978" s="236"/>
      <c r="C11978" s="236"/>
      <c r="D11978" s="236"/>
    </row>
    <row r="11979" spans="2:4" ht="12.75" customHeight="1" x14ac:dyDescent="0.2">
      <c r="B11979" s="236"/>
      <c r="C11979" s="236"/>
      <c r="D11979" s="236"/>
    </row>
    <row r="11980" spans="2:4" ht="12.75" customHeight="1" x14ac:dyDescent="0.2">
      <c r="B11980" s="236"/>
      <c r="C11980" s="236"/>
      <c r="D11980" s="236"/>
    </row>
    <row r="11981" spans="2:4" ht="12.75" customHeight="1" x14ac:dyDescent="0.2">
      <c r="B11981" s="236"/>
      <c r="C11981" s="236"/>
      <c r="D11981" s="236"/>
    </row>
    <row r="11982" spans="2:4" ht="12.75" customHeight="1" x14ac:dyDescent="0.2">
      <c r="B11982" s="236"/>
      <c r="C11982" s="236"/>
      <c r="D11982" s="236"/>
    </row>
    <row r="11983" spans="2:4" ht="12.75" customHeight="1" x14ac:dyDescent="0.2">
      <c r="B11983" s="236"/>
      <c r="C11983" s="236"/>
      <c r="D11983" s="236"/>
    </row>
    <row r="11984" spans="2:4" ht="12.75" customHeight="1" x14ac:dyDescent="0.2">
      <c r="B11984" s="236"/>
      <c r="C11984" s="236"/>
      <c r="D11984" s="236"/>
    </row>
    <row r="11985" spans="2:4" ht="12.75" customHeight="1" x14ac:dyDescent="0.2">
      <c r="B11985" s="236"/>
      <c r="C11985" s="236"/>
      <c r="D11985" s="236"/>
    </row>
    <row r="11986" spans="2:4" x14ac:dyDescent="0.2">
      <c r="B11986" s="236"/>
      <c r="C11986" s="236"/>
      <c r="D11986" s="236"/>
    </row>
    <row r="11987" spans="2:4" ht="12.75" customHeight="1" x14ac:dyDescent="0.2">
      <c r="B11987" s="236"/>
      <c r="C11987" s="236"/>
      <c r="D11987" s="236"/>
    </row>
    <row r="11988" spans="2:4" x14ac:dyDescent="0.2">
      <c r="B11988" s="236"/>
      <c r="C11988" s="236"/>
      <c r="D11988" s="236"/>
    </row>
    <row r="11989" spans="2:4" ht="12.75" customHeight="1" x14ac:dyDescent="0.2">
      <c r="B11989" s="236"/>
      <c r="C11989" s="236"/>
      <c r="D11989" s="236"/>
    </row>
    <row r="11990" spans="2:4" ht="12.75" customHeight="1" x14ac:dyDescent="0.2">
      <c r="B11990" s="236"/>
      <c r="C11990" s="236"/>
      <c r="D11990" s="236"/>
    </row>
    <row r="11991" spans="2:4" ht="12.75" customHeight="1" x14ac:dyDescent="0.2">
      <c r="B11991" s="236"/>
      <c r="C11991" s="236"/>
      <c r="D11991" s="236"/>
    </row>
    <row r="11992" spans="2:4" x14ac:dyDescent="0.2">
      <c r="B11992" s="236"/>
      <c r="C11992" s="236"/>
      <c r="D11992" s="236"/>
    </row>
    <row r="11993" spans="2:4" ht="12.75" customHeight="1" x14ac:dyDescent="0.2">
      <c r="B11993" s="236"/>
      <c r="C11993" s="236"/>
      <c r="D11993" s="236"/>
    </row>
    <row r="11994" spans="2:4" x14ac:dyDescent="0.2">
      <c r="B11994" s="236"/>
      <c r="C11994" s="236"/>
      <c r="D11994" s="236"/>
    </row>
    <row r="11995" spans="2:4" ht="12.75" customHeight="1" x14ac:dyDescent="0.2">
      <c r="B11995" s="236"/>
      <c r="C11995" s="236"/>
      <c r="D11995" s="236"/>
    </row>
    <row r="11996" spans="2:4" x14ac:dyDescent="0.2">
      <c r="B11996" s="236"/>
      <c r="C11996" s="236"/>
      <c r="D11996" s="236"/>
    </row>
    <row r="11997" spans="2:4" x14ac:dyDescent="0.2">
      <c r="B11997" s="236"/>
      <c r="C11997" s="236"/>
      <c r="D11997" s="236"/>
    </row>
    <row r="11998" spans="2:4" ht="12.75" customHeight="1" x14ac:dyDescent="0.2">
      <c r="B11998" s="236"/>
      <c r="C11998" s="236"/>
      <c r="D11998" s="236"/>
    </row>
    <row r="11999" spans="2:4" ht="12.75" customHeight="1" x14ac:dyDescent="0.2">
      <c r="B11999" s="236"/>
      <c r="C11999" s="236"/>
      <c r="D11999" s="236"/>
    </row>
    <row r="12000" spans="2:4" x14ac:dyDescent="0.2">
      <c r="B12000" s="236"/>
      <c r="C12000" s="236"/>
      <c r="D12000" s="236"/>
    </row>
    <row r="12001" spans="2:4" ht="12.75" customHeight="1" x14ac:dyDescent="0.2">
      <c r="B12001" s="236"/>
      <c r="C12001" s="236"/>
      <c r="D12001" s="236"/>
    </row>
    <row r="12002" spans="2:4" ht="12.75" customHeight="1" x14ac:dyDescent="0.2">
      <c r="B12002" s="236"/>
      <c r="C12002" s="236"/>
      <c r="D12002" s="236"/>
    </row>
    <row r="12003" spans="2:4" ht="12.75" customHeight="1" x14ac:dyDescent="0.2">
      <c r="B12003" s="236"/>
      <c r="C12003" s="236"/>
      <c r="D12003" s="236"/>
    </row>
    <row r="12004" spans="2:4" ht="12.75" customHeight="1" x14ac:dyDescent="0.2">
      <c r="B12004" s="236"/>
      <c r="C12004" s="236"/>
      <c r="D12004" s="236"/>
    </row>
    <row r="12005" spans="2:4" ht="12.75" customHeight="1" x14ac:dyDescent="0.2">
      <c r="B12005" s="236"/>
      <c r="C12005" s="236"/>
      <c r="D12005" s="236"/>
    </row>
    <row r="12006" spans="2:4" x14ac:dyDescent="0.2">
      <c r="B12006" s="236"/>
      <c r="C12006" s="236"/>
      <c r="D12006" s="236"/>
    </row>
    <row r="12007" spans="2:4" ht="12.75" customHeight="1" x14ac:dyDescent="0.2">
      <c r="B12007" s="236"/>
      <c r="C12007" s="236"/>
      <c r="D12007" s="236"/>
    </row>
    <row r="12008" spans="2:4" ht="12.75" customHeight="1" x14ac:dyDescent="0.2">
      <c r="B12008" s="236"/>
      <c r="C12008" s="236"/>
      <c r="D12008" s="236"/>
    </row>
    <row r="12009" spans="2:4" ht="12.75" customHeight="1" x14ac:dyDescent="0.2">
      <c r="B12009" s="236"/>
      <c r="C12009" s="236"/>
      <c r="D12009" s="236"/>
    </row>
    <row r="12010" spans="2:4" ht="12.75" customHeight="1" x14ac:dyDescent="0.2">
      <c r="B12010" s="236"/>
      <c r="C12010" s="236"/>
      <c r="D12010" s="236"/>
    </row>
    <row r="12011" spans="2:4" ht="12.75" customHeight="1" x14ac:dyDescent="0.2">
      <c r="B12011" s="236"/>
      <c r="C12011" s="236"/>
      <c r="D12011" s="236"/>
    </row>
    <row r="12012" spans="2:4" x14ac:dyDescent="0.2">
      <c r="B12012" s="236"/>
      <c r="C12012" s="236"/>
      <c r="D12012" s="236"/>
    </row>
    <row r="12013" spans="2:4" x14ac:dyDescent="0.2">
      <c r="B12013" s="236"/>
      <c r="C12013" s="236"/>
      <c r="D12013" s="236"/>
    </row>
    <row r="12014" spans="2:4" ht="12.75" customHeight="1" x14ac:dyDescent="0.2">
      <c r="B12014" s="236"/>
      <c r="C12014" s="236"/>
      <c r="D12014" s="236"/>
    </row>
    <row r="12015" spans="2:4" x14ac:dyDescent="0.2">
      <c r="B12015" s="236"/>
      <c r="C12015" s="236"/>
      <c r="D12015" s="236"/>
    </row>
    <row r="12016" spans="2:4" x14ac:dyDescent="0.2">
      <c r="B12016" s="236"/>
      <c r="C12016" s="236"/>
      <c r="D12016" s="236"/>
    </row>
    <row r="12017" spans="2:4" x14ac:dyDescent="0.2">
      <c r="B12017" s="236"/>
      <c r="C12017" s="236"/>
      <c r="D12017" s="236"/>
    </row>
    <row r="12018" spans="2:4" x14ac:dyDescent="0.2">
      <c r="B12018" s="236"/>
      <c r="C12018" s="236"/>
      <c r="D12018" s="236"/>
    </row>
    <row r="12019" spans="2:4" x14ac:dyDescent="0.2">
      <c r="B12019" s="236"/>
      <c r="C12019" s="236"/>
      <c r="D12019" s="236"/>
    </row>
    <row r="12020" spans="2:4" ht="12.75" customHeight="1" x14ac:dyDescent="0.2">
      <c r="B12020" s="236"/>
      <c r="C12020" s="236"/>
      <c r="D12020" s="236"/>
    </row>
    <row r="12021" spans="2:4" x14ac:dyDescent="0.2">
      <c r="B12021" s="236"/>
      <c r="C12021" s="236"/>
      <c r="D12021" s="236"/>
    </row>
    <row r="12022" spans="2:4" ht="12.75" customHeight="1" x14ac:dyDescent="0.2">
      <c r="B12022" s="236"/>
      <c r="C12022" s="236"/>
      <c r="D12022" s="236"/>
    </row>
    <row r="12023" spans="2:4" ht="12.75" customHeight="1" x14ac:dyDescent="0.2">
      <c r="B12023" s="236"/>
      <c r="C12023" s="236"/>
      <c r="D12023" s="236"/>
    </row>
    <row r="12024" spans="2:4" ht="12.75" customHeight="1" x14ac:dyDescent="0.2">
      <c r="B12024" s="236"/>
      <c r="C12024" s="236"/>
      <c r="D12024" s="236"/>
    </row>
    <row r="12025" spans="2:4" ht="12.75" customHeight="1" x14ac:dyDescent="0.2">
      <c r="B12025" s="236"/>
      <c r="C12025" s="236"/>
      <c r="D12025" s="236"/>
    </row>
    <row r="12026" spans="2:4" ht="12.75" customHeight="1" x14ac:dyDescent="0.2">
      <c r="B12026" s="236"/>
      <c r="C12026" s="236"/>
      <c r="D12026" s="236"/>
    </row>
    <row r="12027" spans="2:4" x14ac:dyDescent="0.2">
      <c r="B12027" s="236"/>
      <c r="C12027" s="236"/>
      <c r="D12027" s="236"/>
    </row>
    <row r="12028" spans="2:4" ht="12.75" customHeight="1" x14ac:dyDescent="0.2">
      <c r="B12028" s="236"/>
      <c r="C12028" s="236"/>
      <c r="D12028" s="236"/>
    </row>
    <row r="12029" spans="2:4" ht="12.75" customHeight="1" x14ac:dyDescent="0.2">
      <c r="B12029" s="236"/>
      <c r="C12029" s="236"/>
      <c r="D12029" s="236"/>
    </row>
    <row r="12030" spans="2:4" ht="12.75" customHeight="1" x14ac:dyDescent="0.2">
      <c r="B12030" s="236"/>
      <c r="C12030" s="236"/>
      <c r="D12030" s="236"/>
    </row>
    <row r="12031" spans="2:4" ht="12.75" customHeight="1" x14ac:dyDescent="0.2">
      <c r="B12031" s="236"/>
      <c r="C12031" s="236"/>
      <c r="D12031" s="236"/>
    </row>
    <row r="12032" spans="2:4" ht="12.75" customHeight="1" x14ac:dyDescent="0.2">
      <c r="B12032" s="236"/>
      <c r="C12032" s="236"/>
      <c r="D12032" s="236"/>
    </row>
    <row r="12033" spans="2:4" ht="12.75" customHeight="1" x14ac:dyDescent="0.2">
      <c r="B12033" s="236"/>
      <c r="C12033" s="236"/>
      <c r="D12033" s="236"/>
    </row>
    <row r="12034" spans="2:4" ht="12.75" customHeight="1" x14ac:dyDescent="0.2">
      <c r="B12034" s="236"/>
      <c r="C12034" s="236"/>
      <c r="D12034" s="236"/>
    </row>
    <row r="12035" spans="2:4" ht="12.75" customHeight="1" x14ac:dyDescent="0.2">
      <c r="B12035" s="236"/>
      <c r="C12035" s="236"/>
      <c r="D12035" s="236"/>
    </row>
    <row r="12036" spans="2:4" ht="12.75" customHeight="1" x14ac:dyDescent="0.2">
      <c r="B12036" s="236"/>
      <c r="C12036" s="236"/>
      <c r="D12036" s="236"/>
    </row>
    <row r="12037" spans="2:4" ht="12.75" customHeight="1" x14ac:dyDescent="0.2">
      <c r="B12037" s="236"/>
      <c r="C12037" s="236"/>
      <c r="D12037" s="236"/>
    </row>
    <row r="12038" spans="2:4" x14ac:dyDescent="0.2">
      <c r="B12038" s="236"/>
      <c r="C12038" s="236"/>
      <c r="D12038" s="236"/>
    </row>
    <row r="12039" spans="2:4" ht="12.75" customHeight="1" x14ac:dyDescent="0.2">
      <c r="B12039" s="236"/>
      <c r="C12039" s="236"/>
      <c r="D12039" s="236"/>
    </row>
    <row r="12040" spans="2:4" ht="12.75" customHeight="1" x14ac:dyDescent="0.2">
      <c r="B12040" s="236"/>
      <c r="C12040" s="236"/>
      <c r="D12040" s="236"/>
    </row>
    <row r="12041" spans="2:4" ht="12.75" customHeight="1" x14ac:dyDescent="0.2">
      <c r="B12041" s="236"/>
      <c r="C12041" s="236"/>
      <c r="D12041" s="236"/>
    </row>
    <row r="12042" spans="2:4" ht="12.75" customHeight="1" x14ac:dyDescent="0.2">
      <c r="B12042" s="236"/>
      <c r="C12042" s="236"/>
      <c r="D12042" s="236"/>
    </row>
    <row r="12043" spans="2:4" ht="12.75" customHeight="1" x14ac:dyDescent="0.2">
      <c r="B12043" s="236"/>
      <c r="C12043" s="236"/>
      <c r="D12043" s="236"/>
    </row>
    <row r="12044" spans="2:4" ht="12.75" customHeight="1" x14ac:dyDescent="0.2">
      <c r="B12044" s="236"/>
      <c r="C12044" s="236"/>
      <c r="D12044" s="236"/>
    </row>
    <row r="12045" spans="2:4" ht="12.75" customHeight="1" x14ac:dyDescent="0.2">
      <c r="B12045" s="236"/>
      <c r="C12045" s="236"/>
      <c r="D12045" s="236"/>
    </row>
    <row r="12046" spans="2:4" ht="12.75" customHeight="1" x14ac:dyDescent="0.2">
      <c r="B12046" s="236"/>
      <c r="C12046" s="236"/>
      <c r="D12046" s="236"/>
    </row>
    <row r="12047" spans="2:4" ht="12.75" customHeight="1" x14ac:dyDescent="0.2">
      <c r="B12047" s="236"/>
      <c r="C12047" s="236"/>
      <c r="D12047" s="236"/>
    </row>
    <row r="12048" spans="2:4" ht="12.75" customHeight="1" x14ac:dyDescent="0.2">
      <c r="B12048" s="236"/>
      <c r="C12048" s="236"/>
      <c r="D12048" s="236"/>
    </row>
    <row r="12049" spans="2:4" ht="12.75" customHeight="1" x14ac:dyDescent="0.2">
      <c r="B12049" s="236"/>
      <c r="C12049" s="236"/>
      <c r="D12049" s="236"/>
    </row>
    <row r="12050" spans="2:4" ht="12.75" customHeight="1" x14ac:dyDescent="0.2">
      <c r="B12050" s="236"/>
      <c r="C12050" s="236"/>
      <c r="D12050" s="236"/>
    </row>
    <row r="12051" spans="2:4" ht="12.75" customHeight="1" x14ac:dyDescent="0.2">
      <c r="B12051" s="236"/>
      <c r="C12051" s="236"/>
      <c r="D12051" s="236"/>
    </row>
    <row r="12052" spans="2:4" ht="12.75" customHeight="1" x14ac:dyDescent="0.2">
      <c r="B12052" s="236"/>
      <c r="C12052" s="236"/>
      <c r="D12052" s="236"/>
    </row>
    <row r="12053" spans="2:4" ht="12.75" customHeight="1" x14ac:dyDescent="0.2">
      <c r="B12053" s="236"/>
      <c r="C12053" s="236"/>
      <c r="D12053" s="236"/>
    </row>
    <row r="12054" spans="2:4" x14ac:dyDescent="0.2">
      <c r="B12054" s="236"/>
      <c r="C12054" s="236"/>
      <c r="D12054" s="236"/>
    </row>
    <row r="12055" spans="2:4" ht="12.75" customHeight="1" x14ac:dyDescent="0.2">
      <c r="B12055" s="236"/>
      <c r="C12055" s="236"/>
      <c r="D12055" s="236"/>
    </row>
    <row r="12056" spans="2:4" ht="12.75" customHeight="1" x14ac:dyDescent="0.2">
      <c r="B12056" s="236"/>
      <c r="C12056" s="236"/>
      <c r="D12056" s="236"/>
    </row>
    <row r="12057" spans="2:4" ht="12.75" customHeight="1" x14ac:dyDescent="0.2">
      <c r="B12057" s="236"/>
      <c r="C12057" s="236"/>
      <c r="D12057" s="236"/>
    </row>
    <row r="12058" spans="2:4" ht="12.75" customHeight="1" x14ac:dyDescent="0.2">
      <c r="B12058" s="236"/>
      <c r="C12058" s="236"/>
      <c r="D12058" s="236"/>
    </row>
    <row r="12059" spans="2:4" ht="12.75" customHeight="1" x14ac:dyDescent="0.2">
      <c r="B12059" s="236"/>
      <c r="C12059" s="236"/>
      <c r="D12059" s="236"/>
    </row>
    <row r="12060" spans="2:4" ht="12.75" customHeight="1" x14ac:dyDescent="0.2">
      <c r="B12060" s="236"/>
      <c r="C12060" s="236"/>
      <c r="D12060" s="236"/>
    </row>
    <row r="12061" spans="2:4" ht="12.75" customHeight="1" x14ac:dyDescent="0.2">
      <c r="B12061" s="236"/>
      <c r="C12061" s="236"/>
      <c r="D12061" s="236"/>
    </row>
    <row r="12062" spans="2:4" ht="12.75" customHeight="1" x14ac:dyDescent="0.2">
      <c r="B12062" s="236"/>
      <c r="C12062" s="236"/>
      <c r="D12062" s="236"/>
    </row>
    <row r="12063" spans="2:4" ht="12.75" customHeight="1" x14ac:dyDescent="0.2">
      <c r="B12063" s="236"/>
      <c r="C12063" s="236"/>
      <c r="D12063" s="236"/>
    </row>
    <row r="12064" spans="2:4" ht="12.75" customHeight="1" x14ac:dyDescent="0.2">
      <c r="B12064" s="236"/>
      <c r="C12064" s="236"/>
      <c r="D12064" s="236"/>
    </row>
    <row r="12065" spans="2:4" ht="12.75" customHeight="1" x14ac:dyDescent="0.2">
      <c r="B12065" s="236"/>
      <c r="C12065" s="236"/>
      <c r="D12065" s="236"/>
    </row>
    <row r="12066" spans="2:4" ht="12.75" customHeight="1" x14ac:dyDescent="0.2">
      <c r="B12066" s="236"/>
      <c r="C12066" s="236"/>
      <c r="D12066" s="236"/>
    </row>
    <row r="12067" spans="2:4" x14ac:dyDescent="0.2">
      <c r="B12067" s="236"/>
      <c r="C12067" s="236"/>
      <c r="D12067" s="236"/>
    </row>
    <row r="12068" spans="2:4" ht="12.75" customHeight="1" x14ac:dyDescent="0.2">
      <c r="B12068" s="236"/>
      <c r="C12068" s="236"/>
      <c r="D12068" s="236"/>
    </row>
    <row r="12069" spans="2:4" ht="12.75" customHeight="1" x14ac:dyDescent="0.2">
      <c r="B12069" s="236"/>
      <c r="C12069" s="236"/>
      <c r="D12069" s="236"/>
    </row>
    <row r="12070" spans="2:4" ht="12.75" customHeight="1" x14ac:dyDescent="0.2">
      <c r="B12070" s="236"/>
      <c r="C12070" s="236"/>
      <c r="D12070" s="236"/>
    </row>
    <row r="12071" spans="2:4" ht="12.75" customHeight="1" x14ac:dyDescent="0.2">
      <c r="B12071" s="236"/>
      <c r="C12071" s="236"/>
      <c r="D12071" s="236"/>
    </row>
    <row r="12072" spans="2:4" ht="12.75" customHeight="1" x14ac:dyDescent="0.2">
      <c r="B12072" s="236"/>
      <c r="C12072" s="236"/>
      <c r="D12072" s="236"/>
    </row>
    <row r="12073" spans="2:4" ht="12.75" customHeight="1" x14ac:dyDescent="0.2">
      <c r="B12073" s="236"/>
      <c r="C12073" s="236"/>
      <c r="D12073" s="236"/>
    </row>
    <row r="12074" spans="2:4" ht="12.75" customHeight="1" x14ac:dyDescent="0.2">
      <c r="B12074" s="236"/>
      <c r="C12074" s="236"/>
      <c r="D12074" s="236"/>
    </row>
    <row r="12075" spans="2:4" ht="12.75" customHeight="1" x14ac:dyDescent="0.2">
      <c r="B12075" s="236"/>
      <c r="C12075" s="236"/>
      <c r="D12075" s="236"/>
    </row>
    <row r="12076" spans="2:4" ht="12.75" customHeight="1" x14ac:dyDescent="0.2">
      <c r="B12076" s="236"/>
      <c r="C12076" s="236"/>
      <c r="D12076" s="236"/>
    </row>
    <row r="12077" spans="2:4" ht="12.75" customHeight="1" x14ac:dyDescent="0.2">
      <c r="B12077" s="236"/>
      <c r="C12077" s="236"/>
      <c r="D12077" s="236"/>
    </row>
    <row r="12078" spans="2:4" x14ac:dyDescent="0.2">
      <c r="B12078" s="236"/>
      <c r="C12078" s="236"/>
      <c r="D12078" s="236"/>
    </row>
    <row r="12079" spans="2:4" ht="12.75" customHeight="1" x14ac:dyDescent="0.2">
      <c r="B12079" s="236"/>
      <c r="C12079" s="236"/>
      <c r="D12079" s="236"/>
    </row>
    <row r="12080" spans="2:4" ht="12.75" customHeight="1" x14ac:dyDescent="0.2">
      <c r="B12080" s="236"/>
      <c r="C12080" s="236"/>
      <c r="D12080" s="236"/>
    </row>
    <row r="12081" spans="2:4" ht="12.75" customHeight="1" x14ac:dyDescent="0.2">
      <c r="B12081" s="236"/>
      <c r="C12081" s="236"/>
      <c r="D12081" s="236"/>
    </row>
    <row r="12082" spans="2:4" ht="12.75" customHeight="1" x14ac:dyDescent="0.2">
      <c r="B12082" s="236"/>
      <c r="C12082" s="236"/>
      <c r="D12082" s="236"/>
    </row>
    <row r="12083" spans="2:4" x14ac:dyDescent="0.2">
      <c r="B12083" s="236"/>
      <c r="C12083" s="236"/>
      <c r="D12083" s="236"/>
    </row>
    <row r="12084" spans="2:4" ht="12.75" customHeight="1" x14ac:dyDescent="0.2">
      <c r="B12084" s="236"/>
      <c r="C12084" s="236"/>
      <c r="D12084" s="236"/>
    </row>
    <row r="12085" spans="2:4" ht="12.75" customHeight="1" x14ac:dyDescent="0.2">
      <c r="B12085" s="236"/>
      <c r="C12085" s="236"/>
      <c r="D12085" s="236"/>
    </row>
    <row r="12086" spans="2:4" ht="12.75" customHeight="1" x14ac:dyDescent="0.2">
      <c r="B12086" s="236"/>
      <c r="C12086" s="236"/>
      <c r="D12086" s="236"/>
    </row>
    <row r="12087" spans="2:4" ht="12.75" customHeight="1" x14ac:dyDescent="0.2">
      <c r="B12087" s="236"/>
      <c r="C12087" s="236"/>
      <c r="D12087" s="236"/>
    </row>
    <row r="12088" spans="2:4" ht="12.75" customHeight="1" x14ac:dyDescent="0.2">
      <c r="B12088" s="236"/>
      <c r="C12088" s="236"/>
      <c r="D12088" s="236"/>
    </row>
    <row r="12089" spans="2:4" x14ac:dyDescent="0.2">
      <c r="B12089" s="236"/>
      <c r="C12089" s="236"/>
      <c r="D12089" s="236"/>
    </row>
    <row r="12090" spans="2:4" ht="12.75" customHeight="1" x14ac:dyDescent="0.2">
      <c r="B12090" s="236"/>
      <c r="C12090" s="236"/>
      <c r="D12090" s="236"/>
    </row>
    <row r="12091" spans="2:4" ht="12.75" customHeight="1" x14ac:dyDescent="0.2">
      <c r="B12091" s="236"/>
      <c r="C12091" s="236"/>
      <c r="D12091" s="236"/>
    </row>
    <row r="12092" spans="2:4" ht="12.75" customHeight="1" x14ac:dyDescent="0.2">
      <c r="B12092" s="236"/>
      <c r="C12092" s="236"/>
      <c r="D12092" s="236"/>
    </row>
    <row r="12093" spans="2:4" ht="12.75" customHeight="1" x14ac:dyDescent="0.2">
      <c r="B12093" s="236"/>
      <c r="C12093" s="236"/>
      <c r="D12093" s="236"/>
    </row>
    <row r="12094" spans="2:4" x14ac:dyDescent="0.2">
      <c r="B12094" s="236"/>
      <c r="C12094" s="236"/>
      <c r="D12094" s="236"/>
    </row>
    <row r="12095" spans="2:4" ht="12.75" customHeight="1" x14ac:dyDescent="0.2">
      <c r="B12095" s="236"/>
      <c r="C12095" s="236"/>
      <c r="D12095" s="236"/>
    </row>
    <row r="12096" spans="2:4" x14ac:dyDescent="0.2">
      <c r="B12096" s="236"/>
      <c r="C12096" s="236"/>
      <c r="D12096" s="236"/>
    </row>
    <row r="12097" spans="2:4" ht="12.75" customHeight="1" x14ac:dyDescent="0.2">
      <c r="B12097" s="236"/>
      <c r="C12097" s="236"/>
      <c r="D12097" s="236"/>
    </row>
    <row r="12098" spans="2:4" ht="12.75" customHeight="1" x14ac:dyDescent="0.2">
      <c r="B12098" s="236"/>
      <c r="C12098" s="236"/>
      <c r="D12098" s="236"/>
    </row>
    <row r="12099" spans="2:4" ht="12.75" customHeight="1" x14ac:dyDescent="0.2">
      <c r="B12099" s="236"/>
      <c r="C12099" s="236"/>
      <c r="D12099" s="236"/>
    </row>
    <row r="12100" spans="2:4" ht="12.75" customHeight="1" x14ac:dyDescent="0.2">
      <c r="B12100" s="236"/>
      <c r="C12100" s="236"/>
      <c r="D12100" s="236"/>
    </row>
    <row r="12101" spans="2:4" ht="12.75" customHeight="1" x14ac:dyDescent="0.2">
      <c r="B12101" s="236"/>
      <c r="C12101" s="236"/>
      <c r="D12101" s="236"/>
    </row>
    <row r="12102" spans="2:4" ht="12.75" customHeight="1" x14ac:dyDescent="0.2">
      <c r="B12102" s="236"/>
      <c r="C12102" s="236"/>
      <c r="D12102" s="236"/>
    </row>
    <row r="12103" spans="2:4" ht="12.75" customHeight="1" x14ac:dyDescent="0.2">
      <c r="B12103" s="236"/>
      <c r="C12103" s="236"/>
      <c r="D12103" s="236"/>
    </row>
    <row r="12104" spans="2:4" ht="12.75" customHeight="1" x14ac:dyDescent="0.2">
      <c r="B12104" s="236"/>
      <c r="C12104" s="236"/>
      <c r="D12104" s="236"/>
    </row>
    <row r="12105" spans="2:4" ht="12.75" customHeight="1" x14ac:dyDescent="0.2">
      <c r="B12105" s="236"/>
      <c r="C12105" s="236"/>
      <c r="D12105" s="236"/>
    </row>
    <row r="12106" spans="2:4" ht="12.75" customHeight="1" x14ac:dyDescent="0.2">
      <c r="B12106" s="236"/>
      <c r="C12106" s="236"/>
      <c r="D12106" s="236"/>
    </row>
    <row r="12107" spans="2:4" ht="12.75" customHeight="1" x14ac:dyDescent="0.2">
      <c r="B12107" s="236"/>
      <c r="C12107" s="236"/>
      <c r="D12107" s="236"/>
    </row>
    <row r="12108" spans="2:4" ht="12.75" customHeight="1" x14ac:dyDescent="0.2">
      <c r="B12108" s="236"/>
      <c r="C12108" s="236"/>
      <c r="D12108" s="236"/>
    </row>
    <row r="12109" spans="2:4" ht="12.75" customHeight="1" x14ac:dyDescent="0.2">
      <c r="B12109" s="236"/>
      <c r="C12109" s="236"/>
      <c r="D12109" s="236"/>
    </row>
    <row r="12110" spans="2:4" x14ac:dyDescent="0.2">
      <c r="B12110" s="236"/>
      <c r="C12110" s="236"/>
      <c r="D12110" s="236"/>
    </row>
    <row r="12111" spans="2:4" x14ac:dyDescent="0.2">
      <c r="B12111" s="236"/>
      <c r="C12111" s="236"/>
      <c r="D12111" s="236"/>
    </row>
    <row r="12112" spans="2:4" ht="12.75" customHeight="1" x14ac:dyDescent="0.2">
      <c r="B12112" s="236"/>
      <c r="C12112" s="236"/>
      <c r="D12112" s="236"/>
    </row>
    <row r="12113" spans="2:4" x14ac:dyDescent="0.2">
      <c r="B12113" s="236"/>
      <c r="C12113" s="236"/>
      <c r="D12113" s="236"/>
    </row>
    <row r="12114" spans="2:4" x14ac:dyDescent="0.2">
      <c r="B12114" s="236"/>
      <c r="C12114" s="236"/>
      <c r="D12114" s="236"/>
    </row>
    <row r="12115" spans="2:4" x14ac:dyDescent="0.2">
      <c r="B12115" s="236"/>
      <c r="C12115" s="236"/>
      <c r="D12115" s="236"/>
    </row>
    <row r="12116" spans="2:4" ht="12.75" customHeight="1" x14ac:dyDescent="0.2">
      <c r="B12116" s="236"/>
      <c r="C12116" s="236"/>
      <c r="D12116" s="236"/>
    </row>
    <row r="12117" spans="2:4" ht="12.75" customHeight="1" x14ac:dyDescent="0.2">
      <c r="B12117" s="236"/>
      <c r="C12117" s="236"/>
      <c r="D12117" s="236"/>
    </row>
    <row r="12118" spans="2:4" ht="12.75" customHeight="1" x14ac:dyDescent="0.2">
      <c r="B12118" s="236"/>
      <c r="C12118" s="236"/>
      <c r="D12118" s="236"/>
    </row>
    <row r="12119" spans="2:4" ht="12.75" customHeight="1" x14ac:dyDescent="0.2">
      <c r="B12119" s="236"/>
      <c r="C12119" s="236"/>
      <c r="D12119" s="236"/>
    </row>
    <row r="12120" spans="2:4" ht="12.75" customHeight="1" x14ac:dyDescent="0.2">
      <c r="B12120" s="236"/>
      <c r="C12120" s="236"/>
      <c r="D12120" s="236"/>
    </row>
    <row r="12121" spans="2:4" ht="12.75" customHeight="1" x14ac:dyDescent="0.2">
      <c r="B12121" s="236"/>
      <c r="C12121" s="236"/>
      <c r="D12121" s="236"/>
    </row>
    <row r="12122" spans="2:4" ht="12.75" customHeight="1" x14ac:dyDescent="0.2">
      <c r="B12122" s="236"/>
      <c r="C12122" s="236"/>
      <c r="D12122" s="236"/>
    </row>
    <row r="12123" spans="2:4" ht="12.75" customHeight="1" x14ac:dyDescent="0.2">
      <c r="B12123" s="236"/>
      <c r="C12123" s="236"/>
      <c r="D12123" s="236"/>
    </row>
    <row r="12124" spans="2:4" ht="12.75" customHeight="1" x14ac:dyDescent="0.2">
      <c r="B12124" s="236"/>
      <c r="C12124" s="236"/>
      <c r="D12124" s="236"/>
    </row>
    <row r="12125" spans="2:4" ht="12.75" customHeight="1" x14ac:dyDescent="0.2">
      <c r="B12125" s="236"/>
      <c r="C12125" s="236"/>
      <c r="D12125" s="236"/>
    </row>
    <row r="12126" spans="2:4" ht="12.75" customHeight="1" x14ac:dyDescent="0.2">
      <c r="B12126" s="236"/>
      <c r="C12126" s="236"/>
      <c r="D12126" s="236"/>
    </row>
    <row r="12127" spans="2:4" ht="12.75" customHeight="1" x14ac:dyDescent="0.2">
      <c r="B12127" s="236"/>
      <c r="C12127" s="236"/>
      <c r="D12127" s="236"/>
    </row>
    <row r="12128" spans="2:4" ht="12.75" customHeight="1" x14ac:dyDescent="0.2">
      <c r="B12128" s="236"/>
      <c r="C12128" s="236"/>
      <c r="D12128" s="236"/>
    </row>
    <row r="12129" spans="2:4" ht="12.75" customHeight="1" x14ac:dyDescent="0.2">
      <c r="B12129" s="236"/>
      <c r="C12129" s="236"/>
      <c r="D12129" s="236"/>
    </row>
    <row r="12130" spans="2:4" ht="12.75" customHeight="1" x14ac:dyDescent="0.2">
      <c r="B12130" s="236"/>
      <c r="C12130" s="236"/>
      <c r="D12130" s="236"/>
    </row>
    <row r="12131" spans="2:4" x14ac:dyDescent="0.2">
      <c r="B12131" s="236"/>
      <c r="C12131" s="236"/>
      <c r="D12131" s="236"/>
    </row>
    <row r="12132" spans="2:4" x14ac:dyDescent="0.2">
      <c r="B12132" s="236"/>
      <c r="C12132" s="236"/>
      <c r="D12132" s="236"/>
    </row>
    <row r="12133" spans="2:4" ht="12.75" customHeight="1" x14ac:dyDescent="0.2">
      <c r="B12133" s="236"/>
      <c r="C12133" s="236"/>
      <c r="D12133" s="236"/>
    </row>
    <row r="12134" spans="2:4" ht="12.75" customHeight="1" x14ac:dyDescent="0.2">
      <c r="B12134" s="236"/>
      <c r="C12134" s="236"/>
      <c r="D12134" s="236"/>
    </row>
    <row r="12135" spans="2:4" x14ac:dyDescent="0.2">
      <c r="B12135" s="236"/>
      <c r="C12135" s="236"/>
      <c r="D12135" s="236"/>
    </row>
    <row r="12136" spans="2:4" ht="12.75" customHeight="1" x14ac:dyDescent="0.2">
      <c r="B12136" s="236"/>
      <c r="C12136" s="236"/>
      <c r="D12136" s="236"/>
    </row>
    <row r="12137" spans="2:4" x14ac:dyDescent="0.2">
      <c r="B12137" s="236"/>
      <c r="C12137" s="236"/>
      <c r="D12137" s="236"/>
    </row>
    <row r="12138" spans="2:4" x14ac:dyDescent="0.2">
      <c r="B12138" s="236"/>
      <c r="C12138" s="236"/>
      <c r="D12138" s="236"/>
    </row>
    <row r="12139" spans="2:4" ht="12.75" customHeight="1" x14ac:dyDescent="0.2">
      <c r="B12139" s="236"/>
      <c r="C12139" s="236"/>
      <c r="D12139" s="236"/>
    </row>
    <row r="12140" spans="2:4" ht="12.75" customHeight="1" x14ac:dyDescent="0.2">
      <c r="B12140" s="236"/>
      <c r="C12140" s="236"/>
      <c r="D12140" s="236"/>
    </row>
    <row r="12141" spans="2:4" ht="12.75" customHeight="1" x14ac:dyDescent="0.2">
      <c r="B12141" s="236"/>
      <c r="C12141" s="236"/>
      <c r="D12141" s="236"/>
    </row>
    <row r="12142" spans="2:4" ht="12.75" customHeight="1" x14ac:dyDescent="0.2">
      <c r="B12142" s="236"/>
      <c r="C12142" s="236"/>
      <c r="D12142" s="236"/>
    </row>
    <row r="12143" spans="2:4" ht="12.75" customHeight="1" x14ac:dyDescent="0.2">
      <c r="B12143" s="236"/>
      <c r="C12143" s="236"/>
      <c r="D12143" s="236"/>
    </row>
    <row r="12144" spans="2:4" ht="12.75" customHeight="1" x14ac:dyDescent="0.2">
      <c r="B12144" s="236"/>
      <c r="C12144" s="236"/>
      <c r="D12144" s="236"/>
    </row>
    <row r="12145" spans="2:4" ht="12.75" customHeight="1" x14ac:dyDescent="0.2">
      <c r="B12145" s="236"/>
      <c r="C12145" s="236"/>
      <c r="D12145" s="236"/>
    </row>
    <row r="12146" spans="2:4" ht="12.75" customHeight="1" x14ac:dyDescent="0.2">
      <c r="B12146" s="236"/>
      <c r="C12146" s="236"/>
      <c r="D12146" s="236"/>
    </row>
    <row r="12147" spans="2:4" ht="12.75" customHeight="1" x14ac:dyDescent="0.2">
      <c r="B12147" s="236"/>
      <c r="C12147" s="236"/>
      <c r="D12147" s="236"/>
    </row>
    <row r="12148" spans="2:4" ht="12.75" customHeight="1" x14ac:dyDescent="0.2">
      <c r="B12148" s="236"/>
      <c r="C12148" s="236"/>
      <c r="D12148" s="236"/>
    </row>
    <row r="12149" spans="2:4" ht="12.75" customHeight="1" x14ac:dyDescent="0.2">
      <c r="B12149" s="236"/>
      <c r="C12149" s="236"/>
      <c r="D12149" s="236"/>
    </row>
    <row r="12150" spans="2:4" ht="12.75" customHeight="1" x14ac:dyDescent="0.2">
      <c r="B12150" s="236"/>
      <c r="C12150" s="236"/>
      <c r="D12150" s="236"/>
    </row>
    <row r="12151" spans="2:4" ht="12.75" customHeight="1" x14ac:dyDescent="0.2">
      <c r="B12151" s="236"/>
      <c r="C12151" s="236"/>
      <c r="D12151" s="236"/>
    </row>
    <row r="12152" spans="2:4" ht="12.75" customHeight="1" x14ac:dyDescent="0.2">
      <c r="B12152" s="236"/>
      <c r="C12152" s="236"/>
      <c r="D12152" s="236"/>
    </row>
    <row r="12153" spans="2:4" ht="12.75" customHeight="1" x14ac:dyDescent="0.2">
      <c r="B12153" s="236"/>
      <c r="C12153" s="236"/>
      <c r="D12153" s="236"/>
    </row>
    <row r="12154" spans="2:4" ht="12.75" customHeight="1" x14ac:dyDescent="0.2">
      <c r="B12154" s="236"/>
      <c r="C12154" s="236"/>
      <c r="D12154" s="236"/>
    </row>
    <row r="12155" spans="2:4" ht="12.75" customHeight="1" x14ac:dyDescent="0.2">
      <c r="B12155" s="236"/>
      <c r="C12155" s="236"/>
      <c r="D12155" s="236"/>
    </row>
    <row r="12156" spans="2:4" ht="12.75" customHeight="1" x14ac:dyDescent="0.2">
      <c r="B12156" s="236"/>
      <c r="C12156" s="236"/>
      <c r="D12156" s="236"/>
    </row>
    <row r="12157" spans="2:4" ht="12.75" customHeight="1" x14ac:dyDescent="0.2">
      <c r="B12157" s="236"/>
      <c r="C12157" s="236"/>
      <c r="D12157" s="236"/>
    </row>
    <row r="12158" spans="2:4" x14ac:dyDescent="0.2">
      <c r="B12158" s="236"/>
      <c r="C12158" s="236"/>
      <c r="D12158" s="236"/>
    </row>
    <row r="12159" spans="2:4" ht="12.75" customHeight="1" x14ac:dyDescent="0.2">
      <c r="B12159" s="236"/>
      <c r="C12159" s="236"/>
      <c r="D12159" s="236"/>
    </row>
    <row r="12160" spans="2:4" x14ac:dyDescent="0.2">
      <c r="B12160" s="236"/>
      <c r="C12160" s="236"/>
      <c r="D12160" s="236"/>
    </row>
    <row r="12161" spans="2:4" ht="12.75" customHeight="1" x14ac:dyDescent="0.2">
      <c r="B12161" s="236"/>
      <c r="C12161" s="236"/>
      <c r="D12161" s="236"/>
    </row>
    <row r="12162" spans="2:4" ht="12.75" customHeight="1" x14ac:dyDescent="0.2">
      <c r="B12162" s="236"/>
      <c r="C12162" s="236"/>
      <c r="D12162" s="236"/>
    </row>
    <row r="12163" spans="2:4" ht="12.75" customHeight="1" x14ac:dyDescent="0.2">
      <c r="B12163" s="236"/>
      <c r="C12163" s="236"/>
      <c r="D12163" s="236"/>
    </row>
    <row r="12164" spans="2:4" ht="12.75" customHeight="1" x14ac:dyDescent="0.2">
      <c r="B12164" s="236"/>
      <c r="C12164" s="236"/>
      <c r="D12164" s="236"/>
    </row>
    <row r="12165" spans="2:4" ht="12.75" customHeight="1" x14ac:dyDescent="0.2">
      <c r="B12165" s="236"/>
      <c r="C12165" s="236"/>
      <c r="D12165" s="236"/>
    </row>
    <row r="12166" spans="2:4" ht="12.75" customHeight="1" x14ac:dyDescent="0.2">
      <c r="B12166" s="236"/>
      <c r="C12166" s="236"/>
      <c r="D12166" s="236"/>
    </row>
    <row r="12167" spans="2:4" ht="12.75" customHeight="1" x14ac:dyDescent="0.2">
      <c r="B12167" s="236"/>
      <c r="C12167" s="236"/>
      <c r="D12167" s="236"/>
    </row>
    <row r="12168" spans="2:4" ht="12.75" customHeight="1" x14ac:dyDescent="0.2">
      <c r="B12168" s="236"/>
      <c r="C12168" s="236"/>
      <c r="D12168" s="236"/>
    </row>
    <row r="12169" spans="2:4" ht="12.75" customHeight="1" x14ac:dyDescent="0.2">
      <c r="B12169" s="236"/>
      <c r="C12169" s="236"/>
      <c r="D12169" s="236"/>
    </row>
    <row r="12170" spans="2:4" ht="12.75" customHeight="1" x14ac:dyDescent="0.2">
      <c r="B12170" s="236"/>
      <c r="C12170" s="236"/>
      <c r="D12170" s="236"/>
    </row>
    <row r="12171" spans="2:4" ht="12.75" customHeight="1" x14ac:dyDescent="0.2">
      <c r="B12171" s="236"/>
      <c r="C12171" s="236"/>
      <c r="D12171" s="236"/>
    </row>
    <row r="12172" spans="2:4" ht="12.75" customHeight="1" x14ac:dyDescent="0.2">
      <c r="B12172" s="236"/>
      <c r="C12172" s="236"/>
      <c r="D12172" s="236"/>
    </row>
    <row r="12173" spans="2:4" ht="12.75" customHeight="1" x14ac:dyDescent="0.2">
      <c r="B12173" s="236"/>
      <c r="C12173" s="236"/>
      <c r="D12173" s="236"/>
    </row>
    <row r="12174" spans="2:4" ht="12.75" customHeight="1" x14ac:dyDescent="0.2">
      <c r="B12174" s="236"/>
      <c r="C12174" s="236"/>
      <c r="D12174" s="236"/>
    </row>
    <row r="12175" spans="2:4" ht="12.75" customHeight="1" x14ac:dyDescent="0.2">
      <c r="B12175" s="236"/>
      <c r="C12175" s="236"/>
      <c r="D12175" s="236"/>
    </row>
    <row r="12176" spans="2:4" ht="12.75" customHeight="1" x14ac:dyDescent="0.2">
      <c r="B12176" s="236"/>
      <c r="C12176" s="236"/>
      <c r="D12176" s="236"/>
    </row>
    <row r="12177" spans="2:4" ht="12.75" customHeight="1" x14ac:dyDescent="0.2">
      <c r="B12177" s="236"/>
      <c r="C12177" s="236"/>
      <c r="D12177" s="236"/>
    </row>
    <row r="12178" spans="2:4" ht="12.75" customHeight="1" x14ac:dyDescent="0.2">
      <c r="B12178" s="236"/>
      <c r="C12178" s="236"/>
      <c r="D12178" s="236"/>
    </row>
    <row r="12179" spans="2:4" x14ac:dyDescent="0.2">
      <c r="B12179" s="236"/>
      <c r="C12179" s="236"/>
      <c r="D12179" s="236"/>
    </row>
    <row r="12180" spans="2:4" ht="12.75" customHeight="1" x14ac:dyDescent="0.2">
      <c r="B12180" s="236"/>
      <c r="C12180" s="236"/>
      <c r="D12180" s="236"/>
    </row>
    <row r="12181" spans="2:4" x14ac:dyDescent="0.2">
      <c r="B12181" s="236"/>
      <c r="C12181" s="236"/>
      <c r="D12181" s="236"/>
    </row>
    <row r="12182" spans="2:4" x14ac:dyDescent="0.2">
      <c r="B12182" s="236"/>
      <c r="C12182" s="236"/>
      <c r="D12182" s="236"/>
    </row>
    <row r="12183" spans="2:4" x14ac:dyDescent="0.2">
      <c r="B12183" s="236"/>
      <c r="C12183" s="236"/>
      <c r="D12183" s="236"/>
    </row>
    <row r="12184" spans="2:4" x14ac:dyDescent="0.2">
      <c r="B12184" s="236"/>
      <c r="C12184" s="236"/>
      <c r="D12184" s="236"/>
    </row>
    <row r="12185" spans="2:4" x14ac:dyDescent="0.2">
      <c r="B12185" s="236"/>
      <c r="C12185" s="236"/>
      <c r="D12185" s="236"/>
    </row>
    <row r="12186" spans="2:4" x14ac:dyDescent="0.2">
      <c r="B12186" s="236"/>
      <c r="C12186" s="236"/>
      <c r="D12186" s="236"/>
    </row>
    <row r="12187" spans="2:4" ht="12.75" customHeight="1" x14ac:dyDescent="0.2">
      <c r="B12187" s="236"/>
      <c r="C12187" s="236"/>
      <c r="D12187" s="236"/>
    </row>
    <row r="12188" spans="2:4" x14ac:dyDescent="0.2">
      <c r="B12188" s="236"/>
      <c r="C12188" s="236"/>
      <c r="D12188" s="236"/>
    </row>
    <row r="12189" spans="2:4" x14ac:dyDescent="0.2">
      <c r="B12189" s="236"/>
      <c r="C12189" s="236"/>
      <c r="D12189" s="236"/>
    </row>
    <row r="12190" spans="2:4" ht="12.75" customHeight="1" x14ac:dyDescent="0.2">
      <c r="B12190" s="236"/>
      <c r="C12190" s="236"/>
      <c r="D12190" s="236"/>
    </row>
    <row r="12191" spans="2:4" ht="12.75" customHeight="1" x14ac:dyDescent="0.2">
      <c r="B12191" s="236"/>
      <c r="C12191" s="236"/>
      <c r="D12191" s="236"/>
    </row>
    <row r="12192" spans="2:4" x14ac:dyDescent="0.2">
      <c r="B12192" s="236"/>
      <c r="C12192" s="236"/>
      <c r="D12192" s="236"/>
    </row>
    <row r="12193" spans="2:4" ht="12.75" customHeight="1" x14ac:dyDescent="0.2">
      <c r="B12193" s="236"/>
      <c r="C12193" s="236"/>
      <c r="D12193" s="236"/>
    </row>
    <row r="12194" spans="2:4" x14ac:dyDescent="0.2">
      <c r="B12194" s="236"/>
      <c r="C12194" s="236"/>
      <c r="D12194" s="236"/>
    </row>
    <row r="12195" spans="2:4" x14ac:dyDescent="0.2">
      <c r="B12195" s="236"/>
      <c r="C12195" s="236"/>
      <c r="D12195" s="236"/>
    </row>
    <row r="12196" spans="2:4" ht="12.75" customHeight="1" x14ac:dyDescent="0.2">
      <c r="B12196" s="236"/>
      <c r="C12196" s="236"/>
      <c r="D12196" s="236"/>
    </row>
    <row r="12197" spans="2:4" ht="12.75" customHeight="1" x14ac:dyDescent="0.2">
      <c r="B12197" s="236"/>
      <c r="C12197" s="236"/>
      <c r="D12197" s="236"/>
    </row>
    <row r="12198" spans="2:4" ht="12.75" customHeight="1" x14ac:dyDescent="0.2">
      <c r="B12198" s="236"/>
      <c r="C12198" s="236"/>
      <c r="D12198" s="236"/>
    </row>
    <row r="12199" spans="2:4" ht="12.75" customHeight="1" x14ac:dyDescent="0.2">
      <c r="B12199" s="236"/>
      <c r="C12199" s="236"/>
      <c r="D12199" s="236"/>
    </row>
    <row r="12200" spans="2:4" ht="12.75" customHeight="1" x14ac:dyDescent="0.2">
      <c r="B12200" s="236"/>
      <c r="C12200" s="236"/>
      <c r="D12200" s="236"/>
    </row>
    <row r="12201" spans="2:4" ht="12.75" customHeight="1" x14ac:dyDescent="0.2">
      <c r="B12201" s="236"/>
      <c r="C12201" s="236"/>
      <c r="D12201" s="236"/>
    </row>
    <row r="12202" spans="2:4" ht="12.75" customHeight="1" x14ac:dyDescent="0.2">
      <c r="B12202" s="236"/>
      <c r="C12202" s="236"/>
      <c r="D12202" s="236"/>
    </row>
    <row r="12203" spans="2:4" ht="12.75" customHeight="1" x14ac:dyDescent="0.2">
      <c r="B12203" s="236"/>
      <c r="C12203" s="236"/>
      <c r="D12203" s="236"/>
    </row>
    <row r="12204" spans="2:4" ht="12.75" customHeight="1" x14ac:dyDescent="0.2">
      <c r="B12204" s="236"/>
      <c r="C12204" s="236"/>
      <c r="D12204" s="236"/>
    </row>
    <row r="12205" spans="2:4" ht="12.75" customHeight="1" x14ac:dyDescent="0.2">
      <c r="B12205" s="236"/>
      <c r="C12205" s="236"/>
      <c r="D12205" s="236"/>
    </row>
    <row r="12206" spans="2:4" ht="12.75" customHeight="1" x14ac:dyDescent="0.2">
      <c r="B12206" s="236"/>
      <c r="C12206" s="236"/>
      <c r="D12206" s="236"/>
    </row>
    <row r="12207" spans="2:4" ht="12.75" customHeight="1" x14ac:dyDescent="0.2">
      <c r="B12207" s="236"/>
      <c r="C12207" s="236"/>
      <c r="D12207" s="236"/>
    </row>
    <row r="12208" spans="2:4" ht="12.75" customHeight="1" x14ac:dyDescent="0.2">
      <c r="B12208" s="236"/>
      <c r="C12208" s="236"/>
      <c r="D12208" s="236"/>
    </row>
    <row r="12209" spans="2:4" x14ac:dyDescent="0.2">
      <c r="B12209" s="236"/>
      <c r="C12209" s="236"/>
      <c r="D12209" s="236"/>
    </row>
    <row r="12210" spans="2:4" x14ac:dyDescent="0.2">
      <c r="B12210" s="236"/>
      <c r="C12210" s="236"/>
      <c r="D12210" s="236"/>
    </row>
    <row r="12211" spans="2:4" ht="12.75" customHeight="1" x14ac:dyDescent="0.2">
      <c r="B12211" s="236"/>
      <c r="C12211" s="236"/>
      <c r="D12211" s="236"/>
    </row>
    <row r="12212" spans="2:4" ht="12.75" customHeight="1" x14ac:dyDescent="0.2">
      <c r="B12212" s="236"/>
      <c r="C12212" s="236"/>
      <c r="D12212" s="236"/>
    </row>
    <row r="12213" spans="2:4" x14ac:dyDescent="0.2">
      <c r="B12213" s="236"/>
      <c r="C12213" s="236"/>
      <c r="D12213" s="236"/>
    </row>
    <row r="12214" spans="2:4" ht="12.75" customHeight="1" x14ac:dyDescent="0.2">
      <c r="B12214" s="236"/>
      <c r="C12214" s="236"/>
      <c r="D12214" s="236"/>
    </row>
    <row r="12215" spans="2:4" x14ac:dyDescent="0.2">
      <c r="B12215" s="236"/>
      <c r="C12215" s="236"/>
      <c r="D12215" s="236"/>
    </row>
    <row r="12216" spans="2:4" x14ac:dyDescent="0.2">
      <c r="B12216" s="236"/>
      <c r="C12216" s="236"/>
      <c r="D12216" s="236"/>
    </row>
    <row r="12217" spans="2:4" ht="12.75" customHeight="1" x14ac:dyDescent="0.2">
      <c r="B12217" s="236"/>
      <c r="C12217" s="236"/>
      <c r="D12217" s="236"/>
    </row>
    <row r="12218" spans="2:4" ht="12.75" customHeight="1" x14ac:dyDescent="0.2">
      <c r="B12218" s="236"/>
      <c r="C12218" s="236"/>
      <c r="D12218" s="236"/>
    </row>
    <row r="12219" spans="2:4" ht="12.75" customHeight="1" x14ac:dyDescent="0.2">
      <c r="B12219" s="236"/>
      <c r="C12219" s="236"/>
      <c r="D12219" s="236"/>
    </row>
    <row r="12220" spans="2:4" ht="12.75" customHeight="1" x14ac:dyDescent="0.2">
      <c r="B12220" s="236"/>
      <c r="C12220" s="236"/>
      <c r="D12220" s="236"/>
    </row>
    <row r="12221" spans="2:4" ht="12.75" customHeight="1" x14ac:dyDescent="0.2">
      <c r="B12221" s="236"/>
      <c r="C12221" s="236"/>
      <c r="D12221" s="236"/>
    </row>
    <row r="12222" spans="2:4" ht="12.75" customHeight="1" x14ac:dyDescent="0.2">
      <c r="B12222" s="236"/>
      <c r="C12222" s="236"/>
      <c r="D12222" s="236"/>
    </row>
    <row r="12223" spans="2:4" ht="12.75" customHeight="1" x14ac:dyDescent="0.2">
      <c r="B12223" s="236"/>
      <c r="C12223" s="236"/>
      <c r="D12223" s="236"/>
    </row>
    <row r="12224" spans="2:4" ht="12.75" customHeight="1" x14ac:dyDescent="0.2">
      <c r="B12224" s="236"/>
      <c r="C12224" s="236"/>
      <c r="D12224" s="236"/>
    </row>
    <row r="12225" spans="2:4" ht="12.75" customHeight="1" x14ac:dyDescent="0.2">
      <c r="B12225" s="236"/>
      <c r="C12225" s="236"/>
      <c r="D12225" s="236"/>
    </row>
    <row r="12226" spans="2:4" ht="12.75" customHeight="1" x14ac:dyDescent="0.2">
      <c r="B12226" s="236"/>
      <c r="C12226" s="236"/>
      <c r="D12226" s="236"/>
    </row>
    <row r="12227" spans="2:4" ht="12.75" customHeight="1" x14ac:dyDescent="0.2">
      <c r="B12227" s="236"/>
      <c r="C12227" s="236"/>
      <c r="D12227" s="236"/>
    </row>
    <row r="12228" spans="2:4" ht="12.75" customHeight="1" x14ac:dyDescent="0.2">
      <c r="B12228" s="236"/>
      <c r="C12228" s="236"/>
      <c r="D12228" s="236"/>
    </row>
    <row r="12229" spans="2:4" ht="12.75" customHeight="1" x14ac:dyDescent="0.2">
      <c r="B12229" s="236"/>
      <c r="C12229" s="236"/>
      <c r="D12229" s="236"/>
    </row>
    <row r="12230" spans="2:4" x14ac:dyDescent="0.2">
      <c r="B12230" s="236"/>
      <c r="C12230" s="236"/>
      <c r="D12230" s="236"/>
    </row>
    <row r="12231" spans="2:4" x14ac:dyDescent="0.2">
      <c r="B12231" s="236"/>
      <c r="C12231" s="236"/>
      <c r="D12231" s="236"/>
    </row>
    <row r="12232" spans="2:4" ht="12.75" customHeight="1" x14ac:dyDescent="0.2">
      <c r="B12232" s="236"/>
      <c r="C12232" s="236"/>
      <c r="D12232" s="236"/>
    </row>
    <row r="12233" spans="2:4" ht="12.75" customHeight="1" x14ac:dyDescent="0.2">
      <c r="B12233" s="236"/>
      <c r="C12233" s="236"/>
      <c r="D12233" s="236"/>
    </row>
    <row r="12234" spans="2:4" x14ac:dyDescent="0.2">
      <c r="B12234" s="236"/>
      <c r="C12234" s="236"/>
      <c r="D12234" s="236"/>
    </row>
    <row r="12235" spans="2:4" ht="12.75" customHeight="1" x14ac:dyDescent="0.2">
      <c r="B12235" s="236"/>
      <c r="C12235" s="236"/>
      <c r="D12235" s="236"/>
    </row>
    <row r="12236" spans="2:4" x14ac:dyDescent="0.2">
      <c r="B12236" s="236"/>
      <c r="C12236" s="236"/>
      <c r="D12236" s="236"/>
    </row>
    <row r="12237" spans="2:4" x14ac:dyDescent="0.2">
      <c r="B12237" s="236"/>
      <c r="C12237" s="236"/>
      <c r="D12237" s="236"/>
    </row>
    <row r="12238" spans="2:4" ht="12.75" customHeight="1" x14ac:dyDescent="0.2">
      <c r="B12238" s="236"/>
      <c r="C12238" s="236"/>
      <c r="D12238" s="236"/>
    </row>
    <row r="12239" spans="2:4" ht="12.75" customHeight="1" x14ac:dyDescent="0.2">
      <c r="B12239" s="236"/>
      <c r="C12239" s="236"/>
      <c r="D12239" s="236"/>
    </row>
    <row r="12240" spans="2:4" ht="12.75" customHeight="1" x14ac:dyDescent="0.2">
      <c r="B12240" s="236"/>
      <c r="C12240" s="236"/>
      <c r="D12240" s="236"/>
    </row>
    <row r="12241" spans="2:4" ht="12.75" customHeight="1" x14ac:dyDescent="0.2">
      <c r="B12241" s="236"/>
      <c r="C12241" s="236"/>
      <c r="D12241" s="236"/>
    </row>
    <row r="12242" spans="2:4" ht="12.75" customHeight="1" x14ac:dyDescent="0.2">
      <c r="B12242" s="236"/>
      <c r="C12242" s="236"/>
      <c r="D12242" s="236"/>
    </row>
    <row r="12243" spans="2:4" ht="12.75" customHeight="1" x14ac:dyDescent="0.2">
      <c r="B12243" s="236"/>
      <c r="C12243" s="236"/>
      <c r="D12243" s="236"/>
    </row>
    <row r="12244" spans="2:4" ht="12.75" customHeight="1" x14ac:dyDescent="0.2">
      <c r="B12244" s="236"/>
      <c r="C12244" s="236"/>
      <c r="D12244" s="236"/>
    </row>
    <row r="12245" spans="2:4" ht="12.75" customHeight="1" x14ac:dyDescent="0.2">
      <c r="B12245" s="236"/>
      <c r="C12245" s="236"/>
      <c r="D12245" s="236"/>
    </row>
    <row r="12246" spans="2:4" ht="12.75" customHeight="1" x14ac:dyDescent="0.2">
      <c r="B12246" s="236"/>
      <c r="C12246" s="236"/>
      <c r="D12246" s="236"/>
    </row>
    <row r="12247" spans="2:4" ht="12.75" customHeight="1" x14ac:dyDescent="0.2">
      <c r="B12247" s="236"/>
      <c r="C12247" s="236"/>
      <c r="D12247" s="236"/>
    </row>
    <row r="12248" spans="2:4" ht="12.75" customHeight="1" x14ac:dyDescent="0.2">
      <c r="B12248" s="236"/>
      <c r="C12248" s="236"/>
      <c r="D12248" s="236"/>
    </row>
    <row r="12249" spans="2:4" ht="12.75" customHeight="1" x14ac:dyDescent="0.2">
      <c r="B12249" s="236"/>
      <c r="C12249" s="236"/>
      <c r="D12249" s="236"/>
    </row>
    <row r="12250" spans="2:4" ht="12.75" customHeight="1" x14ac:dyDescent="0.2">
      <c r="B12250" s="236"/>
      <c r="C12250" s="236"/>
      <c r="D12250" s="236"/>
    </row>
    <row r="12251" spans="2:4" x14ac:dyDescent="0.2">
      <c r="B12251" s="236"/>
      <c r="C12251" s="236"/>
      <c r="D12251" s="236"/>
    </row>
    <row r="12252" spans="2:4" x14ac:dyDescent="0.2">
      <c r="B12252" s="236"/>
      <c r="C12252" s="236"/>
      <c r="D12252" s="236"/>
    </row>
    <row r="12253" spans="2:4" ht="12.75" customHeight="1" x14ac:dyDescent="0.2">
      <c r="B12253" s="236"/>
      <c r="C12253" s="236"/>
      <c r="D12253" s="236"/>
    </row>
    <row r="12254" spans="2:4" ht="12.75" customHeight="1" x14ac:dyDescent="0.2">
      <c r="B12254" s="236"/>
      <c r="C12254" s="236"/>
      <c r="D12254" s="236"/>
    </row>
    <row r="12255" spans="2:4" x14ac:dyDescent="0.2">
      <c r="B12255" s="236"/>
      <c r="C12255" s="236"/>
      <c r="D12255" s="236"/>
    </row>
    <row r="12256" spans="2:4" ht="12.75" customHeight="1" x14ac:dyDescent="0.2">
      <c r="B12256" s="236"/>
      <c r="C12256" s="236"/>
      <c r="D12256" s="236"/>
    </row>
    <row r="12257" spans="2:4" x14ac:dyDescent="0.2">
      <c r="B12257" s="236"/>
      <c r="C12257" s="236"/>
      <c r="D12257" s="236"/>
    </row>
    <row r="12258" spans="2:4" x14ac:dyDescent="0.2">
      <c r="B12258" s="236"/>
      <c r="C12258" s="236"/>
      <c r="D12258" s="236"/>
    </row>
    <row r="12259" spans="2:4" ht="12.75" customHeight="1" x14ac:dyDescent="0.2">
      <c r="B12259" s="236"/>
      <c r="C12259" s="236"/>
      <c r="D12259" s="236"/>
    </row>
    <row r="12260" spans="2:4" ht="12.75" customHeight="1" x14ac:dyDescent="0.2">
      <c r="B12260" s="236"/>
      <c r="C12260" s="236"/>
      <c r="D12260" s="236"/>
    </row>
    <row r="12261" spans="2:4" ht="12.75" customHeight="1" x14ac:dyDescent="0.2">
      <c r="B12261" s="236"/>
      <c r="C12261" s="236"/>
      <c r="D12261" s="236"/>
    </row>
    <row r="12262" spans="2:4" ht="12.75" customHeight="1" x14ac:dyDescent="0.2">
      <c r="B12262" s="236"/>
      <c r="C12262" s="236"/>
      <c r="D12262" s="236"/>
    </row>
    <row r="12263" spans="2:4" ht="12.75" customHeight="1" x14ac:dyDescent="0.2">
      <c r="B12263" s="236"/>
      <c r="C12263" s="236"/>
      <c r="D12263" s="236"/>
    </row>
    <row r="12264" spans="2:4" ht="12.75" customHeight="1" x14ac:dyDescent="0.2">
      <c r="B12264" s="236"/>
      <c r="C12264" s="236"/>
      <c r="D12264" s="236"/>
    </row>
    <row r="12265" spans="2:4" ht="12.75" customHeight="1" x14ac:dyDescent="0.2">
      <c r="B12265" s="236"/>
      <c r="C12265" s="236"/>
      <c r="D12265" s="236"/>
    </row>
    <row r="12266" spans="2:4" ht="12.75" customHeight="1" x14ac:dyDescent="0.2">
      <c r="B12266" s="236"/>
      <c r="C12266" s="236"/>
      <c r="D12266" s="236"/>
    </row>
    <row r="12267" spans="2:4" ht="12.75" customHeight="1" x14ac:dyDescent="0.2">
      <c r="B12267" s="236"/>
      <c r="C12267" s="236"/>
      <c r="D12267" s="236"/>
    </row>
    <row r="12268" spans="2:4" ht="12.75" customHeight="1" x14ac:dyDescent="0.2">
      <c r="B12268" s="236"/>
      <c r="C12268" s="236"/>
      <c r="D12268" s="236"/>
    </row>
    <row r="12269" spans="2:4" ht="12.75" customHeight="1" x14ac:dyDescent="0.2">
      <c r="B12269" s="236"/>
      <c r="C12269" s="236"/>
      <c r="D12269" s="236"/>
    </row>
    <row r="12270" spans="2:4" ht="12.75" customHeight="1" x14ac:dyDescent="0.2">
      <c r="B12270" s="236"/>
      <c r="C12270" s="236"/>
      <c r="D12270" s="236"/>
    </row>
    <row r="12271" spans="2:4" ht="12.75" customHeight="1" x14ac:dyDescent="0.2">
      <c r="B12271" s="236"/>
      <c r="C12271" s="236"/>
      <c r="D12271" s="236"/>
    </row>
    <row r="12272" spans="2:4" x14ac:dyDescent="0.2">
      <c r="B12272" s="236"/>
      <c r="C12272" s="236"/>
      <c r="D12272" s="236"/>
    </row>
    <row r="12273" spans="2:4" x14ac:dyDescent="0.2">
      <c r="B12273" s="236"/>
      <c r="C12273" s="236"/>
      <c r="D12273" s="236"/>
    </row>
    <row r="12274" spans="2:4" ht="12.75" customHeight="1" x14ac:dyDescent="0.2">
      <c r="B12274" s="236"/>
      <c r="C12274" s="236"/>
      <c r="D12274" s="236"/>
    </row>
    <row r="12275" spans="2:4" ht="12.75" customHeight="1" x14ac:dyDescent="0.2">
      <c r="B12275" s="236"/>
      <c r="C12275" s="236"/>
      <c r="D12275" s="236"/>
    </row>
    <row r="12276" spans="2:4" x14ac:dyDescent="0.2">
      <c r="B12276" s="236"/>
      <c r="C12276" s="236"/>
      <c r="D12276" s="236"/>
    </row>
    <row r="12277" spans="2:4" ht="12.75" customHeight="1" x14ac:dyDescent="0.2">
      <c r="B12277" s="236"/>
      <c r="C12277" s="236"/>
      <c r="D12277" s="236"/>
    </row>
    <row r="12278" spans="2:4" x14ac:dyDescent="0.2">
      <c r="B12278" s="236"/>
      <c r="C12278" s="236"/>
      <c r="D12278" s="236"/>
    </row>
    <row r="12279" spans="2:4" x14ac:dyDescent="0.2">
      <c r="B12279" s="236"/>
      <c r="C12279" s="236"/>
      <c r="D12279" s="236"/>
    </row>
    <row r="12280" spans="2:4" ht="12.75" customHeight="1" x14ac:dyDescent="0.2">
      <c r="B12280" s="236"/>
      <c r="C12280" s="236"/>
      <c r="D12280" s="236"/>
    </row>
    <row r="12281" spans="2:4" ht="12.75" customHeight="1" x14ac:dyDescent="0.2">
      <c r="B12281" s="236"/>
      <c r="C12281" s="236"/>
      <c r="D12281" s="236"/>
    </row>
    <row r="12282" spans="2:4" ht="12.75" customHeight="1" x14ac:dyDescent="0.2">
      <c r="B12282" s="236"/>
      <c r="C12282" s="236"/>
      <c r="D12282" s="236"/>
    </row>
    <row r="12283" spans="2:4" ht="12.75" customHeight="1" x14ac:dyDescent="0.2">
      <c r="B12283" s="236"/>
      <c r="C12283" s="236"/>
      <c r="D12283" s="236"/>
    </row>
    <row r="12284" spans="2:4" ht="12.75" customHeight="1" x14ac:dyDescent="0.2">
      <c r="B12284" s="236"/>
      <c r="C12284" s="236"/>
      <c r="D12284" s="236"/>
    </row>
    <row r="12285" spans="2:4" ht="12.75" customHeight="1" x14ac:dyDescent="0.2">
      <c r="B12285" s="236"/>
      <c r="C12285" s="236"/>
      <c r="D12285" s="236"/>
    </row>
    <row r="12286" spans="2:4" ht="12.75" customHeight="1" x14ac:dyDescent="0.2">
      <c r="B12286" s="236"/>
      <c r="C12286" s="236"/>
      <c r="D12286" s="236"/>
    </row>
    <row r="12287" spans="2:4" ht="12.75" customHeight="1" x14ac:dyDescent="0.2">
      <c r="B12287" s="236"/>
      <c r="C12287" s="236"/>
      <c r="D12287" s="236"/>
    </row>
    <row r="12288" spans="2:4" ht="12.75" customHeight="1" x14ac:dyDescent="0.2">
      <c r="B12288" s="236"/>
      <c r="C12288" s="236"/>
      <c r="D12288" s="236"/>
    </row>
    <row r="12289" spans="2:4" ht="12.75" customHeight="1" x14ac:dyDescent="0.2">
      <c r="B12289" s="236"/>
      <c r="C12289" s="236"/>
      <c r="D12289" s="236"/>
    </row>
    <row r="12290" spans="2:4" ht="12.75" customHeight="1" x14ac:dyDescent="0.2">
      <c r="B12290" s="236"/>
      <c r="C12290" s="236"/>
      <c r="D12290" s="236"/>
    </row>
    <row r="12291" spans="2:4" ht="12.75" customHeight="1" x14ac:dyDescent="0.2">
      <c r="B12291" s="236"/>
      <c r="C12291" s="236"/>
      <c r="D12291" s="236"/>
    </row>
    <row r="12292" spans="2:4" ht="12.75" customHeight="1" x14ac:dyDescent="0.2">
      <c r="B12292" s="236"/>
      <c r="C12292" s="236"/>
      <c r="D12292" s="236"/>
    </row>
    <row r="12293" spans="2:4" x14ac:dyDescent="0.2">
      <c r="B12293" s="236"/>
      <c r="C12293" s="236"/>
      <c r="D12293" s="236"/>
    </row>
    <row r="12294" spans="2:4" ht="12.75" customHeight="1" x14ac:dyDescent="0.2">
      <c r="B12294" s="236"/>
      <c r="C12294" s="236"/>
      <c r="D12294" s="236"/>
    </row>
    <row r="12295" spans="2:4" ht="12.75" customHeight="1" x14ac:dyDescent="0.2">
      <c r="B12295" s="236"/>
      <c r="C12295" s="236"/>
      <c r="D12295" s="236"/>
    </row>
    <row r="12296" spans="2:4" x14ac:dyDescent="0.2">
      <c r="B12296" s="236"/>
      <c r="C12296" s="236"/>
      <c r="D12296" s="236"/>
    </row>
    <row r="12297" spans="2:4" ht="12.75" customHeight="1" x14ac:dyDescent="0.2">
      <c r="B12297" s="236"/>
      <c r="C12297" s="236"/>
      <c r="D12297" s="236"/>
    </row>
    <row r="12298" spans="2:4" ht="12.75" customHeight="1" x14ac:dyDescent="0.2">
      <c r="B12298" s="236"/>
      <c r="C12298" s="236"/>
      <c r="D12298" s="236"/>
    </row>
    <row r="12299" spans="2:4" ht="12.75" customHeight="1" x14ac:dyDescent="0.2">
      <c r="B12299" s="236"/>
      <c r="C12299" s="236"/>
      <c r="D12299" s="236"/>
    </row>
    <row r="12300" spans="2:4" ht="12.75" customHeight="1" x14ac:dyDescent="0.2">
      <c r="B12300" s="236"/>
      <c r="C12300" s="236"/>
      <c r="D12300" s="236"/>
    </row>
    <row r="12301" spans="2:4" ht="12.75" customHeight="1" x14ac:dyDescent="0.2">
      <c r="B12301" s="236"/>
      <c r="C12301" s="236"/>
      <c r="D12301" s="236"/>
    </row>
    <row r="12302" spans="2:4" ht="12.75" customHeight="1" x14ac:dyDescent="0.2">
      <c r="B12302" s="236"/>
      <c r="C12302" s="236"/>
      <c r="D12302" s="236"/>
    </row>
    <row r="12303" spans="2:4" ht="12.75" customHeight="1" x14ac:dyDescent="0.2">
      <c r="B12303" s="236"/>
      <c r="C12303" s="236"/>
      <c r="D12303" s="236"/>
    </row>
    <row r="12304" spans="2:4" x14ac:dyDescent="0.2">
      <c r="B12304" s="236"/>
      <c r="C12304" s="236"/>
      <c r="D12304" s="236"/>
    </row>
    <row r="12305" spans="2:4" ht="12.75" customHeight="1" x14ac:dyDescent="0.2">
      <c r="B12305" s="236"/>
      <c r="C12305" s="236"/>
      <c r="D12305" s="236"/>
    </row>
    <row r="12306" spans="2:4" ht="12.75" customHeight="1" x14ac:dyDescent="0.2">
      <c r="B12306" s="236"/>
      <c r="C12306" s="236"/>
      <c r="D12306" s="236"/>
    </row>
    <row r="12307" spans="2:4" ht="12.75" customHeight="1" x14ac:dyDescent="0.2">
      <c r="B12307" s="236"/>
      <c r="C12307" s="236"/>
      <c r="D12307" s="236"/>
    </row>
    <row r="12308" spans="2:4" ht="12.75" customHeight="1" x14ac:dyDescent="0.2">
      <c r="B12308" s="236"/>
      <c r="C12308" s="236"/>
      <c r="D12308" s="236"/>
    </row>
    <row r="12309" spans="2:4" ht="12.75" customHeight="1" x14ac:dyDescent="0.2">
      <c r="B12309" s="236"/>
      <c r="C12309" s="236"/>
      <c r="D12309" s="236"/>
    </row>
    <row r="12310" spans="2:4" x14ac:dyDescent="0.2">
      <c r="B12310" s="236"/>
      <c r="C12310" s="236"/>
      <c r="D12310" s="236"/>
    </row>
    <row r="12311" spans="2:4" ht="12.75" customHeight="1" x14ac:dyDescent="0.2">
      <c r="B12311" s="236"/>
      <c r="C12311" s="236"/>
      <c r="D12311" s="236"/>
    </row>
    <row r="12312" spans="2:4" ht="12.75" customHeight="1" x14ac:dyDescent="0.2">
      <c r="B12312" s="236"/>
      <c r="C12312" s="236"/>
      <c r="D12312" s="236"/>
    </row>
    <row r="12313" spans="2:4" ht="12.75" customHeight="1" x14ac:dyDescent="0.2">
      <c r="B12313" s="236"/>
      <c r="C12313" s="236"/>
      <c r="D12313" s="236"/>
    </row>
    <row r="12314" spans="2:4" ht="12.75" customHeight="1" x14ac:dyDescent="0.2">
      <c r="B12314" s="236"/>
      <c r="C12314" s="236"/>
      <c r="D12314" s="236"/>
    </row>
    <row r="12315" spans="2:4" x14ac:dyDescent="0.2">
      <c r="B12315" s="236"/>
      <c r="C12315" s="236"/>
      <c r="D12315" s="236"/>
    </row>
    <row r="12316" spans="2:4" ht="12.75" customHeight="1" x14ac:dyDescent="0.2">
      <c r="B12316" s="236"/>
      <c r="C12316" s="236"/>
      <c r="D12316" s="236"/>
    </row>
    <row r="12317" spans="2:4" x14ac:dyDescent="0.2">
      <c r="B12317" s="236"/>
      <c r="C12317" s="236"/>
      <c r="D12317" s="236"/>
    </row>
    <row r="12318" spans="2:4" ht="12.75" customHeight="1" x14ac:dyDescent="0.2">
      <c r="B12318" s="236"/>
      <c r="C12318" s="236"/>
      <c r="D12318" s="236"/>
    </row>
    <row r="12319" spans="2:4" x14ac:dyDescent="0.2">
      <c r="B12319" s="236"/>
      <c r="C12319" s="236"/>
      <c r="D12319" s="236"/>
    </row>
    <row r="12320" spans="2:4" x14ac:dyDescent="0.2">
      <c r="B12320" s="236"/>
      <c r="C12320" s="236"/>
      <c r="D12320" s="236"/>
    </row>
    <row r="12321" spans="2:4" x14ac:dyDescent="0.2">
      <c r="B12321" s="236"/>
      <c r="C12321" s="236"/>
      <c r="D12321" s="236"/>
    </row>
    <row r="12322" spans="2:4" ht="12.75" customHeight="1" x14ac:dyDescent="0.2">
      <c r="B12322" s="236"/>
      <c r="C12322" s="236"/>
      <c r="D12322" s="236"/>
    </row>
    <row r="12323" spans="2:4" ht="12.75" customHeight="1" x14ac:dyDescent="0.2">
      <c r="B12323" s="236"/>
      <c r="C12323" s="236"/>
      <c r="D12323" s="236"/>
    </row>
    <row r="12324" spans="2:4" ht="12.75" customHeight="1" x14ac:dyDescent="0.2">
      <c r="B12324" s="236"/>
      <c r="C12324" s="236"/>
      <c r="D12324" s="236"/>
    </row>
    <row r="12325" spans="2:4" ht="12.75" customHeight="1" x14ac:dyDescent="0.2">
      <c r="B12325" s="236"/>
      <c r="C12325" s="236"/>
      <c r="D12325" s="236"/>
    </row>
    <row r="12326" spans="2:4" ht="12.75" customHeight="1" x14ac:dyDescent="0.2">
      <c r="B12326" s="236"/>
      <c r="C12326" s="236"/>
      <c r="D12326" s="236"/>
    </row>
    <row r="12327" spans="2:4" ht="12.75" customHeight="1" x14ac:dyDescent="0.2">
      <c r="B12327" s="236"/>
      <c r="C12327" s="236"/>
      <c r="D12327" s="236"/>
    </row>
    <row r="12328" spans="2:4" ht="12.75" customHeight="1" x14ac:dyDescent="0.2">
      <c r="B12328" s="236"/>
      <c r="C12328" s="236"/>
      <c r="D12328" s="236"/>
    </row>
    <row r="12329" spans="2:4" ht="12.75" customHeight="1" x14ac:dyDescent="0.2">
      <c r="B12329" s="236"/>
      <c r="C12329" s="236"/>
      <c r="D12329" s="236"/>
    </row>
    <row r="12330" spans="2:4" ht="12.75" customHeight="1" x14ac:dyDescent="0.2">
      <c r="B12330" s="236"/>
      <c r="C12330" s="236"/>
      <c r="D12330" s="236"/>
    </row>
    <row r="12331" spans="2:4" ht="12.75" customHeight="1" x14ac:dyDescent="0.2">
      <c r="B12331" s="236"/>
      <c r="C12331" s="236"/>
      <c r="D12331" s="236"/>
    </row>
    <row r="12332" spans="2:4" ht="12.75" customHeight="1" x14ac:dyDescent="0.2">
      <c r="B12332" s="236"/>
      <c r="C12332" s="236"/>
      <c r="D12332" s="236"/>
    </row>
    <row r="12333" spans="2:4" ht="12.75" customHeight="1" x14ac:dyDescent="0.2">
      <c r="B12333" s="236"/>
      <c r="C12333" s="236"/>
      <c r="D12333" s="236"/>
    </row>
    <row r="12334" spans="2:4" x14ac:dyDescent="0.2">
      <c r="B12334" s="236"/>
      <c r="C12334" s="236"/>
      <c r="D12334" s="236"/>
    </row>
    <row r="12335" spans="2:4" ht="12.75" customHeight="1" x14ac:dyDescent="0.2">
      <c r="B12335" s="236"/>
      <c r="C12335" s="236"/>
      <c r="D12335" s="236"/>
    </row>
    <row r="12336" spans="2:4" x14ac:dyDescent="0.2">
      <c r="B12336" s="236"/>
      <c r="C12336" s="236"/>
      <c r="D12336" s="236"/>
    </row>
    <row r="12337" spans="2:4" ht="12.75" customHeight="1" x14ac:dyDescent="0.2">
      <c r="B12337" s="236"/>
      <c r="C12337" s="236"/>
      <c r="D12337" s="236"/>
    </row>
    <row r="12338" spans="2:4" ht="12.75" customHeight="1" x14ac:dyDescent="0.2">
      <c r="B12338" s="236"/>
      <c r="C12338" s="236"/>
      <c r="D12338" s="236"/>
    </row>
    <row r="12339" spans="2:4" x14ac:dyDescent="0.2">
      <c r="B12339" s="236"/>
      <c r="C12339" s="236"/>
      <c r="D12339" s="236"/>
    </row>
    <row r="12340" spans="2:4" ht="12.75" customHeight="1" x14ac:dyDescent="0.2">
      <c r="B12340" s="236"/>
      <c r="C12340" s="236"/>
      <c r="D12340" s="236"/>
    </row>
    <row r="12341" spans="2:4" x14ac:dyDescent="0.2">
      <c r="B12341" s="236"/>
      <c r="C12341" s="236"/>
      <c r="D12341" s="236"/>
    </row>
    <row r="12342" spans="2:4" ht="12.75" customHeight="1" x14ac:dyDescent="0.2">
      <c r="B12342" s="236"/>
      <c r="C12342" s="236"/>
      <c r="D12342" s="236"/>
    </row>
    <row r="12343" spans="2:4" ht="12.75" customHeight="1" x14ac:dyDescent="0.2">
      <c r="B12343" s="236"/>
      <c r="C12343" s="236"/>
      <c r="D12343" s="236"/>
    </row>
    <row r="12344" spans="2:4" ht="12.75" customHeight="1" x14ac:dyDescent="0.2">
      <c r="B12344" s="236"/>
      <c r="C12344" s="236"/>
      <c r="D12344" s="236"/>
    </row>
    <row r="12345" spans="2:4" ht="12.75" customHeight="1" x14ac:dyDescent="0.2">
      <c r="B12345" s="236"/>
      <c r="C12345" s="236"/>
      <c r="D12345" s="236"/>
    </row>
    <row r="12346" spans="2:4" ht="12.75" customHeight="1" x14ac:dyDescent="0.2">
      <c r="B12346" s="236"/>
      <c r="C12346" s="236"/>
      <c r="D12346" s="236"/>
    </row>
    <row r="12347" spans="2:4" ht="12.75" customHeight="1" x14ac:dyDescent="0.2">
      <c r="B12347" s="236"/>
      <c r="C12347" s="236"/>
      <c r="D12347" s="236"/>
    </row>
    <row r="12348" spans="2:4" ht="12.75" customHeight="1" x14ac:dyDescent="0.2">
      <c r="B12348" s="236"/>
      <c r="C12348" s="236"/>
      <c r="D12348" s="236"/>
    </row>
    <row r="12349" spans="2:4" ht="12.75" customHeight="1" x14ac:dyDescent="0.2">
      <c r="B12349" s="236"/>
      <c r="C12349" s="236"/>
      <c r="D12349" s="236"/>
    </row>
    <row r="12350" spans="2:4" ht="12.75" customHeight="1" x14ac:dyDescent="0.2">
      <c r="B12350" s="236"/>
      <c r="C12350" s="236"/>
      <c r="D12350" s="236"/>
    </row>
    <row r="12351" spans="2:4" ht="12.75" customHeight="1" x14ac:dyDescent="0.2">
      <c r="B12351" s="236"/>
      <c r="C12351" s="236"/>
      <c r="D12351" s="236"/>
    </row>
    <row r="12352" spans="2:4" ht="12.75" customHeight="1" x14ac:dyDescent="0.2">
      <c r="B12352" s="236"/>
      <c r="C12352" s="236"/>
      <c r="D12352" s="236"/>
    </row>
    <row r="12353" spans="2:4" ht="12.75" customHeight="1" x14ac:dyDescent="0.2">
      <c r="B12353" s="236"/>
      <c r="C12353" s="236"/>
      <c r="D12353" s="236"/>
    </row>
    <row r="12354" spans="2:4" ht="12.75" customHeight="1" x14ac:dyDescent="0.2">
      <c r="B12354" s="236"/>
      <c r="C12354" s="236"/>
      <c r="D12354" s="236"/>
    </row>
    <row r="12355" spans="2:4" x14ac:dyDescent="0.2">
      <c r="B12355" s="236"/>
      <c r="C12355" s="236"/>
      <c r="D12355" s="236"/>
    </row>
    <row r="12356" spans="2:4" ht="12.75" customHeight="1" x14ac:dyDescent="0.2">
      <c r="B12356" s="236"/>
      <c r="C12356" s="236"/>
      <c r="D12356" s="236"/>
    </row>
    <row r="12357" spans="2:4" x14ac:dyDescent="0.2">
      <c r="B12357" s="236"/>
      <c r="C12357" s="236"/>
      <c r="D12357" s="236"/>
    </row>
    <row r="12358" spans="2:4" ht="12.75" customHeight="1" x14ac:dyDescent="0.2">
      <c r="B12358" s="236"/>
      <c r="C12358" s="236"/>
      <c r="D12358" s="236"/>
    </row>
    <row r="12359" spans="2:4" x14ac:dyDescent="0.2">
      <c r="B12359" s="236"/>
      <c r="C12359" s="236"/>
      <c r="D12359" s="236"/>
    </row>
    <row r="12360" spans="2:4" ht="12.75" customHeight="1" x14ac:dyDescent="0.2">
      <c r="B12360" s="236"/>
      <c r="C12360" s="236"/>
      <c r="D12360" s="236"/>
    </row>
    <row r="12361" spans="2:4" x14ac:dyDescent="0.2">
      <c r="B12361" s="236"/>
      <c r="C12361" s="236"/>
      <c r="D12361" s="236"/>
    </row>
    <row r="12362" spans="2:4" ht="12.75" customHeight="1" x14ac:dyDescent="0.2">
      <c r="B12362" s="236"/>
      <c r="C12362" s="236"/>
      <c r="D12362" s="236"/>
    </row>
    <row r="12363" spans="2:4" ht="12.75" customHeight="1" x14ac:dyDescent="0.2">
      <c r="B12363" s="236"/>
      <c r="C12363" s="236"/>
      <c r="D12363" s="236"/>
    </row>
    <row r="12364" spans="2:4" x14ac:dyDescent="0.2">
      <c r="B12364" s="236"/>
      <c r="C12364" s="236"/>
      <c r="D12364" s="236"/>
    </row>
    <row r="12365" spans="2:4" x14ac:dyDescent="0.2">
      <c r="B12365" s="236"/>
      <c r="C12365" s="236"/>
      <c r="D12365" s="236"/>
    </row>
    <row r="12366" spans="2:4" ht="12.75" customHeight="1" x14ac:dyDescent="0.2">
      <c r="B12366" s="236"/>
      <c r="C12366" s="236"/>
      <c r="D12366" s="236"/>
    </row>
    <row r="12367" spans="2:4" x14ac:dyDescent="0.2">
      <c r="B12367" s="236"/>
      <c r="C12367" s="236"/>
      <c r="D12367" s="236"/>
    </row>
    <row r="12368" spans="2:4" x14ac:dyDescent="0.2">
      <c r="B12368" s="236"/>
      <c r="C12368" s="236"/>
      <c r="D12368" s="236"/>
    </row>
    <row r="12369" spans="2:4" ht="12.75" customHeight="1" x14ac:dyDescent="0.2">
      <c r="B12369" s="236"/>
      <c r="C12369" s="236"/>
      <c r="D12369" s="236"/>
    </row>
    <row r="12370" spans="2:4" ht="12.75" customHeight="1" x14ac:dyDescent="0.2">
      <c r="B12370" s="236"/>
      <c r="C12370" s="236"/>
      <c r="D12370" s="236"/>
    </row>
    <row r="12371" spans="2:4" x14ac:dyDescent="0.2">
      <c r="B12371" s="236"/>
      <c r="C12371" s="236"/>
      <c r="D12371" s="236"/>
    </row>
    <row r="12372" spans="2:4" x14ac:dyDescent="0.2">
      <c r="B12372" s="236"/>
      <c r="C12372" s="236"/>
      <c r="D12372" s="236"/>
    </row>
    <row r="12373" spans="2:4" x14ac:dyDescent="0.2">
      <c r="B12373" s="236"/>
      <c r="C12373" s="236"/>
      <c r="D12373" s="236"/>
    </row>
    <row r="12374" spans="2:4" ht="12.75" customHeight="1" x14ac:dyDescent="0.2">
      <c r="B12374" s="236"/>
      <c r="C12374" s="236"/>
      <c r="D12374" s="236"/>
    </row>
    <row r="12375" spans="2:4" ht="12.75" customHeight="1" x14ac:dyDescent="0.2">
      <c r="B12375" s="236"/>
      <c r="C12375" s="236"/>
      <c r="D12375" s="236"/>
    </row>
    <row r="12376" spans="2:4" x14ac:dyDescent="0.2">
      <c r="B12376" s="236"/>
      <c r="C12376" s="236"/>
      <c r="D12376" s="236"/>
    </row>
    <row r="12377" spans="2:4" x14ac:dyDescent="0.2">
      <c r="B12377" s="236"/>
      <c r="C12377" s="236"/>
      <c r="D12377" s="236"/>
    </row>
    <row r="12378" spans="2:4" ht="12.75" customHeight="1" x14ac:dyDescent="0.2">
      <c r="B12378" s="236"/>
      <c r="C12378" s="236"/>
      <c r="D12378" s="236"/>
    </row>
    <row r="12379" spans="2:4" ht="12.75" customHeight="1" x14ac:dyDescent="0.2">
      <c r="B12379" s="236"/>
      <c r="C12379" s="236"/>
      <c r="D12379" s="236"/>
    </row>
    <row r="12380" spans="2:4" ht="12.75" customHeight="1" x14ac:dyDescent="0.2">
      <c r="B12380" s="236"/>
      <c r="C12380" s="236"/>
      <c r="D12380" s="236"/>
    </row>
    <row r="12381" spans="2:4" ht="12.75" customHeight="1" x14ac:dyDescent="0.2">
      <c r="B12381" s="236"/>
      <c r="C12381" s="236"/>
      <c r="D12381" s="236"/>
    </row>
    <row r="12382" spans="2:4" x14ac:dyDescent="0.2">
      <c r="B12382" s="236"/>
      <c r="C12382" s="236"/>
      <c r="D12382" s="236"/>
    </row>
    <row r="12383" spans="2:4" ht="12.75" customHeight="1" x14ac:dyDescent="0.2">
      <c r="B12383" s="236"/>
      <c r="C12383" s="236"/>
      <c r="D12383" s="236"/>
    </row>
    <row r="12384" spans="2:4" x14ac:dyDescent="0.2">
      <c r="B12384" s="236"/>
      <c r="C12384" s="236"/>
      <c r="D12384" s="236"/>
    </row>
    <row r="12385" spans="2:4" ht="12.75" customHeight="1" x14ac:dyDescent="0.2">
      <c r="B12385" s="236"/>
      <c r="C12385" s="236"/>
      <c r="D12385" s="236"/>
    </row>
    <row r="12386" spans="2:4" x14ac:dyDescent="0.2">
      <c r="B12386" s="236"/>
      <c r="C12386" s="236"/>
      <c r="D12386" s="236"/>
    </row>
    <row r="12387" spans="2:4" x14ac:dyDescent="0.2">
      <c r="B12387" s="236"/>
      <c r="C12387" s="236"/>
      <c r="D12387" s="236"/>
    </row>
    <row r="12388" spans="2:4" ht="12.75" customHeight="1" x14ac:dyDescent="0.2">
      <c r="B12388" s="236"/>
      <c r="C12388" s="236"/>
      <c r="D12388" s="236"/>
    </row>
    <row r="12389" spans="2:4" ht="12.75" customHeight="1" x14ac:dyDescent="0.2">
      <c r="B12389" s="236"/>
      <c r="C12389" s="236"/>
      <c r="D12389" s="236"/>
    </row>
    <row r="12390" spans="2:4" x14ac:dyDescent="0.2">
      <c r="B12390" s="236"/>
      <c r="C12390" s="236"/>
      <c r="D12390" s="236"/>
    </row>
    <row r="12391" spans="2:4" ht="12.75" customHeight="1" x14ac:dyDescent="0.2">
      <c r="B12391" s="236"/>
      <c r="C12391" s="236"/>
      <c r="D12391" s="236"/>
    </row>
    <row r="12392" spans="2:4" x14ac:dyDescent="0.2">
      <c r="B12392" s="236"/>
      <c r="C12392" s="236"/>
      <c r="D12392" s="236"/>
    </row>
    <row r="12393" spans="2:4" x14ac:dyDescent="0.2">
      <c r="B12393" s="236"/>
      <c r="C12393" s="236"/>
      <c r="D12393" s="236"/>
    </row>
    <row r="12394" spans="2:4" ht="12.75" customHeight="1" x14ac:dyDescent="0.2">
      <c r="B12394" s="236"/>
      <c r="C12394" s="236"/>
      <c r="D12394" s="236"/>
    </row>
    <row r="12395" spans="2:4" ht="12.75" customHeight="1" x14ac:dyDescent="0.2">
      <c r="B12395" s="236"/>
      <c r="C12395" s="236"/>
      <c r="D12395" s="236"/>
    </row>
    <row r="12396" spans="2:4" ht="12.75" customHeight="1" x14ac:dyDescent="0.2">
      <c r="B12396" s="236"/>
      <c r="C12396" s="236"/>
      <c r="D12396" s="236"/>
    </row>
    <row r="12397" spans="2:4" ht="12.75" customHeight="1" x14ac:dyDescent="0.2">
      <c r="B12397" s="236"/>
      <c r="C12397" s="236"/>
      <c r="D12397" s="236"/>
    </row>
    <row r="12398" spans="2:4" ht="12.75" customHeight="1" x14ac:dyDescent="0.2">
      <c r="B12398" s="236"/>
      <c r="C12398" s="236"/>
      <c r="D12398" s="236"/>
    </row>
    <row r="12399" spans="2:4" ht="12.75" customHeight="1" x14ac:dyDescent="0.2">
      <c r="B12399" s="236"/>
      <c r="C12399" s="236"/>
      <c r="D12399" s="236"/>
    </row>
    <row r="12400" spans="2:4" ht="12.75" customHeight="1" x14ac:dyDescent="0.2">
      <c r="B12400" s="236"/>
      <c r="C12400" s="236"/>
      <c r="D12400" s="236"/>
    </row>
    <row r="12401" spans="2:4" ht="12.75" customHeight="1" x14ac:dyDescent="0.2">
      <c r="B12401" s="236"/>
      <c r="C12401" s="236"/>
      <c r="D12401" s="236"/>
    </row>
    <row r="12402" spans="2:4" ht="12.75" customHeight="1" x14ac:dyDescent="0.2">
      <c r="B12402" s="236"/>
      <c r="C12402" s="236"/>
      <c r="D12402" s="236"/>
    </row>
    <row r="12403" spans="2:4" ht="12.75" customHeight="1" x14ac:dyDescent="0.2">
      <c r="B12403" s="236"/>
      <c r="C12403" s="236"/>
      <c r="D12403" s="236"/>
    </row>
    <row r="12404" spans="2:4" ht="12.75" customHeight="1" x14ac:dyDescent="0.2">
      <c r="B12404" s="236"/>
      <c r="C12404" s="236"/>
      <c r="D12404" s="236"/>
    </row>
    <row r="12405" spans="2:4" ht="12.75" customHeight="1" x14ac:dyDescent="0.2">
      <c r="B12405" s="236"/>
      <c r="C12405" s="236"/>
      <c r="D12405" s="236"/>
    </row>
    <row r="12406" spans="2:4" ht="12.75" customHeight="1" x14ac:dyDescent="0.2">
      <c r="B12406" s="236"/>
      <c r="C12406" s="236"/>
      <c r="D12406" s="236"/>
    </row>
    <row r="12407" spans="2:4" x14ac:dyDescent="0.2">
      <c r="B12407" s="236"/>
      <c r="C12407" s="236"/>
      <c r="D12407" s="236"/>
    </row>
    <row r="12408" spans="2:4" ht="12.75" customHeight="1" x14ac:dyDescent="0.2">
      <c r="B12408" s="236"/>
      <c r="C12408" s="236"/>
      <c r="D12408" s="236"/>
    </row>
    <row r="12409" spans="2:4" ht="12.75" customHeight="1" x14ac:dyDescent="0.2">
      <c r="B12409" s="236"/>
      <c r="C12409" s="236"/>
      <c r="D12409" s="236"/>
    </row>
    <row r="12410" spans="2:4" x14ac:dyDescent="0.2">
      <c r="B12410" s="236"/>
      <c r="C12410" s="236"/>
      <c r="D12410" s="236"/>
    </row>
    <row r="12411" spans="2:4" ht="12.75" customHeight="1" x14ac:dyDescent="0.2">
      <c r="B12411" s="236"/>
      <c r="C12411" s="236"/>
      <c r="D12411" s="236"/>
    </row>
    <row r="12412" spans="2:4" ht="12.75" customHeight="1" x14ac:dyDescent="0.2">
      <c r="B12412" s="236"/>
      <c r="C12412" s="236"/>
      <c r="D12412" s="236"/>
    </row>
    <row r="12413" spans="2:4" ht="12.75" customHeight="1" x14ac:dyDescent="0.2">
      <c r="B12413" s="236"/>
      <c r="C12413" s="236"/>
      <c r="D12413" s="236"/>
    </row>
    <row r="12414" spans="2:4" ht="12.75" customHeight="1" x14ac:dyDescent="0.2">
      <c r="B12414" s="236"/>
      <c r="C12414" s="236"/>
      <c r="D12414" s="236"/>
    </row>
    <row r="12415" spans="2:4" ht="12.75" customHeight="1" x14ac:dyDescent="0.2">
      <c r="B12415" s="236"/>
      <c r="C12415" s="236"/>
      <c r="D12415" s="236"/>
    </row>
    <row r="12416" spans="2:4" ht="12.75" customHeight="1" x14ac:dyDescent="0.2">
      <c r="B12416" s="236"/>
      <c r="C12416" s="236"/>
      <c r="D12416" s="236"/>
    </row>
    <row r="12417" spans="2:4" ht="12.75" customHeight="1" x14ac:dyDescent="0.2">
      <c r="B12417" s="236"/>
      <c r="C12417" s="236"/>
      <c r="D12417" s="236"/>
    </row>
    <row r="12418" spans="2:4" ht="12.75" customHeight="1" x14ac:dyDescent="0.2">
      <c r="B12418" s="236"/>
      <c r="C12418" s="236"/>
      <c r="D12418" s="236"/>
    </row>
    <row r="12419" spans="2:4" ht="12.75" customHeight="1" x14ac:dyDescent="0.2">
      <c r="B12419" s="236"/>
      <c r="C12419" s="236"/>
      <c r="D12419" s="236"/>
    </row>
    <row r="12420" spans="2:4" ht="12.75" customHeight="1" x14ac:dyDescent="0.2">
      <c r="B12420" s="236"/>
      <c r="C12420" s="236"/>
      <c r="D12420" s="236"/>
    </row>
    <row r="12421" spans="2:4" ht="12.75" customHeight="1" x14ac:dyDescent="0.2">
      <c r="B12421" s="236"/>
      <c r="C12421" s="236"/>
      <c r="D12421" s="236"/>
    </row>
    <row r="12422" spans="2:4" ht="12.75" customHeight="1" x14ac:dyDescent="0.2">
      <c r="B12422" s="236"/>
      <c r="C12422" s="236"/>
      <c r="D12422" s="236"/>
    </row>
    <row r="12423" spans="2:4" ht="12.75" customHeight="1" x14ac:dyDescent="0.2">
      <c r="B12423" s="236"/>
      <c r="C12423" s="236"/>
      <c r="D12423" s="236"/>
    </row>
    <row r="12424" spans="2:4" ht="12.75" customHeight="1" x14ac:dyDescent="0.2">
      <c r="B12424" s="236"/>
      <c r="C12424" s="236"/>
      <c r="D12424" s="236"/>
    </row>
    <row r="12425" spans="2:4" x14ac:dyDescent="0.2">
      <c r="B12425" s="236"/>
      <c r="C12425" s="236"/>
      <c r="D12425" s="236"/>
    </row>
    <row r="12426" spans="2:4" ht="12.75" customHeight="1" x14ac:dyDescent="0.2">
      <c r="B12426" s="236"/>
      <c r="C12426" s="236"/>
      <c r="D12426" s="236"/>
    </row>
    <row r="12427" spans="2:4" ht="12.75" customHeight="1" x14ac:dyDescent="0.2">
      <c r="B12427" s="236"/>
      <c r="C12427" s="236"/>
      <c r="D12427" s="236"/>
    </row>
    <row r="12428" spans="2:4" ht="12.75" customHeight="1" x14ac:dyDescent="0.2">
      <c r="B12428" s="236"/>
      <c r="C12428" s="236"/>
      <c r="D12428" s="236"/>
    </row>
    <row r="12429" spans="2:4" ht="12.75" customHeight="1" x14ac:dyDescent="0.2">
      <c r="B12429" s="236"/>
      <c r="C12429" s="236"/>
      <c r="D12429" s="236"/>
    </row>
    <row r="12430" spans="2:4" ht="12.75" customHeight="1" x14ac:dyDescent="0.2">
      <c r="B12430" s="236"/>
      <c r="C12430" s="236"/>
      <c r="D12430" s="236"/>
    </row>
    <row r="12431" spans="2:4" ht="12.75" customHeight="1" x14ac:dyDescent="0.2">
      <c r="B12431" s="236"/>
      <c r="C12431" s="236"/>
      <c r="D12431" s="236"/>
    </row>
    <row r="12432" spans="2:4" ht="12.75" customHeight="1" x14ac:dyDescent="0.2">
      <c r="B12432" s="236"/>
      <c r="C12432" s="236"/>
      <c r="D12432" s="236"/>
    </row>
    <row r="12433" spans="2:4" ht="12.75" customHeight="1" x14ac:dyDescent="0.2">
      <c r="B12433" s="236"/>
      <c r="C12433" s="236"/>
      <c r="D12433" s="236"/>
    </row>
    <row r="12434" spans="2:4" x14ac:dyDescent="0.2">
      <c r="B12434" s="236"/>
      <c r="C12434" s="236"/>
      <c r="D12434" s="236"/>
    </row>
    <row r="12435" spans="2:4" ht="12.75" customHeight="1" x14ac:dyDescent="0.2">
      <c r="B12435" s="236"/>
      <c r="C12435" s="236"/>
      <c r="D12435" s="236"/>
    </row>
    <row r="12436" spans="2:4" ht="12.75" customHeight="1" x14ac:dyDescent="0.2">
      <c r="B12436" s="236"/>
      <c r="C12436" s="236"/>
      <c r="D12436" s="236"/>
    </row>
    <row r="12437" spans="2:4" ht="12.75" customHeight="1" x14ac:dyDescent="0.2">
      <c r="B12437" s="236"/>
      <c r="C12437" s="236"/>
      <c r="D12437" s="236"/>
    </row>
    <row r="12438" spans="2:4" ht="12.75" customHeight="1" x14ac:dyDescent="0.2">
      <c r="B12438" s="236"/>
      <c r="C12438" s="236"/>
      <c r="D12438" s="236"/>
    </row>
    <row r="12439" spans="2:4" x14ac:dyDescent="0.2">
      <c r="B12439" s="236"/>
      <c r="C12439" s="236"/>
      <c r="D12439" s="236"/>
    </row>
    <row r="12440" spans="2:4" ht="12.75" customHeight="1" x14ac:dyDescent="0.2">
      <c r="B12440" s="236"/>
      <c r="C12440" s="236"/>
      <c r="D12440" s="236"/>
    </row>
    <row r="12441" spans="2:4" x14ac:dyDescent="0.2">
      <c r="B12441" s="236"/>
      <c r="C12441" s="236"/>
      <c r="D12441" s="236"/>
    </row>
    <row r="12442" spans="2:4" ht="12.75" customHeight="1" x14ac:dyDescent="0.2">
      <c r="B12442" s="236"/>
      <c r="C12442" s="236"/>
      <c r="D12442" s="236"/>
    </row>
    <row r="12443" spans="2:4" x14ac:dyDescent="0.2">
      <c r="B12443" s="236"/>
      <c r="C12443" s="236"/>
      <c r="D12443" s="236"/>
    </row>
    <row r="12444" spans="2:4" ht="12.75" customHeight="1" x14ac:dyDescent="0.2">
      <c r="B12444" s="236"/>
      <c r="C12444" s="236"/>
      <c r="D12444" s="236"/>
    </row>
    <row r="12445" spans="2:4" ht="12.75" customHeight="1" x14ac:dyDescent="0.2">
      <c r="B12445" s="236"/>
      <c r="C12445" s="236"/>
      <c r="D12445" s="236"/>
    </row>
    <row r="12446" spans="2:4" ht="12.75" customHeight="1" x14ac:dyDescent="0.2">
      <c r="B12446" s="236"/>
      <c r="C12446" s="236"/>
      <c r="D12446" s="236"/>
    </row>
    <row r="12447" spans="2:4" ht="12.75" customHeight="1" x14ac:dyDescent="0.2">
      <c r="B12447" s="236"/>
      <c r="C12447" s="236"/>
      <c r="D12447" s="236"/>
    </row>
    <row r="12448" spans="2:4" x14ac:dyDescent="0.2">
      <c r="B12448" s="236"/>
      <c r="C12448" s="236"/>
      <c r="D12448" s="236"/>
    </row>
    <row r="12449" spans="2:4" ht="12.75" customHeight="1" x14ac:dyDescent="0.2">
      <c r="B12449" s="236"/>
      <c r="C12449" s="236"/>
      <c r="D12449" s="236"/>
    </row>
    <row r="12450" spans="2:4" ht="12.75" customHeight="1" x14ac:dyDescent="0.2">
      <c r="B12450" s="236"/>
      <c r="C12450" s="236"/>
      <c r="D12450" s="236"/>
    </row>
    <row r="12451" spans="2:4" ht="12.75" customHeight="1" x14ac:dyDescent="0.2">
      <c r="B12451" s="236"/>
      <c r="C12451" s="236"/>
      <c r="D12451" s="236"/>
    </row>
    <row r="12452" spans="2:4" ht="12.75" customHeight="1" x14ac:dyDescent="0.2">
      <c r="B12452" s="236"/>
      <c r="C12452" s="236"/>
      <c r="D12452" s="236"/>
    </row>
    <row r="12453" spans="2:4" x14ac:dyDescent="0.2">
      <c r="B12453" s="236"/>
      <c r="C12453" s="236"/>
      <c r="D12453" s="236"/>
    </row>
    <row r="12454" spans="2:4" ht="12.75" customHeight="1" x14ac:dyDescent="0.2">
      <c r="B12454" s="236"/>
      <c r="C12454" s="236"/>
      <c r="D12454" s="236"/>
    </row>
    <row r="12455" spans="2:4" ht="12.75" customHeight="1" x14ac:dyDescent="0.2">
      <c r="B12455" s="236"/>
      <c r="C12455" s="236"/>
      <c r="D12455" s="236"/>
    </row>
    <row r="12456" spans="2:4" ht="12.75" customHeight="1" x14ac:dyDescent="0.2">
      <c r="B12456" s="236"/>
      <c r="C12456" s="236"/>
      <c r="D12456" s="236"/>
    </row>
    <row r="12457" spans="2:4" ht="12.75" customHeight="1" x14ac:dyDescent="0.2">
      <c r="B12457" s="236"/>
      <c r="C12457" s="236"/>
      <c r="D12457" s="236"/>
    </row>
    <row r="12458" spans="2:4" ht="12.75" customHeight="1" x14ac:dyDescent="0.2">
      <c r="B12458" s="236"/>
      <c r="C12458" s="236"/>
      <c r="D12458" s="236"/>
    </row>
    <row r="12459" spans="2:4" ht="12.75" customHeight="1" x14ac:dyDescent="0.2">
      <c r="B12459" s="236"/>
      <c r="C12459" s="236"/>
      <c r="D12459" s="236"/>
    </row>
    <row r="12460" spans="2:4" ht="12.75" customHeight="1" x14ac:dyDescent="0.2">
      <c r="B12460" s="236"/>
      <c r="C12460" s="236"/>
      <c r="D12460" s="236"/>
    </row>
    <row r="12461" spans="2:4" ht="12.75" customHeight="1" x14ac:dyDescent="0.2">
      <c r="B12461" s="236"/>
      <c r="C12461" s="236"/>
      <c r="D12461" s="236"/>
    </row>
    <row r="12462" spans="2:4" ht="12.75" customHeight="1" x14ac:dyDescent="0.2">
      <c r="B12462" s="236"/>
      <c r="C12462" s="236"/>
      <c r="D12462" s="236"/>
    </row>
    <row r="12463" spans="2:4" ht="12.75" customHeight="1" x14ac:dyDescent="0.2">
      <c r="B12463" s="236"/>
      <c r="C12463" s="236"/>
      <c r="D12463" s="236"/>
    </row>
    <row r="12464" spans="2:4" x14ac:dyDescent="0.2">
      <c r="B12464" s="236"/>
      <c r="C12464" s="236"/>
      <c r="D12464" s="236"/>
    </row>
    <row r="12465" spans="2:4" ht="12.75" customHeight="1" x14ac:dyDescent="0.2">
      <c r="B12465" s="236"/>
      <c r="C12465" s="236"/>
      <c r="D12465" s="236"/>
    </row>
    <row r="12466" spans="2:4" ht="12.75" customHeight="1" x14ac:dyDescent="0.2">
      <c r="B12466" s="236"/>
      <c r="C12466" s="236"/>
      <c r="D12466" s="236"/>
    </row>
    <row r="12467" spans="2:4" ht="12.75" customHeight="1" x14ac:dyDescent="0.2">
      <c r="B12467" s="236"/>
      <c r="C12467" s="236"/>
      <c r="D12467" s="236"/>
    </row>
    <row r="12468" spans="2:4" ht="12.75" customHeight="1" x14ac:dyDescent="0.2">
      <c r="B12468" s="236"/>
      <c r="C12468" s="236"/>
      <c r="D12468" s="236"/>
    </row>
    <row r="12469" spans="2:4" ht="12.75" customHeight="1" x14ac:dyDescent="0.2">
      <c r="B12469" s="236"/>
      <c r="C12469" s="236"/>
      <c r="D12469" s="236"/>
    </row>
    <row r="12470" spans="2:4" x14ac:dyDescent="0.2">
      <c r="B12470" s="236"/>
      <c r="C12470" s="236"/>
      <c r="D12470" s="236"/>
    </row>
    <row r="12471" spans="2:4" ht="12.75" customHeight="1" x14ac:dyDescent="0.2">
      <c r="B12471" s="236"/>
      <c r="C12471" s="236"/>
      <c r="D12471" s="236"/>
    </row>
    <row r="12472" spans="2:4" x14ac:dyDescent="0.2">
      <c r="B12472" s="236"/>
      <c r="C12472" s="236"/>
      <c r="D12472" s="236"/>
    </row>
    <row r="12473" spans="2:4" ht="12.75" customHeight="1" x14ac:dyDescent="0.2">
      <c r="B12473" s="236"/>
      <c r="C12473" s="236"/>
      <c r="D12473" s="236"/>
    </row>
    <row r="12474" spans="2:4" x14ac:dyDescent="0.2">
      <c r="B12474" s="236"/>
      <c r="C12474" s="236"/>
      <c r="D12474" s="236"/>
    </row>
    <row r="12475" spans="2:4" x14ac:dyDescent="0.2">
      <c r="B12475" s="236"/>
      <c r="C12475" s="236"/>
      <c r="D12475" s="236"/>
    </row>
    <row r="12476" spans="2:4" x14ac:dyDescent="0.2">
      <c r="B12476" s="236"/>
      <c r="C12476" s="236"/>
      <c r="D12476" s="236"/>
    </row>
    <row r="12477" spans="2:4" ht="12.75" customHeight="1" x14ac:dyDescent="0.2">
      <c r="B12477" s="236"/>
      <c r="C12477" s="236"/>
      <c r="D12477" s="236"/>
    </row>
    <row r="12478" spans="2:4" ht="12.75" customHeight="1" x14ac:dyDescent="0.2">
      <c r="B12478" s="236"/>
      <c r="C12478" s="236"/>
      <c r="D12478" s="236"/>
    </row>
    <row r="12479" spans="2:4" ht="12.75" customHeight="1" x14ac:dyDescent="0.2">
      <c r="B12479" s="236"/>
      <c r="C12479" s="236"/>
      <c r="D12479" s="236"/>
    </row>
    <row r="12480" spans="2:4" ht="12.75" customHeight="1" x14ac:dyDescent="0.2">
      <c r="B12480" s="236"/>
      <c r="C12480" s="236"/>
      <c r="D12480" s="236"/>
    </row>
    <row r="12481" spans="2:4" ht="12.75" customHeight="1" x14ac:dyDescent="0.2">
      <c r="B12481" s="236"/>
      <c r="C12481" s="236"/>
      <c r="D12481" s="236"/>
    </row>
    <row r="12482" spans="2:4" ht="12.75" customHeight="1" x14ac:dyDescent="0.2">
      <c r="B12482" s="236"/>
      <c r="C12482" s="236"/>
      <c r="D12482" s="236"/>
    </row>
    <row r="12483" spans="2:4" ht="12.75" customHeight="1" x14ac:dyDescent="0.2">
      <c r="B12483" s="236"/>
      <c r="C12483" s="236"/>
      <c r="D12483" s="236"/>
    </row>
    <row r="12484" spans="2:4" ht="12.75" customHeight="1" x14ac:dyDescent="0.2">
      <c r="B12484" s="236"/>
      <c r="C12484" s="236"/>
      <c r="D12484" s="236"/>
    </row>
    <row r="12485" spans="2:4" ht="12.75" customHeight="1" x14ac:dyDescent="0.2">
      <c r="B12485" s="236"/>
      <c r="C12485" s="236"/>
      <c r="D12485" s="236"/>
    </row>
    <row r="12486" spans="2:4" ht="12.75" customHeight="1" x14ac:dyDescent="0.2">
      <c r="B12486" s="236"/>
      <c r="C12486" s="236"/>
      <c r="D12486" s="236"/>
    </row>
    <row r="12487" spans="2:4" ht="12.75" customHeight="1" x14ac:dyDescent="0.2">
      <c r="B12487" s="236"/>
      <c r="C12487" s="236"/>
      <c r="D12487" s="236"/>
    </row>
    <row r="12488" spans="2:4" x14ac:dyDescent="0.2">
      <c r="B12488" s="236"/>
      <c r="C12488" s="236"/>
      <c r="D12488" s="236"/>
    </row>
    <row r="12489" spans="2:4" x14ac:dyDescent="0.2">
      <c r="B12489" s="236"/>
      <c r="C12489" s="236"/>
      <c r="D12489" s="236"/>
    </row>
    <row r="12490" spans="2:4" ht="12.75" customHeight="1" x14ac:dyDescent="0.2">
      <c r="B12490" s="236"/>
      <c r="C12490" s="236"/>
      <c r="D12490" s="236"/>
    </row>
    <row r="12491" spans="2:4" ht="12.75" customHeight="1" x14ac:dyDescent="0.2">
      <c r="B12491" s="236"/>
      <c r="C12491" s="236"/>
      <c r="D12491" s="236"/>
    </row>
    <row r="12492" spans="2:4" x14ac:dyDescent="0.2">
      <c r="B12492" s="236"/>
      <c r="C12492" s="236"/>
      <c r="D12492" s="236"/>
    </row>
    <row r="12493" spans="2:4" x14ac:dyDescent="0.2">
      <c r="B12493" s="236"/>
      <c r="C12493" s="236"/>
      <c r="D12493" s="236"/>
    </row>
    <row r="12494" spans="2:4" ht="12.75" customHeight="1" x14ac:dyDescent="0.2">
      <c r="B12494" s="236"/>
      <c r="C12494" s="236"/>
      <c r="D12494" s="236"/>
    </row>
    <row r="12495" spans="2:4" ht="12.75" customHeight="1" x14ac:dyDescent="0.2">
      <c r="B12495" s="236"/>
      <c r="C12495" s="236"/>
      <c r="D12495" s="236"/>
    </row>
    <row r="12496" spans="2:4" ht="12.75" customHeight="1" x14ac:dyDescent="0.2">
      <c r="B12496" s="236"/>
      <c r="C12496" s="236"/>
      <c r="D12496" s="236"/>
    </row>
    <row r="12497" spans="2:4" ht="12.75" customHeight="1" x14ac:dyDescent="0.2">
      <c r="B12497" s="236"/>
      <c r="C12497" s="236"/>
      <c r="D12497" s="236"/>
    </row>
    <row r="12498" spans="2:4" ht="12.75" customHeight="1" x14ac:dyDescent="0.2">
      <c r="B12498" s="236"/>
      <c r="C12498" s="236"/>
      <c r="D12498" s="236"/>
    </row>
    <row r="12499" spans="2:4" ht="12.75" customHeight="1" x14ac:dyDescent="0.2">
      <c r="B12499" s="236"/>
      <c r="C12499" s="236"/>
      <c r="D12499" s="236"/>
    </row>
    <row r="12500" spans="2:4" ht="12.75" customHeight="1" x14ac:dyDescent="0.2">
      <c r="B12500" s="236"/>
      <c r="C12500" s="236"/>
      <c r="D12500" s="236"/>
    </row>
    <row r="12501" spans="2:4" ht="12.75" customHeight="1" x14ac:dyDescent="0.2">
      <c r="B12501" s="236"/>
      <c r="C12501" s="236"/>
      <c r="D12501" s="236"/>
    </row>
    <row r="12502" spans="2:4" ht="12.75" customHeight="1" x14ac:dyDescent="0.2">
      <c r="B12502" s="236"/>
      <c r="C12502" s="236"/>
      <c r="D12502" s="236"/>
    </row>
    <row r="12503" spans="2:4" ht="12.75" customHeight="1" x14ac:dyDescent="0.2">
      <c r="B12503" s="236"/>
      <c r="C12503" s="236"/>
      <c r="D12503" s="236"/>
    </row>
    <row r="12504" spans="2:4" x14ac:dyDescent="0.2">
      <c r="B12504" s="236"/>
      <c r="C12504" s="236"/>
      <c r="D12504" s="236"/>
    </row>
    <row r="12505" spans="2:4" ht="12.75" customHeight="1" x14ac:dyDescent="0.2">
      <c r="B12505" s="236"/>
      <c r="C12505" s="236"/>
      <c r="D12505" s="236"/>
    </row>
    <row r="12506" spans="2:4" x14ac:dyDescent="0.2">
      <c r="B12506" s="236"/>
      <c r="C12506" s="236"/>
      <c r="D12506" s="236"/>
    </row>
    <row r="12507" spans="2:4" x14ac:dyDescent="0.2">
      <c r="B12507" s="236"/>
      <c r="C12507" s="236"/>
      <c r="D12507" s="236"/>
    </row>
    <row r="12508" spans="2:4" x14ac:dyDescent="0.2">
      <c r="B12508" s="236"/>
      <c r="C12508" s="236"/>
      <c r="D12508" s="236"/>
    </row>
    <row r="12509" spans="2:4" ht="12.75" customHeight="1" x14ac:dyDescent="0.2">
      <c r="B12509" s="236"/>
      <c r="C12509" s="236"/>
      <c r="D12509" s="236"/>
    </row>
    <row r="12510" spans="2:4" ht="12.75" customHeight="1" x14ac:dyDescent="0.2">
      <c r="B12510" s="236"/>
      <c r="C12510" s="236"/>
      <c r="D12510" s="236"/>
    </row>
    <row r="12511" spans="2:4" ht="12.75" customHeight="1" x14ac:dyDescent="0.2">
      <c r="B12511" s="236"/>
      <c r="C12511" s="236"/>
      <c r="D12511" s="236"/>
    </row>
    <row r="12512" spans="2:4" ht="12.75" customHeight="1" x14ac:dyDescent="0.2">
      <c r="B12512" s="236"/>
      <c r="C12512" s="236"/>
      <c r="D12512" s="236"/>
    </row>
    <row r="12513" spans="2:4" ht="12.75" customHeight="1" x14ac:dyDescent="0.2">
      <c r="B12513" s="236"/>
      <c r="C12513" s="236"/>
      <c r="D12513" s="236"/>
    </row>
    <row r="12514" spans="2:4" ht="12.75" customHeight="1" x14ac:dyDescent="0.2">
      <c r="B12514" s="236"/>
      <c r="C12514" s="236"/>
      <c r="D12514" s="236"/>
    </row>
    <row r="12515" spans="2:4" ht="12.75" customHeight="1" x14ac:dyDescent="0.2">
      <c r="B12515" s="236"/>
      <c r="C12515" s="236"/>
      <c r="D12515" s="236"/>
    </row>
    <row r="12516" spans="2:4" ht="12.75" customHeight="1" x14ac:dyDescent="0.2">
      <c r="B12516" s="236"/>
      <c r="C12516" s="236"/>
      <c r="D12516" s="236"/>
    </row>
    <row r="12517" spans="2:4" ht="12.75" customHeight="1" x14ac:dyDescent="0.2">
      <c r="B12517" s="236"/>
      <c r="C12517" s="236"/>
      <c r="D12517" s="236"/>
    </row>
    <row r="12518" spans="2:4" ht="12.75" customHeight="1" x14ac:dyDescent="0.2">
      <c r="B12518" s="236"/>
      <c r="C12518" s="236"/>
      <c r="D12518" s="236"/>
    </row>
    <row r="12519" spans="2:4" ht="12.75" customHeight="1" x14ac:dyDescent="0.2">
      <c r="B12519" s="236"/>
      <c r="C12519" s="236"/>
      <c r="D12519" s="236"/>
    </row>
    <row r="12520" spans="2:4" x14ac:dyDescent="0.2">
      <c r="B12520" s="236"/>
      <c r="C12520" s="236"/>
      <c r="D12520" s="236"/>
    </row>
    <row r="12521" spans="2:4" ht="12.75" customHeight="1" x14ac:dyDescent="0.2">
      <c r="B12521" s="236"/>
      <c r="C12521" s="236"/>
      <c r="D12521" s="236"/>
    </row>
    <row r="12522" spans="2:4" x14ac:dyDescent="0.2">
      <c r="B12522" s="236"/>
      <c r="C12522" s="236"/>
      <c r="D12522" s="236"/>
    </row>
    <row r="12523" spans="2:4" x14ac:dyDescent="0.2">
      <c r="B12523" s="236"/>
      <c r="C12523" s="236"/>
      <c r="D12523" s="236"/>
    </row>
    <row r="12524" spans="2:4" x14ac:dyDescent="0.2">
      <c r="B12524" s="236"/>
      <c r="C12524" s="236"/>
      <c r="D12524" s="236"/>
    </row>
    <row r="12525" spans="2:4" ht="12.75" customHeight="1" x14ac:dyDescent="0.2">
      <c r="B12525" s="236"/>
      <c r="C12525" s="236"/>
      <c r="D12525" s="236"/>
    </row>
    <row r="12526" spans="2:4" ht="12.75" customHeight="1" x14ac:dyDescent="0.2">
      <c r="B12526" s="236"/>
      <c r="C12526" s="236"/>
      <c r="D12526" s="236"/>
    </row>
    <row r="12527" spans="2:4" ht="12.75" customHeight="1" x14ac:dyDescent="0.2">
      <c r="B12527" s="236"/>
      <c r="C12527" s="236"/>
      <c r="D12527" s="236"/>
    </row>
    <row r="12528" spans="2:4" ht="12.75" customHeight="1" x14ac:dyDescent="0.2">
      <c r="B12528" s="236"/>
      <c r="C12528" s="236"/>
      <c r="D12528" s="236"/>
    </row>
    <row r="12529" spans="2:4" ht="12.75" customHeight="1" x14ac:dyDescent="0.2">
      <c r="B12529" s="236"/>
      <c r="C12529" s="236"/>
      <c r="D12529" s="236"/>
    </row>
    <row r="12530" spans="2:4" ht="12.75" customHeight="1" x14ac:dyDescent="0.2">
      <c r="B12530" s="236"/>
      <c r="C12530" s="236"/>
      <c r="D12530" s="236"/>
    </row>
    <row r="12531" spans="2:4" ht="12.75" customHeight="1" x14ac:dyDescent="0.2">
      <c r="B12531" s="236"/>
      <c r="C12531" s="236"/>
      <c r="D12531" s="236"/>
    </row>
    <row r="12532" spans="2:4" ht="12.75" customHeight="1" x14ac:dyDescent="0.2">
      <c r="B12532" s="236"/>
      <c r="C12532" s="236"/>
      <c r="D12532" s="236"/>
    </row>
    <row r="12533" spans="2:4" ht="12.75" customHeight="1" x14ac:dyDescent="0.2">
      <c r="B12533" s="236"/>
      <c r="C12533" s="236"/>
      <c r="D12533" s="236"/>
    </row>
    <row r="12534" spans="2:4" ht="12.75" customHeight="1" x14ac:dyDescent="0.2">
      <c r="B12534" s="236"/>
      <c r="C12534" s="236"/>
      <c r="D12534" s="236"/>
    </row>
    <row r="12535" spans="2:4" ht="12.75" customHeight="1" x14ac:dyDescent="0.2">
      <c r="B12535" s="236"/>
      <c r="C12535" s="236"/>
      <c r="D12535" s="236"/>
    </row>
    <row r="12536" spans="2:4" x14ac:dyDescent="0.2">
      <c r="B12536" s="236"/>
      <c r="C12536" s="236"/>
      <c r="D12536" s="236"/>
    </row>
    <row r="12537" spans="2:4" ht="12.75" customHeight="1" x14ac:dyDescent="0.2">
      <c r="B12537" s="236"/>
      <c r="C12537" s="236"/>
      <c r="D12537" s="236"/>
    </row>
    <row r="12538" spans="2:4" x14ac:dyDescent="0.2">
      <c r="B12538" s="236"/>
      <c r="C12538" s="236"/>
      <c r="D12538" s="236"/>
    </row>
    <row r="12539" spans="2:4" x14ac:dyDescent="0.2">
      <c r="B12539" s="236"/>
      <c r="C12539" s="236"/>
      <c r="D12539" s="236"/>
    </row>
    <row r="12540" spans="2:4" ht="12.75" customHeight="1" x14ac:dyDescent="0.2">
      <c r="B12540" s="236"/>
      <c r="C12540" s="236"/>
      <c r="D12540" s="236"/>
    </row>
    <row r="12541" spans="2:4" ht="12.75" customHeight="1" x14ac:dyDescent="0.2">
      <c r="B12541" s="236"/>
      <c r="C12541" s="236"/>
      <c r="D12541" s="236"/>
    </row>
    <row r="12542" spans="2:4" x14ac:dyDescent="0.2">
      <c r="B12542" s="236"/>
      <c r="C12542" s="236"/>
      <c r="D12542" s="236"/>
    </row>
    <row r="12543" spans="2:4" ht="12.75" customHeight="1" x14ac:dyDescent="0.2">
      <c r="B12543" s="236"/>
      <c r="C12543" s="236"/>
      <c r="D12543" s="236"/>
    </row>
    <row r="12544" spans="2:4" x14ac:dyDescent="0.2">
      <c r="B12544" s="236"/>
      <c r="C12544" s="236"/>
      <c r="D12544" s="236"/>
    </row>
    <row r="12545" spans="2:4" x14ac:dyDescent="0.2">
      <c r="B12545" s="236"/>
      <c r="C12545" s="236"/>
      <c r="D12545" s="236"/>
    </row>
    <row r="12546" spans="2:4" ht="12.75" customHeight="1" x14ac:dyDescent="0.2">
      <c r="B12546" s="236"/>
      <c r="C12546" s="236"/>
      <c r="D12546" s="236"/>
    </row>
    <row r="12547" spans="2:4" ht="12.75" customHeight="1" x14ac:dyDescent="0.2">
      <c r="B12547" s="236"/>
      <c r="C12547" s="236"/>
      <c r="D12547" s="236"/>
    </row>
    <row r="12548" spans="2:4" ht="12.75" customHeight="1" x14ac:dyDescent="0.2">
      <c r="B12548" s="236"/>
      <c r="C12548" s="236"/>
      <c r="D12548" s="236"/>
    </row>
    <row r="12549" spans="2:4" ht="12.75" customHeight="1" x14ac:dyDescent="0.2">
      <c r="B12549" s="236"/>
      <c r="C12549" s="236"/>
      <c r="D12549" s="236"/>
    </row>
    <row r="12550" spans="2:4" ht="12.75" customHeight="1" x14ac:dyDescent="0.2">
      <c r="B12550" s="236"/>
      <c r="C12550" s="236"/>
      <c r="D12550" s="236"/>
    </row>
    <row r="12551" spans="2:4" ht="12.75" customHeight="1" x14ac:dyDescent="0.2">
      <c r="B12551" s="236"/>
      <c r="C12551" s="236"/>
      <c r="D12551" s="236"/>
    </row>
    <row r="12552" spans="2:4" ht="12.75" customHeight="1" x14ac:dyDescent="0.2">
      <c r="B12552" s="236"/>
      <c r="C12552" s="236"/>
      <c r="D12552" s="236"/>
    </row>
    <row r="12553" spans="2:4" ht="12.75" customHeight="1" x14ac:dyDescent="0.2">
      <c r="B12553" s="236"/>
      <c r="C12553" s="236"/>
      <c r="D12553" s="236"/>
    </row>
    <row r="12554" spans="2:4" ht="12.75" customHeight="1" x14ac:dyDescent="0.2">
      <c r="B12554" s="236"/>
      <c r="C12554" s="236"/>
      <c r="D12554" s="236"/>
    </row>
    <row r="12555" spans="2:4" ht="12.75" customHeight="1" x14ac:dyDescent="0.2">
      <c r="B12555" s="236"/>
      <c r="C12555" s="236"/>
      <c r="D12555" s="236"/>
    </row>
    <row r="12556" spans="2:4" ht="12.75" customHeight="1" x14ac:dyDescent="0.2">
      <c r="B12556" s="236"/>
      <c r="C12556" s="236"/>
      <c r="D12556" s="236"/>
    </row>
    <row r="12557" spans="2:4" ht="12.75" customHeight="1" x14ac:dyDescent="0.2">
      <c r="B12557" s="236"/>
      <c r="C12557" s="236"/>
      <c r="D12557" s="236"/>
    </row>
    <row r="12558" spans="2:4" ht="12.75" customHeight="1" x14ac:dyDescent="0.2">
      <c r="B12558" s="236"/>
      <c r="C12558" s="236"/>
      <c r="D12558" s="236"/>
    </row>
    <row r="12559" spans="2:4" x14ac:dyDescent="0.2">
      <c r="B12559" s="236"/>
      <c r="C12559" s="236"/>
      <c r="D12559" s="236"/>
    </row>
    <row r="12560" spans="2:4" x14ac:dyDescent="0.2">
      <c r="B12560" s="236"/>
      <c r="C12560" s="236"/>
      <c r="D12560" s="236"/>
    </row>
    <row r="12561" spans="2:4" x14ac:dyDescent="0.2">
      <c r="B12561" s="236"/>
      <c r="C12561" s="236"/>
      <c r="D12561" s="236"/>
    </row>
    <row r="12562" spans="2:4" ht="12.75" customHeight="1" x14ac:dyDescent="0.2">
      <c r="B12562" s="236"/>
      <c r="C12562" s="236"/>
      <c r="D12562" s="236"/>
    </row>
    <row r="12563" spans="2:4" ht="12.75" customHeight="1" x14ac:dyDescent="0.2">
      <c r="B12563" s="236"/>
      <c r="C12563" s="236"/>
      <c r="D12563" s="236"/>
    </row>
    <row r="12564" spans="2:4" ht="12.75" customHeight="1" x14ac:dyDescent="0.2">
      <c r="B12564" s="236"/>
      <c r="C12564" s="236"/>
      <c r="D12564" s="236"/>
    </row>
    <row r="12565" spans="2:4" ht="12.75" customHeight="1" x14ac:dyDescent="0.2">
      <c r="B12565" s="236"/>
      <c r="C12565" s="236"/>
      <c r="D12565" s="236"/>
    </row>
    <row r="12566" spans="2:4" ht="12.75" customHeight="1" x14ac:dyDescent="0.2">
      <c r="B12566" s="236"/>
      <c r="C12566" s="236"/>
      <c r="D12566" s="236"/>
    </row>
    <row r="12567" spans="2:4" ht="12.75" customHeight="1" x14ac:dyDescent="0.2">
      <c r="B12567" s="236"/>
      <c r="C12567" s="236"/>
      <c r="D12567" s="236"/>
    </row>
    <row r="12568" spans="2:4" ht="12.75" customHeight="1" x14ac:dyDescent="0.2">
      <c r="B12568" s="236"/>
      <c r="C12568" s="236"/>
      <c r="D12568" s="236"/>
    </row>
    <row r="12569" spans="2:4" ht="12.75" customHeight="1" x14ac:dyDescent="0.2">
      <c r="B12569" s="236"/>
      <c r="C12569" s="236"/>
      <c r="D12569" s="236"/>
    </row>
    <row r="12570" spans="2:4" ht="12.75" customHeight="1" x14ac:dyDescent="0.2">
      <c r="B12570" s="236"/>
      <c r="C12570" s="236"/>
      <c r="D12570" s="236"/>
    </row>
    <row r="12571" spans="2:4" ht="12.75" customHeight="1" x14ac:dyDescent="0.2">
      <c r="B12571" s="236"/>
      <c r="C12571" s="236"/>
      <c r="D12571" s="236"/>
    </row>
    <row r="12572" spans="2:4" ht="12.75" customHeight="1" x14ac:dyDescent="0.2">
      <c r="B12572" s="236"/>
      <c r="C12572" s="236"/>
      <c r="D12572" s="236"/>
    </row>
    <row r="12573" spans="2:4" ht="12.75" customHeight="1" x14ac:dyDescent="0.2">
      <c r="B12573" s="236"/>
      <c r="C12573" s="236"/>
      <c r="D12573" s="236"/>
    </row>
    <row r="12574" spans="2:4" ht="12.75" customHeight="1" x14ac:dyDescent="0.2">
      <c r="B12574" s="236"/>
      <c r="C12574" s="236"/>
      <c r="D12574" s="236"/>
    </row>
    <row r="12575" spans="2:4" ht="12.75" customHeight="1" x14ac:dyDescent="0.2">
      <c r="B12575" s="236"/>
      <c r="C12575" s="236"/>
      <c r="D12575" s="236"/>
    </row>
    <row r="12576" spans="2:4" x14ac:dyDescent="0.2">
      <c r="B12576" s="236"/>
      <c r="C12576" s="236"/>
      <c r="D12576" s="236"/>
    </row>
    <row r="12577" spans="2:4" ht="12.75" customHeight="1" x14ac:dyDescent="0.2">
      <c r="B12577" s="236"/>
      <c r="C12577" s="236"/>
      <c r="D12577" s="236"/>
    </row>
    <row r="12578" spans="2:4" x14ac:dyDescent="0.2">
      <c r="B12578" s="236"/>
      <c r="C12578" s="236"/>
      <c r="D12578" s="236"/>
    </row>
    <row r="12579" spans="2:4" ht="12.75" customHeight="1" x14ac:dyDescent="0.2">
      <c r="B12579" s="236"/>
      <c r="C12579" s="236"/>
      <c r="D12579" s="236"/>
    </row>
    <row r="12580" spans="2:4" ht="12.75" customHeight="1" x14ac:dyDescent="0.2">
      <c r="B12580" s="236"/>
      <c r="C12580" s="236"/>
      <c r="D12580" s="236"/>
    </row>
    <row r="12581" spans="2:4" ht="12.75" customHeight="1" x14ac:dyDescent="0.2">
      <c r="B12581" s="236"/>
      <c r="C12581" s="236"/>
      <c r="D12581" s="236"/>
    </row>
    <row r="12582" spans="2:4" ht="12.75" customHeight="1" x14ac:dyDescent="0.2">
      <c r="B12582" s="236"/>
      <c r="C12582" s="236"/>
      <c r="D12582" s="236"/>
    </row>
    <row r="12583" spans="2:4" ht="12.75" customHeight="1" x14ac:dyDescent="0.2">
      <c r="B12583" s="236"/>
      <c r="C12583" s="236"/>
      <c r="D12583" s="236"/>
    </row>
    <row r="12584" spans="2:4" ht="12.75" customHeight="1" x14ac:dyDescent="0.2">
      <c r="B12584" s="236"/>
      <c r="C12584" s="236"/>
      <c r="D12584" s="236"/>
    </row>
    <row r="12585" spans="2:4" ht="12.75" customHeight="1" x14ac:dyDescent="0.2">
      <c r="B12585" s="236"/>
      <c r="C12585" s="236"/>
      <c r="D12585" s="236"/>
    </row>
    <row r="12586" spans="2:4" ht="12.75" customHeight="1" x14ac:dyDescent="0.2">
      <c r="B12586" s="236"/>
      <c r="C12586" s="236"/>
      <c r="D12586" s="236"/>
    </row>
    <row r="12587" spans="2:4" ht="12.75" customHeight="1" x14ac:dyDescent="0.2">
      <c r="B12587" s="236"/>
      <c r="C12587" s="236"/>
      <c r="D12587" s="236"/>
    </row>
    <row r="12588" spans="2:4" x14ac:dyDescent="0.2">
      <c r="B12588" s="236"/>
      <c r="C12588" s="236"/>
      <c r="D12588" s="236"/>
    </row>
    <row r="12589" spans="2:4" ht="12.75" customHeight="1" x14ac:dyDescent="0.2">
      <c r="B12589" s="236"/>
      <c r="C12589" s="236"/>
      <c r="D12589" s="236"/>
    </row>
    <row r="12590" spans="2:4" x14ac:dyDescent="0.2">
      <c r="B12590" s="236"/>
      <c r="C12590" s="236"/>
      <c r="D12590" s="236"/>
    </row>
    <row r="12591" spans="2:4" ht="12.75" customHeight="1" x14ac:dyDescent="0.2">
      <c r="B12591" s="236"/>
      <c r="C12591" s="236"/>
      <c r="D12591" s="236"/>
    </row>
    <row r="12592" spans="2:4" x14ac:dyDescent="0.2">
      <c r="B12592" s="236"/>
      <c r="C12592" s="236"/>
      <c r="D12592" s="236"/>
    </row>
    <row r="12593" spans="2:4" ht="12.75" customHeight="1" x14ac:dyDescent="0.2">
      <c r="B12593" s="236"/>
      <c r="C12593" s="236"/>
      <c r="D12593" s="236"/>
    </row>
    <row r="12594" spans="2:4" ht="12.75" customHeight="1" x14ac:dyDescent="0.2">
      <c r="B12594" s="236"/>
      <c r="C12594" s="236"/>
      <c r="D12594" s="236"/>
    </row>
    <row r="12595" spans="2:4" ht="12.75" customHeight="1" x14ac:dyDescent="0.2">
      <c r="B12595" s="236"/>
      <c r="C12595" s="236"/>
      <c r="D12595" s="236"/>
    </row>
    <row r="12596" spans="2:4" ht="12.75" customHeight="1" x14ac:dyDescent="0.2">
      <c r="B12596" s="236"/>
      <c r="C12596" s="236"/>
      <c r="D12596" s="236"/>
    </row>
    <row r="12597" spans="2:4" x14ac:dyDescent="0.2">
      <c r="B12597" s="236"/>
      <c r="C12597" s="236"/>
      <c r="D12597" s="236"/>
    </row>
    <row r="12598" spans="2:4" ht="12.75" customHeight="1" x14ac:dyDescent="0.2">
      <c r="B12598" s="236"/>
      <c r="C12598" s="236"/>
      <c r="D12598" s="236"/>
    </row>
    <row r="12599" spans="2:4" ht="12.75" customHeight="1" x14ac:dyDescent="0.2">
      <c r="B12599" s="236"/>
      <c r="C12599" s="236"/>
      <c r="D12599" s="236"/>
    </row>
    <row r="12600" spans="2:4" x14ac:dyDescent="0.2">
      <c r="B12600" s="236"/>
      <c r="C12600" s="236"/>
      <c r="D12600" s="236"/>
    </row>
    <row r="12601" spans="2:4" ht="12.75" customHeight="1" x14ac:dyDescent="0.2">
      <c r="B12601" s="236"/>
      <c r="C12601" s="236"/>
      <c r="D12601" s="236"/>
    </row>
    <row r="12602" spans="2:4" ht="12.75" customHeight="1" x14ac:dyDescent="0.2">
      <c r="B12602" s="236"/>
      <c r="C12602" s="236"/>
      <c r="D12602" s="236"/>
    </row>
    <row r="12603" spans="2:4" ht="12.75" customHeight="1" x14ac:dyDescent="0.2">
      <c r="B12603" s="236"/>
      <c r="C12603" s="236"/>
      <c r="D12603" s="236"/>
    </row>
    <row r="12604" spans="2:4" x14ac:dyDescent="0.2">
      <c r="B12604" s="236"/>
      <c r="C12604" s="236"/>
      <c r="D12604" s="236"/>
    </row>
    <row r="12605" spans="2:4" ht="12.75" customHeight="1" x14ac:dyDescent="0.2">
      <c r="B12605" s="236"/>
      <c r="C12605" s="236"/>
      <c r="D12605" s="236"/>
    </row>
    <row r="12606" spans="2:4" x14ac:dyDescent="0.2">
      <c r="B12606" s="236"/>
      <c r="C12606" s="236"/>
      <c r="D12606" s="236"/>
    </row>
    <row r="12607" spans="2:4" ht="12.75" customHeight="1" x14ac:dyDescent="0.2">
      <c r="B12607" s="236"/>
      <c r="C12607" s="236"/>
      <c r="D12607" s="236"/>
    </row>
    <row r="12608" spans="2:4" x14ac:dyDescent="0.2">
      <c r="B12608" s="236"/>
      <c r="C12608" s="236"/>
      <c r="D12608" s="236"/>
    </row>
    <row r="12609" spans="2:4" ht="12.75" customHeight="1" x14ac:dyDescent="0.2">
      <c r="B12609" s="236"/>
      <c r="C12609" s="236"/>
      <c r="D12609" s="236"/>
    </row>
    <row r="12610" spans="2:4" x14ac:dyDescent="0.2">
      <c r="B12610" s="236"/>
      <c r="C12610" s="236"/>
      <c r="D12610" s="236"/>
    </row>
    <row r="12611" spans="2:4" ht="12.75" customHeight="1" x14ac:dyDescent="0.2">
      <c r="B12611" s="236"/>
      <c r="C12611" s="236"/>
      <c r="D12611" s="236"/>
    </row>
    <row r="12612" spans="2:4" x14ac:dyDescent="0.2">
      <c r="B12612" s="236"/>
      <c r="C12612" s="236"/>
      <c r="D12612" s="236"/>
    </row>
    <row r="12613" spans="2:4" ht="12.75" customHeight="1" x14ac:dyDescent="0.2">
      <c r="B12613" s="236"/>
      <c r="C12613" s="236"/>
      <c r="D12613" s="236"/>
    </row>
    <row r="12614" spans="2:4" ht="12.75" customHeight="1" x14ac:dyDescent="0.2">
      <c r="B12614" s="236"/>
      <c r="C12614" s="236"/>
      <c r="D12614" s="236"/>
    </row>
    <row r="12615" spans="2:4" ht="12.75" customHeight="1" x14ac:dyDescent="0.2">
      <c r="B12615" s="236"/>
      <c r="C12615" s="236"/>
      <c r="D12615" s="236"/>
    </row>
    <row r="12616" spans="2:4" ht="12.75" customHeight="1" x14ac:dyDescent="0.2">
      <c r="B12616" s="236"/>
      <c r="C12616" s="236"/>
      <c r="D12616" s="236"/>
    </row>
    <row r="12617" spans="2:4" ht="12.75" customHeight="1" x14ac:dyDescent="0.2">
      <c r="B12617" s="236"/>
      <c r="C12617" s="236"/>
      <c r="D12617" s="236"/>
    </row>
    <row r="12618" spans="2:4" ht="12.75" customHeight="1" x14ac:dyDescent="0.2">
      <c r="B12618" s="236"/>
      <c r="C12618" s="236"/>
      <c r="D12618" s="236"/>
    </row>
    <row r="12619" spans="2:4" ht="12.75" customHeight="1" x14ac:dyDescent="0.2">
      <c r="B12619" s="236"/>
      <c r="C12619" s="236"/>
      <c r="D12619" s="236"/>
    </row>
    <row r="12620" spans="2:4" ht="12.75" customHeight="1" x14ac:dyDescent="0.2">
      <c r="B12620" s="236"/>
      <c r="C12620" s="236"/>
      <c r="D12620" s="236"/>
    </row>
    <row r="12621" spans="2:4" ht="12.75" customHeight="1" x14ac:dyDescent="0.2">
      <c r="B12621" s="236"/>
      <c r="C12621" s="236"/>
      <c r="D12621" s="236"/>
    </row>
    <row r="12622" spans="2:4" ht="12.75" customHeight="1" x14ac:dyDescent="0.2">
      <c r="B12622" s="236"/>
      <c r="C12622" s="236"/>
      <c r="D12622" s="236"/>
    </row>
    <row r="12623" spans="2:4" ht="12.75" customHeight="1" x14ac:dyDescent="0.2">
      <c r="B12623" s="236"/>
      <c r="C12623" s="236"/>
      <c r="D12623" s="236"/>
    </row>
    <row r="12624" spans="2:4" x14ac:dyDescent="0.2">
      <c r="B12624" s="236"/>
      <c r="C12624" s="236"/>
      <c r="D12624" s="236"/>
    </row>
    <row r="12625" spans="2:4" ht="12.75" customHeight="1" x14ac:dyDescent="0.2">
      <c r="B12625" s="236"/>
      <c r="C12625" s="236"/>
      <c r="D12625" s="236"/>
    </row>
    <row r="12626" spans="2:4" x14ac:dyDescent="0.2">
      <c r="B12626" s="236"/>
      <c r="C12626" s="236"/>
      <c r="D12626" s="236"/>
    </row>
    <row r="12627" spans="2:4" ht="12.75" customHeight="1" x14ac:dyDescent="0.2">
      <c r="B12627" s="236"/>
      <c r="C12627" s="236"/>
      <c r="D12627" s="236"/>
    </row>
    <row r="12628" spans="2:4" ht="12.75" customHeight="1" x14ac:dyDescent="0.2">
      <c r="B12628" s="236"/>
      <c r="C12628" s="236"/>
      <c r="D12628" s="236"/>
    </row>
    <row r="12629" spans="2:4" ht="12.75" customHeight="1" x14ac:dyDescent="0.2">
      <c r="B12629" s="236"/>
      <c r="C12629" s="236"/>
      <c r="D12629" s="236"/>
    </row>
    <row r="12630" spans="2:4" x14ac:dyDescent="0.2">
      <c r="B12630" s="236"/>
      <c r="C12630" s="236"/>
      <c r="D12630" s="236"/>
    </row>
    <row r="12631" spans="2:4" ht="12.75" customHeight="1" x14ac:dyDescent="0.2">
      <c r="B12631" s="236"/>
      <c r="C12631" s="236"/>
      <c r="D12631" s="236"/>
    </row>
    <row r="12632" spans="2:4" ht="12.75" customHeight="1" x14ac:dyDescent="0.2">
      <c r="B12632" s="236"/>
      <c r="C12632" s="236"/>
      <c r="D12632" s="236"/>
    </row>
    <row r="12633" spans="2:4" ht="12.75" customHeight="1" x14ac:dyDescent="0.2">
      <c r="B12633" s="236"/>
      <c r="C12633" s="236"/>
      <c r="D12633" s="236"/>
    </row>
    <row r="12634" spans="2:4" ht="12.75" customHeight="1" x14ac:dyDescent="0.2">
      <c r="B12634" s="236"/>
      <c r="C12634" s="236"/>
      <c r="D12634" s="236"/>
    </row>
    <row r="12635" spans="2:4" ht="12.75" customHeight="1" x14ac:dyDescent="0.2">
      <c r="B12635" s="236"/>
      <c r="C12635" s="236"/>
      <c r="D12635" s="236"/>
    </row>
    <row r="12636" spans="2:4" x14ac:dyDescent="0.2">
      <c r="B12636" s="236"/>
      <c r="C12636" s="236"/>
      <c r="D12636" s="236"/>
    </row>
    <row r="12637" spans="2:4" ht="12.75" customHeight="1" x14ac:dyDescent="0.2">
      <c r="B12637" s="236"/>
      <c r="C12637" s="236"/>
      <c r="D12637" s="236"/>
    </row>
    <row r="12638" spans="2:4" ht="12.75" customHeight="1" x14ac:dyDescent="0.2">
      <c r="B12638" s="236"/>
      <c r="C12638" s="236"/>
      <c r="D12638" s="236"/>
    </row>
    <row r="12639" spans="2:4" x14ac:dyDescent="0.2">
      <c r="B12639" s="236"/>
      <c r="C12639" s="236"/>
      <c r="D12639" s="236"/>
    </row>
    <row r="12640" spans="2:4" ht="12.75" customHeight="1" x14ac:dyDescent="0.2">
      <c r="B12640" s="236"/>
      <c r="C12640" s="236"/>
      <c r="D12640" s="236"/>
    </row>
    <row r="12641" spans="2:4" x14ac:dyDescent="0.2">
      <c r="B12641" s="236"/>
      <c r="C12641" s="236"/>
      <c r="D12641" s="236"/>
    </row>
    <row r="12642" spans="2:4" ht="12.75" customHeight="1" x14ac:dyDescent="0.2">
      <c r="B12642" s="236"/>
      <c r="C12642" s="236"/>
      <c r="D12642" s="236"/>
    </row>
    <row r="12643" spans="2:4" ht="12.75" customHeight="1" x14ac:dyDescent="0.2">
      <c r="B12643" s="236"/>
      <c r="C12643" s="236"/>
      <c r="D12643" s="236"/>
    </row>
    <row r="12644" spans="2:4" ht="12.75" customHeight="1" x14ac:dyDescent="0.2">
      <c r="B12644" s="236"/>
      <c r="C12644" s="236"/>
      <c r="D12644" s="236"/>
    </row>
    <row r="12645" spans="2:4" ht="12.75" customHeight="1" x14ac:dyDescent="0.2">
      <c r="B12645" s="236"/>
      <c r="C12645" s="236"/>
      <c r="D12645" s="236"/>
    </row>
    <row r="12646" spans="2:4" ht="12.75" customHeight="1" x14ac:dyDescent="0.2">
      <c r="B12646" s="236"/>
      <c r="C12646" s="236"/>
      <c r="D12646" s="236"/>
    </row>
    <row r="12647" spans="2:4" x14ac:dyDescent="0.2">
      <c r="B12647" s="236"/>
      <c r="C12647" s="236"/>
      <c r="D12647" s="236"/>
    </row>
    <row r="12648" spans="2:4" ht="12.75" customHeight="1" x14ac:dyDescent="0.2">
      <c r="B12648" s="236"/>
      <c r="C12648" s="236"/>
      <c r="D12648" s="236"/>
    </row>
    <row r="12649" spans="2:4" ht="12.75" customHeight="1" x14ac:dyDescent="0.2">
      <c r="B12649" s="236"/>
      <c r="C12649" s="236"/>
      <c r="D12649" s="236"/>
    </row>
    <row r="12650" spans="2:4" ht="12.75" customHeight="1" x14ac:dyDescent="0.2">
      <c r="B12650" s="236"/>
      <c r="C12650" s="236"/>
      <c r="D12650" s="236"/>
    </row>
    <row r="12651" spans="2:4" x14ac:dyDescent="0.2">
      <c r="B12651" s="236"/>
      <c r="C12651" s="236"/>
      <c r="D12651" s="236"/>
    </row>
    <row r="12652" spans="2:4" ht="12.75" customHeight="1" x14ac:dyDescent="0.2">
      <c r="B12652" s="236"/>
      <c r="C12652" s="236"/>
      <c r="D12652" s="236"/>
    </row>
    <row r="12653" spans="2:4" x14ac:dyDescent="0.2">
      <c r="B12653" s="236"/>
      <c r="C12653" s="236"/>
      <c r="D12653" s="236"/>
    </row>
    <row r="12654" spans="2:4" ht="12.75" customHeight="1" x14ac:dyDescent="0.2">
      <c r="B12654" s="236"/>
      <c r="C12654" s="236"/>
      <c r="D12654" s="236"/>
    </row>
    <row r="12655" spans="2:4" x14ac:dyDescent="0.2">
      <c r="B12655" s="236"/>
      <c r="C12655" s="236"/>
      <c r="D12655" s="236"/>
    </row>
    <row r="12656" spans="2:4" x14ac:dyDescent="0.2">
      <c r="B12656" s="236"/>
      <c r="C12656" s="236"/>
      <c r="D12656" s="236"/>
    </row>
    <row r="12657" spans="2:4" ht="12.75" customHeight="1" x14ac:dyDescent="0.2">
      <c r="B12657" s="236"/>
      <c r="C12657" s="236"/>
      <c r="D12657" s="236"/>
    </row>
    <row r="12658" spans="2:4" x14ac:dyDescent="0.2">
      <c r="B12658" s="236"/>
      <c r="C12658" s="236"/>
      <c r="D12658" s="236"/>
    </row>
    <row r="12659" spans="2:4" ht="12.75" customHeight="1" x14ac:dyDescent="0.2">
      <c r="B12659" s="236"/>
      <c r="C12659" s="236"/>
      <c r="D12659" s="236"/>
    </row>
    <row r="12660" spans="2:4" ht="12.75" customHeight="1" x14ac:dyDescent="0.2">
      <c r="B12660" s="236"/>
      <c r="C12660" s="236"/>
      <c r="D12660" s="236"/>
    </row>
    <row r="12661" spans="2:4" ht="12.75" customHeight="1" x14ac:dyDescent="0.2">
      <c r="B12661" s="236"/>
      <c r="C12661" s="236"/>
      <c r="D12661" s="236"/>
    </row>
    <row r="12662" spans="2:4" ht="12.75" customHeight="1" x14ac:dyDescent="0.2">
      <c r="B12662" s="236"/>
      <c r="C12662" s="236"/>
      <c r="D12662" s="236"/>
    </row>
    <row r="12663" spans="2:4" ht="12.75" customHeight="1" x14ac:dyDescent="0.2">
      <c r="B12663" s="236"/>
      <c r="C12663" s="236"/>
      <c r="D12663" s="236"/>
    </row>
    <row r="12664" spans="2:4" ht="12.75" customHeight="1" x14ac:dyDescent="0.2">
      <c r="B12664" s="236"/>
      <c r="C12664" s="236"/>
      <c r="D12664" s="236"/>
    </row>
    <row r="12665" spans="2:4" ht="12.75" customHeight="1" x14ac:dyDescent="0.2">
      <c r="B12665" s="236"/>
      <c r="C12665" s="236"/>
      <c r="D12665" s="236"/>
    </row>
    <row r="12666" spans="2:4" ht="12.75" customHeight="1" x14ac:dyDescent="0.2">
      <c r="B12666" s="236"/>
      <c r="C12666" s="236"/>
      <c r="D12666" s="236"/>
    </row>
    <row r="12667" spans="2:4" ht="12.75" customHeight="1" x14ac:dyDescent="0.2">
      <c r="B12667" s="236"/>
      <c r="C12667" s="236"/>
      <c r="D12667" s="236"/>
    </row>
    <row r="12668" spans="2:4" ht="12.75" customHeight="1" x14ac:dyDescent="0.2">
      <c r="B12668" s="236"/>
      <c r="C12668" s="236"/>
      <c r="D12668" s="236"/>
    </row>
    <row r="12669" spans="2:4" ht="12.75" customHeight="1" x14ac:dyDescent="0.2">
      <c r="B12669" s="236"/>
      <c r="C12669" s="236"/>
      <c r="D12669" s="236"/>
    </row>
    <row r="12670" spans="2:4" ht="12.75" customHeight="1" x14ac:dyDescent="0.2">
      <c r="B12670" s="236"/>
      <c r="C12670" s="236"/>
      <c r="D12670" s="236"/>
    </row>
    <row r="12671" spans="2:4" ht="12.75" customHeight="1" x14ac:dyDescent="0.2">
      <c r="B12671" s="236"/>
      <c r="C12671" s="236"/>
      <c r="D12671" s="236"/>
    </row>
    <row r="12672" spans="2:4" ht="12.75" customHeight="1" x14ac:dyDescent="0.2">
      <c r="B12672" s="236"/>
      <c r="C12672" s="236"/>
      <c r="D12672" s="236"/>
    </row>
    <row r="12673" spans="2:4" ht="12.75" customHeight="1" x14ac:dyDescent="0.2">
      <c r="B12673" s="236"/>
      <c r="C12673" s="236"/>
      <c r="D12673" s="236"/>
    </row>
    <row r="12674" spans="2:4" ht="12.75" customHeight="1" x14ac:dyDescent="0.2">
      <c r="B12674" s="236"/>
      <c r="C12674" s="236"/>
      <c r="D12674" s="236"/>
    </row>
    <row r="12675" spans="2:4" x14ac:dyDescent="0.2">
      <c r="B12675" s="236"/>
      <c r="C12675" s="236"/>
      <c r="D12675" s="236"/>
    </row>
    <row r="12676" spans="2:4" ht="12.75" customHeight="1" x14ac:dyDescent="0.2">
      <c r="B12676" s="236"/>
      <c r="C12676" s="236"/>
      <c r="D12676" s="236"/>
    </row>
    <row r="12677" spans="2:4" ht="12.75" customHeight="1" x14ac:dyDescent="0.2">
      <c r="B12677" s="236"/>
      <c r="C12677" s="236"/>
      <c r="D12677" s="236"/>
    </row>
    <row r="12678" spans="2:4" ht="12.75" customHeight="1" x14ac:dyDescent="0.2">
      <c r="B12678" s="236"/>
      <c r="C12678" s="236"/>
      <c r="D12678" s="236"/>
    </row>
    <row r="12679" spans="2:4" ht="12.75" customHeight="1" x14ac:dyDescent="0.2">
      <c r="B12679" s="236"/>
      <c r="C12679" s="236"/>
      <c r="D12679" s="236"/>
    </row>
    <row r="12680" spans="2:4" ht="12.75" customHeight="1" x14ac:dyDescent="0.2">
      <c r="B12680" s="236"/>
      <c r="C12680" s="236"/>
      <c r="D12680" s="236"/>
    </row>
    <row r="12681" spans="2:4" x14ac:dyDescent="0.2">
      <c r="B12681" s="236"/>
      <c r="C12681" s="236"/>
      <c r="D12681" s="236"/>
    </row>
    <row r="12682" spans="2:4" ht="12.75" customHeight="1" x14ac:dyDescent="0.2">
      <c r="B12682" s="236"/>
      <c r="C12682" s="236"/>
      <c r="D12682" s="236"/>
    </row>
    <row r="12683" spans="2:4" x14ac:dyDescent="0.2">
      <c r="B12683" s="236"/>
      <c r="C12683" s="236"/>
      <c r="D12683" s="236"/>
    </row>
    <row r="12684" spans="2:4" ht="12.75" customHeight="1" x14ac:dyDescent="0.2">
      <c r="B12684" s="236"/>
      <c r="C12684" s="236"/>
      <c r="D12684" s="236"/>
    </row>
    <row r="12685" spans="2:4" ht="12.75" customHeight="1" x14ac:dyDescent="0.2">
      <c r="B12685" s="236"/>
      <c r="C12685" s="236"/>
      <c r="D12685" s="236"/>
    </row>
    <row r="12686" spans="2:4" x14ac:dyDescent="0.2">
      <c r="B12686" s="236"/>
      <c r="C12686" s="236"/>
      <c r="D12686" s="236"/>
    </row>
    <row r="12687" spans="2:4" ht="12.75" customHeight="1" x14ac:dyDescent="0.2">
      <c r="B12687" s="236"/>
      <c r="C12687" s="236"/>
      <c r="D12687" s="236"/>
    </row>
    <row r="12688" spans="2:4" x14ac:dyDescent="0.2">
      <c r="B12688" s="236"/>
      <c r="C12688" s="236"/>
      <c r="D12688" s="236"/>
    </row>
    <row r="12689" spans="2:4" ht="12.75" customHeight="1" x14ac:dyDescent="0.2">
      <c r="B12689" s="236"/>
      <c r="C12689" s="236"/>
      <c r="D12689" s="236"/>
    </row>
    <row r="12690" spans="2:4" ht="12.75" customHeight="1" x14ac:dyDescent="0.2">
      <c r="B12690" s="236"/>
      <c r="C12690" s="236"/>
      <c r="D12690" s="236"/>
    </row>
    <row r="12691" spans="2:4" ht="12.75" customHeight="1" x14ac:dyDescent="0.2">
      <c r="B12691" s="236"/>
      <c r="C12691" s="236"/>
      <c r="D12691" s="236"/>
    </row>
    <row r="12692" spans="2:4" ht="12.75" customHeight="1" x14ac:dyDescent="0.2">
      <c r="B12692" s="236"/>
      <c r="C12692" s="236"/>
      <c r="D12692" s="236"/>
    </row>
    <row r="12693" spans="2:4" x14ac:dyDescent="0.2">
      <c r="B12693" s="236"/>
      <c r="C12693" s="236"/>
      <c r="D12693" s="236"/>
    </row>
    <row r="12694" spans="2:4" ht="12.75" customHeight="1" x14ac:dyDescent="0.2">
      <c r="B12694" s="236"/>
      <c r="C12694" s="236"/>
      <c r="D12694" s="236"/>
    </row>
    <row r="12695" spans="2:4" ht="12.75" customHeight="1" x14ac:dyDescent="0.2">
      <c r="B12695" s="236"/>
      <c r="C12695" s="236"/>
      <c r="D12695" s="236"/>
    </row>
    <row r="12696" spans="2:4" ht="12.75" customHeight="1" x14ac:dyDescent="0.2">
      <c r="B12696" s="236"/>
      <c r="C12696" s="236"/>
      <c r="D12696" s="236"/>
    </row>
    <row r="12697" spans="2:4" ht="12.75" customHeight="1" x14ac:dyDescent="0.2">
      <c r="B12697" s="236"/>
      <c r="C12697" s="236"/>
      <c r="D12697" s="236"/>
    </row>
    <row r="12698" spans="2:4" x14ac:dyDescent="0.2">
      <c r="B12698" s="236"/>
      <c r="C12698" s="236"/>
      <c r="D12698" s="236"/>
    </row>
    <row r="12699" spans="2:4" ht="12.75" customHeight="1" x14ac:dyDescent="0.2">
      <c r="B12699" s="236"/>
      <c r="C12699" s="236"/>
      <c r="D12699" s="236"/>
    </row>
    <row r="12700" spans="2:4" ht="12.75" customHeight="1" x14ac:dyDescent="0.2">
      <c r="B12700" s="236"/>
      <c r="C12700" s="236"/>
      <c r="D12700" s="236"/>
    </row>
    <row r="12701" spans="2:4" ht="12.75" customHeight="1" x14ac:dyDescent="0.2">
      <c r="B12701" s="236"/>
      <c r="C12701" s="236"/>
      <c r="D12701" s="236"/>
    </row>
    <row r="12702" spans="2:4" ht="12.75" customHeight="1" x14ac:dyDescent="0.2">
      <c r="B12702" s="236"/>
      <c r="C12702" s="236"/>
      <c r="D12702" s="236"/>
    </row>
    <row r="12703" spans="2:4" ht="12.75" customHeight="1" x14ac:dyDescent="0.2">
      <c r="B12703" s="236"/>
      <c r="C12703" s="236"/>
      <c r="D12703" s="236"/>
    </row>
    <row r="12704" spans="2:4" ht="12.75" customHeight="1" x14ac:dyDescent="0.2">
      <c r="B12704" s="236"/>
      <c r="C12704" s="236"/>
      <c r="D12704" s="236"/>
    </row>
    <row r="12705" spans="2:4" x14ac:dyDescent="0.2">
      <c r="B12705" s="236"/>
      <c r="C12705" s="236"/>
      <c r="D12705" s="236"/>
    </row>
    <row r="12706" spans="2:4" ht="12.75" customHeight="1" x14ac:dyDescent="0.2">
      <c r="B12706" s="236"/>
      <c r="C12706" s="236"/>
      <c r="D12706" s="236"/>
    </row>
    <row r="12707" spans="2:4" ht="12.75" customHeight="1" x14ac:dyDescent="0.2">
      <c r="B12707" s="236"/>
      <c r="C12707" s="236"/>
      <c r="D12707" s="236"/>
    </row>
    <row r="12708" spans="2:4" ht="12.75" customHeight="1" x14ac:dyDescent="0.2">
      <c r="B12708" s="236"/>
      <c r="C12708" s="236"/>
      <c r="D12708" s="236"/>
    </row>
    <row r="12709" spans="2:4" ht="12.75" customHeight="1" x14ac:dyDescent="0.2">
      <c r="B12709" s="236"/>
      <c r="C12709" s="236"/>
      <c r="D12709" s="236"/>
    </row>
    <row r="12710" spans="2:4" ht="12.75" customHeight="1" x14ac:dyDescent="0.2">
      <c r="B12710" s="236"/>
      <c r="C12710" s="236"/>
      <c r="D12710" s="236"/>
    </row>
    <row r="12711" spans="2:4" ht="12.75" customHeight="1" x14ac:dyDescent="0.2">
      <c r="B12711" s="236"/>
      <c r="C12711" s="236"/>
      <c r="D12711" s="236"/>
    </row>
    <row r="12712" spans="2:4" ht="12.75" customHeight="1" x14ac:dyDescent="0.2">
      <c r="B12712" s="236"/>
      <c r="C12712" s="236"/>
      <c r="D12712" s="236"/>
    </row>
    <row r="12713" spans="2:4" ht="12.75" customHeight="1" x14ac:dyDescent="0.2">
      <c r="B12713" s="236"/>
      <c r="C12713" s="236"/>
      <c r="D12713" s="236"/>
    </row>
    <row r="12714" spans="2:4" ht="12.75" customHeight="1" x14ac:dyDescent="0.2">
      <c r="B12714" s="236"/>
      <c r="C12714" s="236"/>
      <c r="D12714" s="236"/>
    </row>
    <row r="12715" spans="2:4" x14ac:dyDescent="0.2">
      <c r="B12715" s="236"/>
      <c r="C12715" s="236"/>
      <c r="D12715" s="236"/>
    </row>
    <row r="12716" spans="2:4" ht="12.75" customHeight="1" x14ac:dyDescent="0.2">
      <c r="B12716" s="236"/>
      <c r="C12716" s="236"/>
      <c r="D12716" s="236"/>
    </row>
    <row r="12717" spans="2:4" ht="12.75" customHeight="1" x14ac:dyDescent="0.2">
      <c r="B12717" s="236"/>
      <c r="C12717" s="236"/>
      <c r="D12717" s="236"/>
    </row>
    <row r="12718" spans="2:4" ht="12.75" customHeight="1" x14ac:dyDescent="0.2">
      <c r="B12718" s="236"/>
      <c r="C12718" s="236"/>
      <c r="D12718" s="236"/>
    </row>
    <row r="12719" spans="2:4" ht="12.75" customHeight="1" x14ac:dyDescent="0.2">
      <c r="B12719" s="236"/>
      <c r="C12719" s="236"/>
      <c r="D12719" s="236"/>
    </row>
    <row r="12720" spans="2:4" ht="12.75" customHeight="1" x14ac:dyDescent="0.2">
      <c r="B12720" s="236"/>
      <c r="C12720" s="236"/>
      <c r="D12720" s="236"/>
    </row>
    <row r="12721" spans="2:4" ht="12.75" customHeight="1" x14ac:dyDescent="0.2">
      <c r="B12721" s="236"/>
      <c r="C12721" s="236"/>
      <c r="D12721" s="236"/>
    </row>
    <row r="12722" spans="2:4" ht="12.75" customHeight="1" x14ac:dyDescent="0.2">
      <c r="B12722" s="236"/>
      <c r="C12722" s="236"/>
      <c r="D12722" s="236"/>
    </row>
    <row r="12723" spans="2:4" ht="12.75" customHeight="1" x14ac:dyDescent="0.2">
      <c r="B12723" s="236"/>
      <c r="C12723" s="236"/>
      <c r="D12723" s="236"/>
    </row>
    <row r="12724" spans="2:4" x14ac:dyDescent="0.2">
      <c r="B12724" s="236"/>
      <c r="C12724" s="236"/>
      <c r="D12724" s="236"/>
    </row>
    <row r="12725" spans="2:4" ht="12.75" customHeight="1" x14ac:dyDescent="0.2">
      <c r="B12725" s="236"/>
      <c r="C12725" s="236"/>
      <c r="D12725" s="236"/>
    </row>
    <row r="12726" spans="2:4" x14ac:dyDescent="0.2">
      <c r="B12726" s="236"/>
      <c r="C12726" s="236"/>
      <c r="D12726" s="236"/>
    </row>
    <row r="12727" spans="2:4" ht="12.75" customHeight="1" x14ac:dyDescent="0.2">
      <c r="B12727" s="236"/>
      <c r="C12727" s="236"/>
      <c r="D12727" s="236"/>
    </row>
    <row r="12728" spans="2:4" x14ac:dyDescent="0.2">
      <c r="B12728" s="236"/>
      <c r="C12728" s="236"/>
      <c r="D12728" s="236"/>
    </row>
    <row r="12729" spans="2:4" ht="12.75" customHeight="1" x14ac:dyDescent="0.2">
      <c r="B12729" s="236"/>
      <c r="C12729" s="236"/>
      <c r="D12729" s="236"/>
    </row>
    <row r="12730" spans="2:4" x14ac:dyDescent="0.2">
      <c r="B12730" s="236"/>
      <c r="C12730" s="236"/>
      <c r="D12730" s="236"/>
    </row>
    <row r="12731" spans="2:4" x14ac:dyDescent="0.2">
      <c r="B12731" s="236"/>
      <c r="C12731" s="236"/>
      <c r="D12731" s="236"/>
    </row>
    <row r="12732" spans="2:4" ht="12.75" customHeight="1" x14ac:dyDescent="0.2">
      <c r="B12732" s="236"/>
      <c r="C12732" s="236"/>
      <c r="D12732" s="236"/>
    </row>
    <row r="12733" spans="2:4" ht="12.75" customHeight="1" x14ac:dyDescent="0.2">
      <c r="B12733" s="236"/>
      <c r="C12733" s="236"/>
      <c r="D12733" s="236"/>
    </row>
    <row r="12734" spans="2:4" x14ac:dyDescent="0.2">
      <c r="B12734" s="236"/>
      <c r="C12734" s="236"/>
      <c r="D12734" s="236"/>
    </row>
    <row r="12735" spans="2:4" ht="12.75" customHeight="1" x14ac:dyDescent="0.2">
      <c r="B12735" s="236"/>
      <c r="C12735" s="236"/>
      <c r="D12735" s="236"/>
    </row>
    <row r="12736" spans="2:4" x14ac:dyDescent="0.2">
      <c r="B12736" s="236"/>
      <c r="C12736" s="236"/>
      <c r="D12736" s="236"/>
    </row>
    <row r="12737" spans="2:4" x14ac:dyDescent="0.2">
      <c r="B12737" s="236"/>
      <c r="C12737" s="236"/>
      <c r="D12737" s="236"/>
    </row>
    <row r="12738" spans="2:4" ht="12.75" customHeight="1" x14ac:dyDescent="0.2">
      <c r="B12738" s="236"/>
      <c r="C12738" s="236"/>
      <c r="D12738" s="236"/>
    </row>
    <row r="12739" spans="2:4" ht="12.75" customHeight="1" x14ac:dyDescent="0.2">
      <c r="B12739" s="236"/>
      <c r="C12739" s="236"/>
      <c r="D12739" s="236"/>
    </row>
    <row r="12740" spans="2:4" ht="12.75" customHeight="1" x14ac:dyDescent="0.2">
      <c r="B12740" s="236"/>
      <c r="C12740" s="236"/>
      <c r="D12740" s="236"/>
    </row>
    <row r="12741" spans="2:4" ht="12.75" customHeight="1" x14ac:dyDescent="0.2">
      <c r="B12741" s="236"/>
      <c r="C12741" s="236"/>
      <c r="D12741" s="236"/>
    </row>
    <row r="12742" spans="2:4" ht="12.75" customHeight="1" x14ac:dyDescent="0.2">
      <c r="B12742" s="236"/>
      <c r="C12742" s="236"/>
      <c r="D12742" s="236"/>
    </row>
    <row r="12743" spans="2:4" ht="12.75" customHeight="1" x14ac:dyDescent="0.2">
      <c r="B12743" s="236"/>
      <c r="C12743" s="236"/>
      <c r="D12743" s="236"/>
    </row>
    <row r="12744" spans="2:4" ht="12.75" customHeight="1" x14ac:dyDescent="0.2">
      <c r="B12744" s="236"/>
      <c r="C12744" s="236"/>
      <c r="D12744" s="236"/>
    </row>
    <row r="12745" spans="2:4" ht="12.75" customHeight="1" x14ac:dyDescent="0.2">
      <c r="B12745" s="236"/>
      <c r="C12745" s="236"/>
      <c r="D12745" s="236"/>
    </row>
    <row r="12746" spans="2:4" ht="12.75" customHeight="1" x14ac:dyDescent="0.2">
      <c r="B12746" s="236"/>
      <c r="C12746" s="236"/>
      <c r="D12746" s="236"/>
    </row>
    <row r="12747" spans="2:4" ht="12.75" customHeight="1" x14ac:dyDescent="0.2">
      <c r="B12747" s="236"/>
      <c r="C12747" s="236"/>
      <c r="D12747" s="236"/>
    </row>
    <row r="12748" spans="2:4" ht="12.75" customHeight="1" x14ac:dyDescent="0.2">
      <c r="B12748" s="236"/>
      <c r="C12748" s="236"/>
      <c r="D12748" s="236"/>
    </row>
    <row r="12749" spans="2:4" ht="12.75" customHeight="1" x14ac:dyDescent="0.2">
      <c r="B12749" s="236"/>
      <c r="C12749" s="236"/>
      <c r="D12749" s="236"/>
    </row>
    <row r="12750" spans="2:4" ht="12.75" customHeight="1" x14ac:dyDescent="0.2">
      <c r="B12750" s="236"/>
      <c r="C12750" s="236"/>
      <c r="D12750" s="236"/>
    </row>
    <row r="12751" spans="2:4" x14ac:dyDescent="0.2">
      <c r="B12751" s="236"/>
      <c r="C12751" s="236"/>
      <c r="D12751" s="236"/>
    </row>
    <row r="12752" spans="2:4" x14ac:dyDescent="0.2">
      <c r="B12752" s="236"/>
      <c r="C12752" s="236"/>
      <c r="D12752" s="236"/>
    </row>
    <row r="12753" spans="2:4" x14ac:dyDescent="0.2">
      <c r="B12753" s="236"/>
      <c r="C12753" s="236"/>
      <c r="D12753" s="236"/>
    </row>
    <row r="12754" spans="2:4" x14ac:dyDescent="0.2">
      <c r="B12754" s="236"/>
      <c r="C12754" s="236"/>
      <c r="D12754" s="236"/>
    </row>
    <row r="12755" spans="2:4" x14ac:dyDescent="0.2">
      <c r="B12755" s="236"/>
      <c r="C12755" s="236"/>
      <c r="D12755" s="236"/>
    </row>
    <row r="12756" spans="2:4" ht="12.75" customHeight="1" x14ac:dyDescent="0.2">
      <c r="B12756" s="236"/>
      <c r="C12756" s="236"/>
      <c r="D12756" s="236"/>
    </row>
    <row r="12757" spans="2:4" ht="12.75" customHeight="1" x14ac:dyDescent="0.2">
      <c r="B12757" s="236"/>
      <c r="C12757" s="236"/>
      <c r="D12757" s="236"/>
    </row>
    <row r="12758" spans="2:4" x14ac:dyDescent="0.2">
      <c r="B12758" s="236"/>
      <c r="C12758" s="236"/>
      <c r="D12758" s="236"/>
    </row>
    <row r="12759" spans="2:4" ht="12.75" customHeight="1" x14ac:dyDescent="0.2">
      <c r="B12759" s="236"/>
      <c r="C12759" s="236"/>
      <c r="D12759" s="236"/>
    </row>
    <row r="12760" spans="2:4" ht="12.75" customHeight="1" x14ac:dyDescent="0.2">
      <c r="B12760" s="236"/>
      <c r="C12760" s="236"/>
      <c r="D12760" s="236"/>
    </row>
    <row r="12761" spans="2:4" ht="12.75" customHeight="1" x14ac:dyDescent="0.2">
      <c r="B12761" s="236"/>
      <c r="C12761" s="236"/>
      <c r="D12761" s="236"/>
    </row>
    <row r="12762" spans="2:4" ht="12.75" customHeight="1" x14ac:dyDescent="0.2">
      <c r="B12762" s="236"/>
      <c r="C12762" s="236"/>
      <c r="D12762" s="236"/>
    </row>
    <row r="12763" spans="2:4" ht="12.75" customHeight="1" x14ac:dyDescent="0.2">
      <c r="B12763" s="236"/>
      <c r="C12763" s="236"/>
      <c r="D12763" s="236"/>
    </row>
    <row r="12764" spans="2:4" ht="12.75" customHeight="1" x14ac:dyDescent="0.2">
      <c r="B12764" s="236"/>
      <c r="C12764" s="236"/>
      <c r="D12764" s="236"/>
    </row>
    <row r="12765" spans="2:4" ht="12.75" customHeight="1" x14ac:dyDescent="0.2">
      <c r="B12765" s="236"/>
      <c r="C12765" s="236"/>
      <c r="D12765" s="236"/>
    </row>
    <row r="12766" spans="2:4" ht="12.75" customHeight="1" x14ac:dyDescent="0.2">
      <c r="B12766" s="236"/>
      <c r="C12766" s="236"/>
      <c r="D12766" s="236"/>
    </row>
    <row r="12767" spans="2:4" x14ac:dyDescent="0.2">
      <c r="B12767" s="236"/>
      <c r="C12767" s="236"/>
      <c r="D12767" s="236"/>
    </row>
    <row r="12768" spans="2:4" ht="12.75" customHeight="1" x14ac:dyDescent="0.2">
      <c r="B12768" s="236"/>
      <c r="C12768" s="236"/>
      <c r="D12768" s="236"/>
    </row>
    <row r="12769" spans="2:4" ht="12.75" customHeight="1" x14ac:dyDescent="0.2">
      <c r="B12769" s="236"/>
      <c r="C12769" s="236"/>
      <c r="D12769" s="236"/>
    </row>
    <row r="12770" spans="2:4" x14ac:dyDescent="0.2">
      <c r="B12770" s="236"/>
      <c r="C12770" s="236"/>
      <c r="D12770" s="236"/>
    </row>
    <row r="12771" spans="2:4" x14ac:dyDescent="0.2">
      <c r="B12771" s="236"/>
      <c r="C12771" s="236"/>
      <c r="D12771" s="236"/>
    </row>
    <row r="12772" spans="2:4" ht="12.75" customHeight="1" x14ac:dyDescent="0.2">
      <c r="B12772" s="236"/>
      <c r="C12772" s="236"/>
      <c r="D12772" s="236"/>
    </row>
    <row r="12773" spans="2:4" ht="12.75" customHeight="1" x14ac:dyDescent="0.2">
      <c r="B12773" s="236"/>
      <c r="C12773" s="236"/>
      <c r="D12773" s="236"/>
    </row>
    <row r="12774" spans="2:4" ht="12.75" customHeight="1" x14ac:dyDescent="0.2">
      <c r="B12774" s="236"/>
      <c r="C12774" s="236"/>
      <c r="D12774" s="236"/>
    </row>
    <row r="12775" spans="2:4" ht="12.75" customHeight="1" x14ac:dyDescent="0.2">
      <c r="B12775" s="236"/>
      <c r="C12775" s="236"/>
      <c r="D12775" s="236"/>
    </row>
    <row r="12776" spans="2:4" ht="12.75" customHeight="1" x14ac:dyDescent="0.2">
      <c r="B12776" s="236"/>
      <c r="C12776" s="236"/>
      <c r="D12776" s="236"/>
    </row>
    <row r="12777" spans="2:4" x14ac:dyDescent="0.2">
      <c r="B12777" s="236"/>
      <c r="C12777" s="236"/>
      <c r="D12777" s="236"/>
    </row>
    <row r="12778" spans="2:4" ht="12.75" customHeight="1" x14ac:dyDescent="0.2">
      <c r="B12778" s="236"/>
      <c r="C12778" s="236"/>
      <c r="D12778" s="236"/>
    </row>
    <row r="12779" spans="2:4" ht="12.75" customHeight="1" x14ac:dyDescent="0.2">
      <c r="B12779" s="236"/>
      <c r="C12779" s="236"/>
      <c r="D12779" s="236"/>
    </row>
    <row r="12780" spans="2:4" x14ac:dyDescent="0.2">
      <c r="B12780" s="236"/>
      <c r="C12780" s="236"/>
      <c r="D12780" s="236"/>
    </row>
    <row r="12781" spans="2:4" ht="12.75" customHeight="1" x14ac:dyDescent="0.2">
      <c r="B12781" s="236"/>
      <c r="C12781" s="236"/>
      <c r="D12781" s="236"/>
    </row>
    <row r="12782" spans="2:4" x14ac:dyDescent="0.2">
      <c r="B12782" s="236"/>
      <c r="C12782" s="236"/>
      <c r="D12782" s="236"/>
    </row>
    <row r="12783" spans="2:4" x14ac:dyDescent="0.2">
      <c r="B12783" s="236"/>
      <c r="C12783" s="236"/>
      <c r="D12783" s="236"/>
    </row>
    <row r="12784" spans="2:4" x14ac:dyDescent="0.2">
      <c r="B12784" s="236"/>
      <c r="C12784" s="236"/>
      <c r="D12784" s="236"/>
    </row>
    <row r="12785" spans="2:4" ht="12.75" customHeight="1" x14ac:dyDescent="0.2">
      <c r="B12785" s="236"/>
      <c r="C12785" s="236"/>
      <c r="D12785" s="236"/>
    </row>
    <row r="12786" spans="2:4" ht="12.75" customHeight="1" x14ac:dyDescent="0.2">
      <c r="B12786" s="236"/>
      <c r="C12786" s="236"/>
      <c r="D12786" s="236"/>
    </row>
    <row r="12787" spans="2:4" x14ac:dyDescent="0.2">
      <c r="B12787" s="236"/>
      <c r="C12787" s="236"/>
      <c r="D12787" s="236"/>
    </row>
    <row r="12788" spans="2:4" ht="12.75" customHeight="1" x14ac:dyDescent="0.2">
      <c r="B12788" s="236"/>
      <c r="C12788" s="236"/>
      <c r="D12788" s="236"/>
    </row>
    <row r="12789" spans="2:4" ht="12.75" customHeight="1" x14ac:dyDescent="0.2">
      <c r="B12789" s="236"/>
      <c r="C12789" s="236"/>
      <c r="D12789" s="236"/>
    </row>
    <row r="12790" spans="2:4" x14ac:dyDescent="0.2">
      <c r="B12790" s="236"/>
      <c r="C12790" s="236"/>
      <c r="D12790" s="236"/>
    </row>
    <row r="12791" spans="2:4" ht="12.75" customHeight="1" x14ac:dyDescent="0.2">
      <c r="B12791" s="236"/>
      <c r="C12791" s="236"/>
      <c r="D12791" s="236"/>
    </row>
    <row r="12792" spans="2:4" ht="12.75" customHeight="1" x14ac:dyDescent="0.2">
      <c r="B12792" s="236"/>
      <c r="C12792" s="236"/>
      <c r="D12792" s="236"/>
    </row>
    <row r="12793" spans="2:4" x14ac:dyDescent="0.2">
      <c r="B12793" s="236"/>
      <c r="C12793" s="236"/>
      <c r="D12793" s="236"/>
    </row>
    <row r="12794" spans="2:4" ht="12.75" customHeight="1" x14ac:dyDescent="0.2">
      <c r="B12794" s="236"/>
      <c r="C12794" s="236"/>
      <c r="D12794" s="236"/>
    </row>
    <row r="12795" spans="2:4" ht="12.75" customHeight="1" x14ac:dyDescent="0.2">
      <c r="B12795" s="236"/>
      <c r="C12795" s="236"/>
      <c r="D12795" s="236"/>
    </row>
    <row r="12796" spans="2:4" ht="12.75" customHeight="1" x14ac:dyDescent="0.2">
      <c r="B12796" s="236"/>
      <c r="C12796" s="236"/>
      <c r="D12796" s="236"/>
    </row>
    <row r="12797" spans="2:4" ht="12.75" customHeight="1" x14ac:dyDescent="0.2">
      <c r="B12797" s="236"/>
      <c r="C12797" s="236"/>
      <c r="D12797" s="236"/>
    </row>
    <row r="12798" spans="2:4" ht="12.75" customHeight="1" x14ac:dyDescent="0.2">
      <c r="B12798" s="236"/>
      <c r="C12798" s="236"/>
      <c r="D12798" s="236"/>
    </row>
    <row r="12799" spans="2:4" ht="12.75" customHeight="1" x14ac:dyDescent="0.2">
      <c r="B12799" s="236"/>
      <c r="C12799" s="236"/>
      <c r="D12799" s="236"/>
    </row>
    <row r="12800" spans="2:4" ht="12.75" customHeight="1" x14ac:dyDescent="0.2">
      <c r="B12800" s="236"/>
      <c r="C12800" s="236"/>
      <c r="D12800" s="236"/>
    </row>
    <row r="12801" spans="2:4" ht="12.75" customHeight="1" x14ac:dyDescent="0.2">
      <c r="B12801" s="236"/>
      <c r="C12801" s="236"/>
      <c r="D12801" s="236"/>
    </row>
    <row r="12802" spans="2:4" x14ac:dyDescent="0.2">
      <c r="B12802" s="236"/>
      <c r="C12802" s="236"/>
      <c r="D12802" s="236"/>
    </row>
    <row r="12803" spans="2:4" ht="12.75" customHeight="1" x14ac:dyDescent="0.2">
      <c r="B12803" s="236"/>
      <c r="C12803" s="236"/>
      <c r="D12803" s="236"/>
    </row>
    <row r="12804" spans="2:4" x14ac:dyDescent="0.2">
      <c r="B12804" s="236"/>
      <c r="C12804" s="236"/>
      <c r="D12804" s="236"/>
    </row>
    <row r="12805" spans="2:4" ht="12.75" customHeight="1" x14ac:dyDescent="0.2">
      <c r="B12805" s="236"/>
      <c r="C12805" s="236"/>
      <c r="D12805" s="236"/>
    </row>
    <row r="12806" spans="2:4" ht="12.75" customHeight="1" x14ac:dyDescent="0.2">
      <c r="B12806" s="236"/>
      <c r="C12806" s="236"/>
      <c r="D12806" s="236"/>
    </row>
    <row r="12807" spans="2:4" ht="12.75" customHeight="1" x14ac:dyDescent="0.2">
      <c r="B12807" s="236"/>
      <c r="C12807" s="236"/>
      <c r="D12807" s="236"/>
    </row>
    <row r="12808" spans="2:4" ht="12.75" customHeight="1" x14ac:dyDescent="0.2">
      <c r="B12808" s="236"/>
      <c r="C12808" s="236"/>
      <c r="D12808" s="236"/>
    </row>
    <row r="12809" spans="2:4" ht="12.75" customHeight="1" x14ac:dyDescent="0.2">
      <c r="B12809" s="236"/>
      <c r="C12809" s="236"/>
      <c r="D12809" s="236"/>
    </row>
    <row r="12810" spans="2:4" ht="12.75" customHeight="1" x14ac:dyDescent="0.2">
      <c r="B12810" s="236"/>
      <c r="C12810" s="236"/>
      <c r="D12810" s="236"/>
    </row>
    <row r="12811" spans="2:4" ht="12.75" customHeight="1" x14ac:dyDescent="0.2">
      <c r="B12811" s="236"/>
      <c r="C12811" s="236"/>
      <c r="D12811" s="236"/>
    </row>
    <row r="12812" spans="2:4" x14ac:dyDescent="0.2">
      <c r="B12812" s="236"/>
      <c r="C12812" s="236"/>
      <c r="D12812" s="236"/>
    </row>
    <row r="12813" spans="2:4" ht="12.75" customHeight="1" x14ac:dyDescent="0.2">
      <c r="B12813" s="236"/>
      <c r="C12813" s="236"/>
      <c r="D12813" s="236"/>
    </row>
    <row r="12814" spans="2:4" ht="12.75" customHeight="1" x14ac:dyDescent="0.2">
      <c r="B12814" s="236"/>
      <c r="C12814" s="236"/>
      <c r="D12814" s="236"/>
    </row>
    <row r="12815" spans="2:4" ht="12.75" customHeight="1" x14ac:dyDescent="0.2">
      <c r="B12815" s="236"/>
      <c r="C12815" s="236"/>
      <c r="D12815" s="236"/>
    </row>
    <row r="12816" spans="2:4" ht="12.75" customHeight="1" x14ac:dyDescent="0.2">
      <c r="B12816" s="236"/>
      <c r="C12816" s="236"/>
      <c r="D12816" s="236"/>
    </row>
    <row r="12817" spans="2:4" ht="12.75" customHeight="1" x14ac:dyDescent="0.2">
      <c r="B12817" s="236"/>
      <c r="C12817" s="236"/>
      <c r="D12817" s="236"/>
    </row>
    <row r="12818" spans="2:4" x14ac:dyDescent="0.2">
      <c r="B12818" s="236"/>
      <c r="C12818" s="236"/>
      <c r="D12818" s="236"/>
    </row>
    <row r="12819" spans="2:4" ht="12.75" customHeight="1" x14ac:dyDescent="0.2">
      <c r="B12819" s="236"/>
      <c r="C12819" s="236"/>
      <c r="D12819" s="236"/>
    </row>
    <row r="12820" spans="2:4" x14ac:dyDescent="0.2">
      <c r="B12820" s="236"/>
      <c r="C12820" s="236"/>
      <c r="D12820" s="236"/>
    </row>
    <row r="12821" spans="2:4" ht="12.75" customHeight="1" x14ac:dyDescent="0.2">
      <c r="B12821" s="236"/>
      <c r="C12821" s="236"/>
      <c r="D12821" s="236"/>
    </row>
    <row r="12822" spans="2:4" ht="12.75" customHeight="1" x14ac:dyDescent="0.2">
      <c r="B12822" s="236"/>
      <c r="C12822" s="236"/>
      <c r="D12822" s="236"/>
    </row>
    <row r="12823" spans="2:4" x14ac:dyDescent="0.2">
      <c r="B12823" s="236"/>
      <c r="C12823" s="236"/>
      <c r="D12823" s="236"/>
    </row>
    <row r="12824" spans="2:4" ht="12.75" customHeight="1" x14ac:dyDescent="0.2">
      <c r="B12824" s="236"/>
      <c r="C12824" s="236"/>
      <c r="D12824" s="236"/>
    </row>
    <row r="12825" spans="2:4" ht="12.75" customHeight="1" x14ac:dyDescent="0.2">
      <c r="B12825" s="236"/>
      <c r="C12825" s="236"/>
      <c r="D12825" s="236"/>
    </row>
    <row r="12826" spans="2:4" ht="12.75" customHeight="1" x14ac:dyDescent="0.2">
      <c r="B12826" s="236"/>
      <c r="C12826" s="236"/>
      <c r="D12826" s="236"/>
    </row>
    <row r="12827" spans="2:4" ht="12.75" customHeight="1" x14ac:dyDescent="0.2">
      <c r="B12827" s="236"/>
      <c r="C12827" s="236"/>
      <c r="D12827" s="236"/>
    </row>
    <row r="12828" spans="2:4" ht="12.75" customHeight="1" x14ac:dyDescent="0.2">
      <c r="B12828" s="236"/>
      <c r="C12828" s="236"/>
      <c r="D12828" s="236"/>
    </row>
    <row r="12829" spans="2:4" ht="12.75" customHeight="1" x14ac:dyDescent="0.2">
      <c r="B12829" s="236"/>
      <c r="C12829" s="236"/>
      <c r="D12829" s="236"/>
    </row>
    <row r="12830" spans="2:4" ht="12.75" customHeight="1" x14ac:dyDescent="0.2">
      <c r="B12830" s="236"/>
      <c r="C12830" s="236"/>
      <c r="D12830" s="236"/>
    </row>
    <row r="12831" spans="2:4" x14ac:dyDescent="0.2">
      <c r="B12831" s="236"/>
      <c r="C12831" s="236"/>
      <c r="D12831" s="236"/>
    </row>
    <row r="12832" spans="2:4" ht="12.75" customHeight="1" x14ac:dyDescent="0.2">
      <c r="B12832" s="236"/>
      <c r="C12832" s="236"/>
      <c r="D12832" s="236"/>
    </row>
    <row r="12833" spans="2:4" x14ac:dyDescent="0.2">
      <c r="B12833" s="236"/>
      <c r="C12833" s="236"/>
      <c r="D12833" s="236"/>
    </row>
    <row r="12834" spans="2:4" ht="12.75" customHeight="1" x14ac:dyDescent="0.2">
      <c r="B12834" s="236"/>
      <c r="C12834" s="236"/>
      <c r="D12834" s="236"/>
    </row>
    <row r="12835" spans="2:4" x14ac:dyDescent="0.2">
      <c r="B12835" s="236"/>
      <c r="C12835" s="236"/>
      <c r="D12835" s="236"/>
    </row>
    <row r="12836" spans="2:4" ht="12.75" customHeight="1" x14ac:dyDescent="0.2">
      <c r="B12836" s="236"/>
      <c r="C12836" s="236"/>
      <c r="D12836" s="236"/>
    </row>
    <row r="12837" spans="2:4" ht="12.75" customHeight="1" x14ac:dyDescent="0.2">
      <c r="B12837" s="236"/>
      <c r="C12837" s="236"/>
      <c r="D12837" s="236"/>
    </row>
    <row r="12838" spans="2:4" ht="12.75" customHeight="1" x14ac:dyDescent="0.2">
      <c r="B12838" s="236"/>
      <c r="C12838" s="236"/>
      <c r="D12838" s="236"/>
    </row>
    <row r="12839" spans="2:4" x14ac:dyDescent="0.2">
      <c r="B12839" s="236"/>
      <c r="C12839" s="236"/>
      <c r="D12839" s="236"/>
    </row>
    <row r="12840" spans="2:4" x14ac:dyDescent="0.2">
      <c r="B12840" s="236"/>
      <c r="C12840" s="236"/>
      <c r="D12840" s="236"/>
    </row>
    <row r="12841" spans="2:4" ht="12.75" customHeight="1" x14ac:dyDescent="0.2">
      <c r="B12841" s="236"/>
      <c r="C12841" s="236"/>
      <c r="D12841" s="236"/>
    </row>
    <row r="12842" spans="2:4" ht="12.75" customHeight="1" x14ac:dyDescent="0.2">
      <c r="B12842" s="236"/>
      <c r="C12842" s="236"/>
      <c r="D12842" s="236"/>
    </row>
    <row r="12843" spans="2:4" ht="12.75" customHeight="1" x14ac:dyDescent="0.2">
      <c r="B12843" s="236"/>
      <c r="C12843" s="236"/>
      <c r="D12843" s="236"/>
    </row>
    <row r="12844" spans="2:4" ht="12.75" customHeight="1" x14ac:dyDescent="0.2">
      <c r="B12844" s="236"/>
      <c r="C12844" s="236"/>
      <c r="D12844" s="236"/>
    </row>
    <row r="12845" spans="2:4" ht="12.75" customHeight="1" x14ac:dyDescent="0.2">
      <c r="B12845" s="236"/>
      <c r="C12845" s="236"/>
      <c r="D12845" s="236"/>
    </row>
    <row r="12846" spans="2:4" ht="12.75" customHeight="1" x14ac:dyDescent="0.2">
      <c r="B12846" s="236"/>
      <c r="C12846" s="236"/>
      <c r="D12846" s="236"/>
    </row>
    <row r="12847" spans="2:4" ht="12.75" customHeight="1" x14ac:dyDescent="0.2">
      <c r="B12847" s="236"/>
      <c r="C12847" s="236"/>
      <c r="D12847" s="236"/>
    </row>
    <row r="12848" spans="2:4" ht="12.75" customHeight="1" x14ac:dyDescent="0.2">
      <c r="B12848" s="236"/>
      <c r="C12848" s="236"/>
      <c r="D12848" s="236"/>
    </row>
    <row r="12849" spans="2:4" x14ac:dyDescent="0.2">
      <c r="B12849" s="236"/>
      <c r="C12849" s="236"/>
      <c r="D12849" s="236"/>
    </row>
    <row r="12850" spans="2:4" ht="12.75" customHeight="1" x14ac:dyDescent="0.2">
      <c r="B12850" s="236"/>
      <c r="C12850" s="236"/>
      <c r="D12850" s="236"/>
    </row>
    <row r="12851" spans="2:4" ht="12.75" customHeight="1" x14ac:dyDescent="0.2">
      <c r="B12851" s="236"/>
      <c r="C12851" s="236"/>
      <c r="D12851" s="236"/>
    </row>
    <row r="12852" spans="2:4" ht="12.75" customHeight="1" x14ac:dyDescent="0.2">
      <c r="B12852" s="236"/>
      <c r="C12852" s="236"/>
      <c r="D12852" s="236"/>
    </row>
    <row r="12853" spans="2:4" x14ac:dyDescent="0.2">
      <c r="B12853" s="236"/>
      <c r="C12853" s="236"/>
      <c r="D12853" s="236"/>
    </row>
    <row r="12854" spans="2:4" x14ac:dyDescent="0.2">
      <c r="B12854" s="236"/>
      <c r="C12854" s="236"/>
      <c r="D12854" s="236"/>
    </row>
    <row r="12855" spans="2:4" ht="12.75" customHeight="1" x14ac:dyDescent="0.2">
      <c r="B12855" s="236"/>
      <c r="C12855" s="236"/>
      <c r="D12855" s="236"/>
    </row>
    <row r="12856" spans="2:4" ht="12.75" customHeight="1" x14ac:dyDescent="0.2">
      <c r="B12856" s="236"/>
      <c r="C12856" s="236"/>
      <c r="D12856" s="236"/>
    </row>
    <row r="12857" spans="2:4" x14ac:dyDescent="0.2">
      <c r="B12857" s="236"/>
      <c r="C12857" s="236"/>
      <c r="D12857" s="236"/>
    </row>
    <row r="12858" spans="2:4" ht="12.75" customHeight="1" x14ac:dyDescent="0.2">
      <c r="B12858" s="236"/>
      <c r="C12858" s="236"/>
      <c r="D12858" s="236"/>
    </row>
    <row r="12859" spans="2:4" x14ac:dyDescent="0.2">
      <c r="B12859" s="236"/>
      <c r="C12859" s="236"/>
      <c r="D12859" s="236"/>
    </row>
    <row r="12860" spans="2:4" ht="12.75" customHeight="1" x14ac:dyDescent="0.2">
      <c r="B12860" s="236"/>
      <c r="C12860" s="236"/>
      <c r="D12860" s="236"/>
    </row>
    <row r="12861" spans="2:4" ht="12.75" customHeight="1" x14ac:dyDescent="0.2">
      <c r="B12861" s="236"/>
      <c r="C12861" s="236"/>
      <c r="D12861" s="236"/>
    </row>
    <row r="12862" spans="2:4" ht="12.75" customHeight="1" x14ac:dyDescent="0.2">
      <c r="B12862" s="236"/>
      <c r="C12862" s="236"/>
      <c r="D12862" s="236"/>
    </row>
    <row r="12863" spans="2:4" ht="12.75" customHeight="1" x14ac:dyDescent="0.2">
      <c r="B12863" s="236"/>
      <c r="C12863" s="236"/>
      <c r="D12863" s="236"/>
    </row>
    <row r="12864" spans="2:4" ht="12.75" customHeight="1" x14ac:dyDescent="0.2">
      <c r="B12864" s="236"/>
      <c r="C12864" s="236"/>
      <c r="D12864" s="236"/>
    </row>
    <row r="12865" spans="2:4" ht="12.75" customHeight="1" x14ac:dyDescent="0.2">
      <c r="B12865" s="236"/>
      <c r="C12865" s="236"/>
      <c r="D12865" s="236"/>
    </row>
    <row r="12866" spans="2:4" ht="12.75" customHeight="1" x14ac:dyDescent="0.2">
      <c r="B12866" s="236"/>
      <c r="C12866" s="236"/>
      <c r="D12866" s="236"/>
    </row>
    <row r="12867" spans="2:4" ht="12.75" customHeight="1" x14ac:dyDescent="0.2">
      <c r="B12867" s="236"/>
      <c r="C12867" s="236"/>
      <c r="D12867" s="236"/>
    </row>
    <row r="12868" spans="2:4" x14ac:dyDescent="0.2">
      <c r="B12868" s="236"/>
      <c r="C12868" s="236"/>
      <c r="D12868" s="236"/>
    </row>
    <row r="12869" spans="2:4" ht="12.75" customHeight="1" x14ac:dyDescent="0.2">
      <c r="B12869" s="236"/>
      <c r="C12869" s="236"/>
      <c r="D12869" s="236"/>
    </row>
    <row r="12870" spans="2:4" x14ac:dyDescent="0.2">
      <c r="B12870" s="236"/>
      <c r="C12870" s="236"/>
      <c r="D12870" s="236"/>
    </row>
    <row r="12871" spans="2:4" x14ac:dyDescent="0.2">
      <c r="B12871" s="236"/>
      <c r="C12871" s="236"/>
      <c r="D12871" s="236"/>
    </row>
    <row r="12872" spans="2:4" ht="12.75" customHeight="1" x14ac:dyDescent="0.2">
      <c r="B12872" s="236"/>
      <c r="C12872" s="236"/>
      <c r="D12872" s="236"/>
    </row>
    <row r="12873" spans="2:4" x14ac:dyDescent="0.2">
      <c r="B12873" s="236"/>
      <c r="C12873" s="236"/>
      <c r="D12873" s="236"/>
    </row>
    <row r="12874" spans="2:4" ht="12.75" customHeight="1" x14ac:dyDescent="0.2">
      <c r="B12874" s="236"/>
      <c r="C12874" s="236"/>
      <c r="D12874" s="236"/>
    </row>
    <row r="12875" spans="2:4" ht="12.75" customHeight="1" x14ac:dyDescent="0.2">
      <c r="B12875" s="236"/>
      <c r="C12875" s="236"/>
      <c r="D12875" s="236"/>
    </row>
    <row r="12876" spans="2:4" x14ac:dyDescent="0.2">
      <c r="B12876" s="236"/>
      <c r="C12876" s="236"/>
      <c r="D12876" s="236"/>
    </row>
    <row r="12877" spans="2:4" ht="12.75" customHeight="1" x14ac:dyDescent="0.2">
      <c r="B12877" s="236"/>
      <c r="C12877" s="236"/>
      <c r="D12877" s="236"/>
    </row>
    <row r="12878" spans="2:4" ht="12.75" customHeight="1" x14ac:dyDescent="0.2">
      <c r="B12878" s="236"/>
      <c r="C12878" s="236"/>
      <c r="D12878" s="236"/>
    </row>
    <row r="12879" spans="2:4" ht="12.75" customHeight="1" x14ac:dyDescent="0.2">
      <c r="B12879" s="236"/>
      <c r="C12879" s="236"/>
      <c r="D12879" s="236"/>
    </row>
    <row r="12880" spans="2:4" ht="12.75" customHeight="1" x14ac:dyDescent="0.2">
      <c r="B12880" s="236"/>
      <c r="C12880" s="236"/>
      <c r="D12880" s="236"/>
    </row>
    <row r="12881" spans="2:4" x14ac:dyDescent="0.2">
      <c r="B12881" s="236"/>
      <c r="C12881" s="236"/>
      <c r="D12881" s="236"/>
    </row>
    <row r="12882" spans="2:4" ht="12.75" customHeight="1" x14ac:dyDescent="0.2">
      <c r="B12882" s="236"/>
      <c r="C12882" s="236"/>
      <c r="D12882" s="236"/>
    </row>
    <row r="12883" spans="2:4" ht="12.75" customHeight="1" x14ac:dyDescent="0.2">
      <c r="B12883" s="236"/>
      <c r="C12883" s="236"/>
      <c r="D12883" s="236"/>
    </row>
    <row r="12884" spans="2:4" x14ac:dyDescent="0.2">
      <c r="B12884" s="236"/>
      <c r="C12884" s="236"/>
      <c r="D12884" s="236"/>
    </row>
    <row r="12885" spans="2:4" ht="12.75" customHeight="1" x14ac:dyDescent="0.2">
      <c r="B12885" s="236"/>
      <c r="C12885" s="236"/>
      <c r="D12885" s="236"/>
    </row>
    <row r="12886" spans="2:4" x14ac:dyDescent="0.2">
      <c r="B12886" s="236"/>
      <c r="C12886" s="236"/>
      <c r="D12886" s="236"/>
    </row>
    <row r="12887" spans="2:4" ht="12.75" customHeight="1" x14ac:dyDescent="0.2">
      <c r="B12887" s="236"/>
      <c r="C12887" s="236"/>
      <c r="D12887" s="236"/>
    </row>
    <row r="12888" spans="2:4" ht="12.75" customHeight="1" x14ac:dyDescent="0.2">
      <c r="B12888" s="236"/>
      <c r="C12888" s="236"/>
      <c r="D12888" s="236"/>
    </row>
    <row r="12889" spans="2:4" x14ac:dyDescent="0.2">
      <c r="B12889" s="236"/>
      <c r="C12889" s="236"/>
      <c r="D12889" s="236"/>
    </row>
    <row r="12890" spans="2:4" ht="12.75" customHeight="1" x14ac:dyDescent="0.2">
      <c r="B12890" s="236"/>
      <c r="C12890" s="236"/>
      <c r="D12890" s="236"/>
    </row>
    <row r="12891" spans="2:4" x14ac:dyDescent="0.2">
      <c r="B12891" s="236"/>
      <c r="C12891" s="236"/>
      <c r="D12891" s="236"/>
    </row>
    <row r="12892" spans="2:4" ht="12.75" customHeight="1" x14ac:dyDescent="0.2">
      <c r="B12892" s="236"/>
      <c r="C12892" s="236"/>
      <c r="D12892" s="236"/>
    </row>
    <row r="12893" spans="2:4" x14ac:dyDescent="0.2">
      <c r="B12893" s="236"/>
      <c r="C12893" s="236"/>
      <c r="D12893" s="236"/>
    </row>
    <row r="12894" spans="2:4" ht="12.75" customHeight="1" x14ac:dyDescent="0.2">
      <c r="B12894" s="236"/>
      <c r="C12894" s="236"/>
      <c r="D12894" s="236"/>
    </row>
    <row r="12895" spans="2:4" x14ac:dyDescent="0.2">
      <c r="B12895" s="236"/>
      <c r="C12895" s="236"/>
      <c r="D12895" s="236"/>
    </row>
    <row r="12896" spans="2:4" ht="12.75" customHeight="1" x14ac:dyDescent="0.2">
      <c r="B12896" s="236"/>
      <c r="C12896" s="236"/>
      <c r="D12896" s="236"/>
    </row>
    <row r="12897" spans="2:4" ht="12.75" customHeight="1" x14ac:dyDescent="0.2">
      <c r="B12897" s="236"/>
      <c r="C12897" s="236"/>
      <c r="D12897" s="236"/>
    </row>
    <row r="12898" spans="2:4" ht="12.75" customHeight="1" x14ac:dyDescent="0.2">
      <c r="B12898" s="236"/>
      <c r="C12898" s="236"/>
      <c r="D12898" s="236"/>
    </row>
    <row r="12899" spans="2:4" ht="12.75" customHeight="1" x14ac:dyDescent="0.2">
      <c r="B12899" s="236"/>
      <c r="C12899" s="236"/>
      <c r="D12899" s="236"/>
    </row>
    <row r="12900" spans="2:4" ht="12.75" customHeight="1" x14ac:dyDescent="0.2">
      <c r="B12900" s="236"/>
      <c r="C12900" s="236"/>
      <c r="D12900" s="236"/>
    </row>
    <row r="12901" spans="2:4" x14ac:dyDescent="0.2">
      <c r="B12901" s="236"/>
      <c r="C12901" s="236"/>
      <c r="D12901" s="236"/>
    </row>
    <row r="12902" spans="2:4" x14ac:dyDescent="0.2">
      <c r="B12902" s="236"/>
      <c r="C12902" s="236"/>
      <c r="D12902" s="236"/>
    </row>
    <row r="12903" spans="2:4" x14ac:dyDescent="0.2">
      <c r="B12903" s="236"/>
      <c r="C12903" s="236"/>
      <c r="D12903" s="236"/>
    </row>
    <row r="12904" spans="2:4" x14ac:dyDescent="0.2">
      <c r="B12904" s="236"/>
      <c r="C12904" s="236"/>
      <c r="D12904" s="236"/>
    </row>
    <row r="12905" spans="2:4" ht="12.75" customHeight="1" x14ac:dyDescent="0.2">
      <c r="B12905" s="236"/>
      <c r="C12905" s="236"/>
      <c r="D12905" s="236"/>
    </row>
    <row r="12906" spans="2:4" x14ac:dyDescent="0.2">
      <c r="B12906" s="236"/>
      <c r="C12906" s="236"/>
      <c r="D12906" s="236"/>
    </row>
    <row r="12907" spans="2:4" x14ac:dyDescent="0.2">
      <c r="B12907" s="236"/>
      <c r="C12907" s="236"/>
      <c r="D12907" s="236"/>
    </row>
    <row r="12908" spans="2:4" ht="12.75" customHeight="1" x14ac:dyDescent="0.2">
      <c r="B12908" s="236"/>
      <c r="C12908" s="236"/>
      <c r="D12908" s="236"/>
    </row>
    <row r="12909" spans="2:4" ht="12.75" customHeight="1" x14ac:dyDescent="0.2">
      <c r="B12909" s="236"/>
      <c r="C12909" s="236"/>
      <c r="D12909" s="236"/>
    </row>
    <row r="12910" spans="2:4" x14ac:dyDescent="0.2">
      <c r="B12910" s="236"/>
      <c r="C12910" s="236"/>
      <c r="D12910" s="236"/>
    </row>
    <row r="12911" spans="2:4" ht="12.75" customHeight="1" x14ac:dyDescent="0.2">
      <c r="B12911" s="236"/>
      <c r="C12911" s="236"/>
      <c r="D12911" s="236"/>
    </row>
    <row r="12912" spans="2:4" x14ac:dyDescent="0.2">
      <c r="B12912" s="236"/>
      <c r="C12912" s="236"/>
      <c r="D12912" s="236"/>
    </row>
    <row r="12913" spans="2:4" x14ac:dyDescent="0.2">
      <c r="B12913" s="236"/>
      <c r="C12913" s="236"/>
      <c r="D12913" s="236"/>
    </row>
    <row r="12914" spans="2:4" ht="12.75" customHeight="1" x14ac:dyDescent="0.2">
      <c r="B12914" s="236"/>
      <c r="C12914" s="236"/>
      <c r="D12914" s="236"/>
    </row>
    <row r="12915" spans="2:4" ht="12.75" customHeight="1" x14ac:dyDescent="0.2">
      <c r="B12915" s="236"/>
      <c r="C12915" s="236"/>
      <c r="D12915" s="236"/>
    </row>
    <row r="12916" spans="2:4" ht="12.75" customHeight="1" x14ac:dyDescent="0.2">
      <c r="B12916" s="236"/>
      <c r="C12916" s="236"/>
      <c r="D12916" s="236"/>
    </row>
    <row r="12917" spans="2:4" ht="12.75" customHeight="1" x14ac:dyDescent="0.2">
      <c r="B12917" s="236"/>
      <c r="C12917" s="236"/>
      <c r="D12917" s="236"/>
    </row>
    <row r="12918" spans="2:4" ht="12.75" customHeight="1" x14ac:dyDescent="0.2">
      <c r="B12918" s="236"/>
      <c r="C12918" s="236"/>
      <c r="D12918" s="236"/>
    </row>
    <row r="12919" spans="2:4" ht="12.75" customHeight="1" x14ac:dyDescent="0.2">
      <c r="B12919" s="236"/>
      <c r="C12919" s="236"/>
      <c r="D12919" s="236"/>
    </row>
    <row r="12920" spans="2:4" ht="12.75" customHeight="1" x14ac:dyDescent="0.2">
      <c r="B12920" s="236"/>
      <c r="C12920" s="236"/>
      <c r="D12920" s="236"/>
    </row>
    <row r="12921" spans="2:4" ht="12.75" customHeight="1" x14ac:dyDescent="0.2">
      <c r="B12921" s="236"/>
      <c r="C12921" s="236"/>
      <c r="D12921" s="236"/>
    </row>
    <row r="12922" spans="2:4" ht="12.75" customHeight="1" x14ac:dyDescent="0.2">
      <c r="B12922" s="236"/>
      <c r="C12922" s="236"/>
      <c r="D12922" s="236"/>
    </row>
    <row r="12923" spans="2:4" ht="12.75" customHeight="1" x14ac:dyDescent="0.2">
      <c r="B12923" s="236"/>
      <c r="C12923" s="236"/>
      <c r="D12923" s="236"/>
    </row>
    <row r="12924" spans="2:4" ht="12.75" customHeight="1" x14ac:dyDescent="0.2">
      <c r="B12924" s="236"/>
      <c r="C12924" s="236"/>
      <c r="D12924" s="236"/>
    </row>
    <row r="12925" spans="2:4" ht="12.75" customHeight="1" x14ac:dyDescent="0.2">
      <c r="B12925" s="236"/>
      <c r="C12925" s="236"/>
      <c r="D12925" s="236"/>
    </row>
    <row r="12926" spans="2:4" ht="12.75" customHeight="1" x14ac:dyDescent="0.2">
      <c r="B12926" s="236"/>
      <c r="C12926" s="236"/>
      <c r="D12926" s="236"/>
    </row>
    <row r="12927" spans="2:4" ht="12.75" customHeight="1" x14ac:dyDescent="0.2">
      <c r="B12927" s="236"/>
      <c r="C12927" s="236"/>
      <c r="D12927" s="236"/>
    </row>
    <row r="12928" spans="2:4" ht="12.75" customHeight="1" x14ac:dyDescent="0.2">
      <c r="B12928" s="236"/>
      <c r="C12928" s="236"/>
      <c r="D12928" s="236"/>
    </row>
    <row r="12929" spans="2:4" ht="12.75" customHeight="1" x14ac:dyDescent="0.2">
      <c r="B12929" s="236"/>
      <c r="C12929" s="236"/>
      <c r="D12929" s="236"/>
    </row>
    <row r="12930" spans="2:4" ht="12.75" customHeight="1" x14ac:dyDescent="0.2">
      <c r="B12930" s="236"/>
      <c r="C12930" s="236"/>
      <c r="D12930" s="236"/>
    </row>
    <row r="12931" spans="2:4" x14ac:dyDescent="0.2">
      <c r="B12931" s="236"/>
      <c r="C12931" s="236"/>
      <c r="D12931" s="236"/>
    </row>
    <row r="12932" spans="2:4" ht="12.75" customHeight="1" x14ac:dyDescent="0.2">
      <c r="B12932" s="236"/>
      <c r="C12932" s="236"/>
      <c r="D12932" s="236"/>
    </row>
    <row r="12933" spans="2:4" ht="12.75" customHeight="1" x14ac:dyDescent="0.2">
      <c r="B12933" s="236"/>
      <c r="C12933" s="236"/>
      <c r="D12933" s="236"/>
    </row>
    <row r="12934" spans="2:4" ht="12.75" customHeight="1" x14ac:dyDescent="0.2">
      <c r="B12934" s="236"/>
      <c r="C12934" s="236"/>
      <c r="D12934" s="236"/>
    </row>
    <row r="12935" spans="2:4" x14ac:dyDescent="0.2">
      <c r="B12935" s="236"/>
      <c r="C12935" s="236"/>
      <c r="D12935" s="236"/>
    </row>
    <row r="12936" spans="2:4" ht="12.75" customHeight="1" x14ac:dyDescent="0.2">
      <c r="B12936" s="236"/>
      <c r="C12936" s="236"/>
      <c r="D12936" s="236"/>
    </row>
    <row r="12937" spans="2:4" x14ac:dyDescent="0.2">
      <c r="B12937" s="236"/>
      <c r="C12937" s="236"/>
      <c r="D12937" s="236"/>
    </row>
    <row r="12938" spans="2:4" ht="12.75" customHeight="1" x14ac:dyDescent="0.2">
      <c r="B12938" s="236"/>
      <c r="C12938" s="236"/>
      <c r="D12938" s="236"/>
    </row>
    <row r="12939" spans="2:4" ht="12.75" customHeight="1" x14ac:dyDescent="0.2">
      <c r="B12939" s="236"/>
      <c r="C12939" s="236"/>
      <c r="D12939" s="236"/>
    </row>
    <row r="12940" spans="2:4" ht="12.75" customHeight="1" x14ac:dyDescent="0.2">
      <c r="B12940" s="236"/>
      <c r="C12940" s="236"/>
      <c r="D12940" s="236"/>
    </row>
    <row r="12941" spans="2:4" ht="12.75" customHeight="1" x14ac:dyDescent="0.2">
      <c r="B12941" s="236"/>
      <c r="C12941" s="236"/>
      <c r="D12941" s="236"/>
    </row>
    <row r="12942" spans="2:4" x14ac:dyDescent="0.2">
      <c r="B12942" s="236"/>
      <c r="C12942" s="236"/>
      <c r="D12942" s="236"/>
    </row>
    <row r="12943" spans="2:4" ht="12.75" customHeight="1" x14ac:dyDescent="0.2">
      <c r="B12943" s="236"/>
      <c r="C12943" s="236"/>
      <c r="D12943" s="236"/>
    </row>
    <row r="12944" spans="2:4" ht="12.75" customHeight="1" x14ac:dyDescent="0.2">
      <c r="B12944" s="236"/>
      <c r="C12944" s="236"/>
      <c r="D12944" s="236"/>
    </row>
    <row r="12945" spans="2:4" x14ac:dyDescent="0.2">
      <c r="B12945" s="236"/>
      <c r="C12945" s="236"/>
      <c r="D12945" s="236"/>
    </row>
    <row r="12946" spans="2:4" ht="12.75" customHeight="1" x14ac:dyDescent="0.2">
      <c r="B12946" s="236"/>
      <c r="C12946" s="236"/>
      <c r="D12946" s="236"/>
    </row>
    <row r="12947" spans="2:4" x14ac:dyDescent="0.2">
      <c r="B12947" s="236"/>
      <c r="C12947" s="236"/>
      <c r="D12947" s="236"/>
    </row>
    <row r="12948" spans="2:4" ht="12.75" customHeight="1" x14ac:dyDescent="0.2">
      <c r="B12948" s="236"/>
      <c r="C12948" s="236"/>
      <c r="D12948" s="236"/>
    </row>
    <row r="12949" spans="2:4" ht="12.75" customHeight="1" x14ac:dyDescent="0.2">
      <c r="B12949" s="236"/>
      <c r="C12949" s="236"/>
      <c r="D12949" s="236"/>
    </row>
    <row r="12950" spans="2:4" ht="12.75" customHeight="1" x14ac:dyDescent="0.2">
      <c r="B12950" s="236"/>
      <c r="C12950" s="236"/>
      <c r="D12950" s="236"/>
    </row>
    <row r="12951" spans="2:4" ht="12.75" customHeight="1" x14ac:dyDescent="0.2">
      <c r="B12951" s="236"/>
      <c r="C12951" s="236"/>
      <c r="D12951" s="236"/>
    </row>
    <row r="12952" spans="2:4" ht="12.75" customHeight="1" x14ac:dyDescent="0.2">
      <c r="B12952" s="236"/>
      <c r="C12952" s="236"/>
      <c r="D12952" s="236"/>
    </row>
    <row r="12953" spans="2:4" x14ac:dyDescent="0.2">
      <c r="B12953" s="236"/>
      <c r="C12953" s="236"/>
      <c r="D12953" s="236"/>
    </row>
    <row r="12954" spans="2:4" ht="12.75" customHeight="1" x14ac:dyDescent="0.2">
      <c r="B12954" s="236"/>
      <c r="C12954" s="236"/>
      <c r="D12954" s="236"/>
    </row>
    <row r="12955" spans="2:4" ht="12.75" customHeight="1" x14ac:dyDescent="0.2">
      <c r="B12955" s="236"/>
      <c r="C12955" s="236"/>
      <c r="D12955" s="236"/>
    </row>
    <row r="12956" spans="2:4" ht="12.75" customHeight="1" x14ac:dyDescent="0.2">
      <c r="B12956" s="236"/>
      <c r="C12956" s="236"/>
      <c r="D12956" s="236"/>
    </row>
    <row r="12957" spans="2:4" ht="12.75" customHeight="1" x14ac:dyDescent="0.2">
      <c r="B12957" s="236"/>
      <c r="C12957" s="236"/>
      <c r="D12957" s="236"/>
    </row>
    <row r="12958" spans="2:4" ht="12.75" customHeight="1" x14ac:dyDescent="0.2">
      <c r="B12958" s="236"/>
      <c r="C12958" s="236"/>
      <c r="D12958" s="236"/>
    </row>
    <row r="12959" spans="2:4" ht="12.75" customHeight="1" x14ac:dyDescent="0.2">
      <c r="B12959" s="236"/>
      <c r="C12959" s="236"/>
      <c r="D12959" s="236"/>
    </row>
    <row r="12960" spans="2:4" ht="12.75" customHeight="1" x14ac:dyDescent="0.2">
      <c r="B12960" s="236"/>
      <c r="C12960" s="236"/>
      <c r="D12960" s="236"/>
    </row>
    <row r="12961" spans="2:4" ht="12.75" customHeight="1" x14ac:dyDescent="0.2">
      <c r="B12961" s="236"/>
      <c r="C12961" s="236"/>
      <c r="D12961" s="236"/>
    </row>
    <row r="12962" spans="2:4" ht="12.75" customHeight="1" x14ac:dyDescent="0.2">
      <c r="B12962" s="236"/>
      <c r="C12962" s="236"/>
      <c r="D12962" s="236"/>
    </row>
    <row r="12963" spans="2:4" ht="12.75" customHeight="1" x14ac:dyDescent="0.2">
      <c r="B12963" s="236"/>
      <c r="C12963" s="236"/>
      <c r="D12963" s="236"/>
    </row>
    <row r="12964" spans="2:4" x14ac:dyDescent="0.2">
      <c r="B12964" s="236"/>
      <c r="C12964" s="236"/>
      <c r="D12964" s="236"/>
    </row>
    <row r="12965" spans="2:4" ht="12.75" customHeight="1" x14ac:dyDescent="0.2">
      <c r="B12965" s="236"/>
      <c r="C12965" s="236"/>
      <c r="D12965" s="236"/>
    </row>
    <row r="12966" spans="2:4" ht="12.75" customHeight="1" x14ac:dyDescent="0.2">
      <c r="B12966" s="236"/>
      <c r="C12966" s="236"/>
      <c r="D12966" s="236"/>
    </row>
    <row r="12967" spans="2:4" x14ac:dyDescent="0.2">
      <c r="B12967" s="236"/>
      <c r="C12967" s="236"/>
      <c r="D12967" s="236"/>
    </row>
    <row r="12968" spans="2:4" ht="12.75" customHeight="1" x14ac:dyDescent="0.2">
      <c r="B12968" s="236"/>
      <c r="C12968" s="236"/>
      <c r="D12968" s="236"/>
    </row>
    <row r="12969" spans="2:4" ht="12.75" customHeight="1" x14ac:dyDescent="0.2">
      <c r="B12969" s="236"/>
      <c r="C12969" s="236"/>
      <c r="D12969" s="236"/>
    </row>
    <row r="12970" spans="2:4" ht="12.75" customHeight="1" x14ac:dyDescent="0.2">
      <c r="B12970" s="236"/>
      <c r="C12970" s="236"/>
      <c r="D12970" s="236"/>
    </row>
    <row r="12971" spans="2:4" x14ac:dyDescent="0.2">
      <c r="B12971" s="236"/>
      <c r="C12971" s="236"/>
      <c r="D12971" s="236"/>
    </row>
    <row r="12972" spans="2:4" ht="12.75" customHeight="1" x14ac:dyDescent="0.2">
      <c r="B12972" s="236"/>
      <c r="C12972" s="236"/>
      <c r="D12972" s="236"/>
    </row>
    <row r="12973" spans="2:4" ht="12.75" customHeight="1" x14ac:dyDescent="0.2">
      <c r="B12973" s="236"/>
      <c r="C12973" s="236"/>
      <c r="D12973" s="236"/>
    </row>
    <row r="12974" spans="2:4" ht="12.75" customHeight="1" x14ac:dyDescent="0.2">
      <c r="B12974" s="236"/>
      <c r="C12974" s="236"/>
      <c r="D12974" s="236"/>
    </row>
    <row r="12975" spans="2:4" x14ac:dyDescent="0.2">
      <c r="B12975" s="236"/>
      <c r="C12975" s="236"/>
      <c r="D12975" s="236"/>
    </row>
    <row r="12976" spans="2:4" ht="12.75" customHeight="1" x14ac:dyDescent="0.2">
      <c r="B12976" s="236"/>
      <c r="C12976" s="236"/>
      <c r="D12976" s="236"/>
    </row>
    <row r="12977" spans="2:4" ht="12.75" customHeight="1" x14ac:dyDescent="0.2">
      <c r="B12977" s="236"/>
      <c r="C12977" s="236"/>
      <c r="D12977" s="236"/>
    </row>
    <row r="12978" spans="2:4" ht="12.75" customHeight="1" x14ac:dyDescent="0.2">
      <c r="B12978" s="236"/>
      <c r="C12978" s="236"/>
      <c r="D12978" s="236"/>
    </row>
    <row r="12979" spans="2:4" ht="12.75" customHeight="1" x14ac:dyDescent="0.2">
      <c r="B12979" s="236"/>
      <c r="C12979" s="236"/>
      <c r="D12979" s="236"/>
    </row>
    <row r="12980" spans="2:4" x14ac:dyDescent="0.2">
      <c r="B12980" s="236"/>
      <c r="C12980" s="236"/>
      <c r="D12980" s="236"/>
    </row>
    <row r="12981" spans="2:4" ht="12.75" customHeight="1" x14ac:dyDescent="0.2">
      <c r="B12981" s="236"/>
      <c r="C12981" s="236"/>
      <c r="D12981" s="236"/>
    </row>
    <row r="12982" spans="2:4" x14ac:dyDescent="0.2">
      <c r="B12982" s="236"/>
      <c r="C12982" s="236"/>
      <c r="D12982" s="236"/>
    </row>
    <row r="12983" spans="2:4" ht="12.75" customHeight="1" x14ac:dyDescent="0.2">
      <c r="B12983" s="236"/>
      <c r="C12983" s="236"/>
      <c r="D12983" s="236"/>
    </row>
    <row r="12984" spans="2:4" ht="12.75" customHeight="1" x14ac:dyDescent="0.2">
      <c r="B12984" s="236"/>
      <c r="C12984" s="236"/>
      <c r="D12984" s="236"/>
    </row>
    <row r="12985" spans="2:4" ht="12.75" customHeight="1" x14ac:dyDescent="0.2">
      <c r="B12985" s="236"/>
      <c r="C12985" s="236"/>
      <c r="D12985" s="236"/>
    </row>
    <row r="12986" spans="2:4" ht="12.75" customHeight="1" x14ac:dyDescent="0.2">
      <c r="B12986" s="236"/>
      <c r="C12986" s="236"/>
      <c r="D12986" s="236"/>
    </row>
    <row r="12987" spans="2:4" ht="12.75" customHeight="1" x14ac:dyDescent="0.2">
      <c r="B12987" s="236"/>
      <c r="C12987" s="236"/>
      <c r="D12987" s="236"/>
    </row>
    <row r="12988" spans="2:4" ht="12.75" customHeight="1" x14ac:dyDescent="0.2">
      <c r="B12988" s="236"/>
      <c r="C12988" s="236"/>
      <c r="D12988" s="236"/>
    </row>
    <row r="12989" spans="2:4" ht="12.75" customHeight="1" x14ac:dyDescent="0.2">
      <c r="B12989" s="236"/>
      <c r="C12989" s="236"/>
      <c r="D12989" s="236"/>
    </row>
    <row r="12990" spans="2:4" ht="12.75" customHeight="1" x14ac:dyDescent="0.2">
      <c r="B12990" s="236"/>
      <c r="C12990" s="236"/>
      <c r="D12990" s="236"/>
    </row>
    <row r="12991" spans="2:4" ht="12.75" customHeight="1" x14ac:dyDescent="0.2">
      <c r="B12991" s="236"/>
      <c r="C12991" s="236"/>
      <c r="D12991" s="236"/>
    </row>
    <row r="12992" spans="2:4" x14ac:dyDescent="0.2">
      <c r="B12992" s="236"/>
      <c r="C12992" s="236"/>
      <c r="D12992" s="236"/>
    </row>
    <row r="12993" spans="2:4" ht="12.75" customHeight="1" x14ac:dyDescent="0.2">
      <c r="B12993" s="236"/>
      <c r="C12993" s="236"/>
      <c r="D12993" s="236"/>
    </row>
    <row r="12994" spans="2:4" ht="12.75" customHeight="1" x14ac:dyDescent="0.2">
      <c r="B12994" s="236"/>
      <c r="C12994" s="236"/>
      <c r="D12994" s="236"/>
    </row>
    <row r="12995" spans="2:4" x14ac:dyDescent="0.2">
      <c r="B12995" s="236"/>
      <c r="C12995" s="236"/>
      <c r="D12995" s="236"/>
    </row>
    <row r="12996" spans="2:4" ht="12.75" customHeight="1" x14ac:dyDescent="0.2">
      <c r="B12996" s="236"/>
      <c r="C12996" s="236"/>
      <c r="D12996" s="236"/>
    </row>
    <row r="12997" spans="2:4" ht="12.75" customHeight="1" x14ac:dyDescent="0.2">
      <c r="B12997" s="236"/>
      <c r="C12997" s="236"/>
      <c r="D12997" s="236"/>
    </row>
    <row r="12998" spans="2:4" x14ac:dyDescent="0.2">
      <c r="B12998" s="236"/>
      <c r="C12998" s="236"/>
      <c r="D12998" s="236"/>
    </row>
    <row r="12999" spans="2:4" ht="12.75" customHeight="1" x14ac:dyDescent="0.2">
      <c r="B12999" s="236"/>
      <c r="C12999" s="236"/>
      <c r="D12999" s="236"/>
    </row>
    <row r="13000" spans="2:4" x14ac:dyDescent="0.2">
      <c r="B13000" s="236"/>
      <c r="C13000" s="236"/>
      <c r="D13000" s="236"/>
    </row>
    <row r="13001" spans="2:4" ht="12.75" customHeight="1" x14ac:dyDescent="0.2">
      <c r="B13001" s="236"/>
      <c r="C13001" s="236"/>
      <c r="D13001" s="236"/>
    </row>
    <row r="13002" spans="2:4" ht="12.75" customHeight="1" x14ac:dyDescent="0.2">
      <c r="B13002" s="236"/>
      <c r="C13002" s="236"/>
      <c r="D13002" s="236"/>
    </row>
    <row r="13003" spans="2:4" ht="12.75" customHeight="1" x14ac:dyDescent="0.2">
      <c r="B13003" s="236"/>
      <c r="C13003" s="236"/>
      <c r="D13003" s="236"/>
    </row>
    <row r="13004" spans="2:4" ht="12.75" customHeight="1" x14ac:dyDescent="0.2">
      <c r="B13004" s="236"/>
      <c r="C13004" s="236"/>
      <c r="D13004" s="236"/>
    </row>
    <row r="13005" spans="2:4" x14ac:dyDescent="0.2">
      <c r="B13005" s="236"/>
      <c r="C13005" s="236"/>
      <c r="D13005" s="236"/>
    </row>
    <row r="13006" spans="2:4" ht="12.75" customHeight="1" x14ac:dyDescent="0.2">
      <c r="B13006" s="236"/>
      <c r="C13006" s="236"/>
      <c r="D13006" s="236"/>
    </row>
    <row r="13007" spans="2:4" x14ac:dyDescent="0.2">
      <c r="B13007" s="236"/>
      <c r="C13007" s="236"/>
      <c r="D13007" s="236"/>
    </row>
    <row r="13008" spans="2:4" ht="12.75" customHeight="1" x14ac:dyDescent="0.2">
      <c r="B13008" s="236"/>
      <c r="C13008" s="236"/>
      <c r="D13008" s="236"/>
    </row>
    <row r="13009" spans="2:4" x14ac:dyDescent="0.2">
      <c r="B13009" s="236"/>
      <c r="C13009" s="236"/>
      <c r="D13009" s="236"/>
    </row>
    <row r="13010" spans="2:4" ht="12.75" customHeight="1" x14ac:dyDescent="0.2">
      <c r="B13010" s="236"/>
      <c r="C13010" s="236"/>
      <c r="D13010" s="236"/>
    </row>
    <row r="13011" spans="2:4" ht="12.75" customHeight="1" x14ac:dyDescent="0.2">
      <c r="B13011" s="236"/>
      <c r="C13011" s="236"/>
      <c r="D13011" s="236"/>
    </row>
    <row r="13012" spans="2:4" ht="12.75" customHeight="1" x14ac:dyDescent="0.2">
      <c r="B13012" s="236"/>
      <c r="C13012" s="236"/>
      <c r="D13012" s="236"/>
    </row>
    <row r="13013" spans="2:4" ht="12.75" customHeight="1" x14ac:dyDescent="0.2">
      <c r="B13013" s="236"/>
      <c r="C13013" s="236"/>
      <c r="D13013" s="236"/>
    </row>
    <row r="13014" spans="2:4" ht="12.75" customHeight="1" x14ac:dyDescent="0.2">
      <c r="B13014" s="236"/>
      <c r="C13014" s="236"/>
      <c r="D13014" s="236"/>
    </row>
    <row r="13015" spans="2:4" x14ac:dyDescent="0.2">
      <c r="B13015" s="236"/>
      <c r="C13015" s="236"/>
      <c r="D13015" s="236"/>
    </row>
    <row r="13016" spans="2:4" ht="12.75" customHeight="1" x14ac:dyDescent="0.2">
      <c r="B13016" s="236"/>
      <c r="C13016" s="236"/>
      <c r="D13016" s="236"/>
    </row>
    <row r="13017" spans="2:4" ht="12.75" customHeight="1" x14ac:dyDescent="0.2">
      <c r="B13017" s="236"/>
      <c r="C13017" s="236"/>
      <c r="D13017" s="236"/>
    </row>
    <row r="13018" spans="2:4" ht="12.75" customHeight="1" x14ac:dyDescent="0.2">
      <c r="B13018" s="236"/>
      <c r="C13018" s="236"/>
      <c r="D13018" s="236"/>
    </row>
    <row r="13019" spans="2:4" ht="12.75" customHeight="1" x14ac:dyDescent="0.2">
      <c r="B13019" s="236"/>
      <c r="C13019" s="236"/>
      <c r="D13019" s="236"/>
    </row>
    <row r="13020" spans="2:4" ht="12.75" customHeight="1" x14ac:dyDescent="0.2">
      <c r="B13020" s="236"/>
      <c r="C13020" s="236"/>
      <c r="D13020" s="236"/>
    </row>
    <row r="13021" spans="2:4" ht="12.75" customHeight="1" x14ac:dyDescent="0.2">
      <c r="B13021" s="236"/>
      <c r="C13021" s="236"/>
      <c r="D13021" s="236"/>
    </row>
    <row r="13022" spans="2:4" ht="12.75" customHeight="1" x14ac:dyDescent="0.2">
      <c r="B13022" s="236"/>
      <c r="C13022" s="236"/>
      <c r="D13022" s="236"/>
    </row>
    <row r="13023" spans="2:4" ht="12.75" customHeight="1" x14ac:dyDescent="0.2">
      <c r="B13023" s="236"/>
      <c r="C13023" s="236"/>
      <c r="D13023" s="236"/>
    </row>
    <row r="13024" spans="2:4" ht="12.75" customHeight="1" x14ac:dyDescent="0.2">
      <c r="B13024" s="236"/>
      <c r="C13024" s="236"/>
      <c r="D13024" s="236"/>
    </row>
    <row r="13025" spans="2:4" ht="12.75" customHeight="1" x14ac:dyDescent="0.2">
      <c r="B13025" s="236"/>
      <c r="C13025" s="236"/>
      <c r="D13025" s="236"/>
    </row>
    <row r="13026" spans="2:4" ht="12.75" customHeight="1" x14ac:dyDescent="0.2">
      <c r="B13026" s="236"/>
      <c r="C13026" s="236"/>
      <c r="D13026" s="236"/>
    </row>
    <row r="13027" spans="2:4" ht="12.75" customHeight="1" x14ac:dyDescent="0.2">
      <c r="B13027" s="236"/>
      <c r="C13027" s="236"/>
      <c r="D13027" s="236"/>
    </row>
    <row r="13028" spans="2:4" ht="12.75" customHeight="1" x14ac:dyDescent="0.2">
      <c r="B13028" s="236"/>
      <c r="C13028" s="236"/>
      <c r="D13028" s="236"/>
    </row>
    <row r="13029" spans="2:4" ht="12.75" customHeight="1" x14ac:dyDescent="0.2">
      <c r="B13029" s="236"/>
      <c r="C13029" s="236"/>
      <c r="D13029" s="236"/>
    </row>
    <row r="13030" spans="2:4" ht="12.75" customHeight="1" x14ac:dyDescent="0.2">
      <c r="B13030" s="236"/>
      <c r="C13030" s="236"/>
      <c r="D13030" s="236"/>
    </row>
    <row r="13031" spans="2:4" ht="12.75" customHeight="1" x14ac:dyDescent="0.2">
      <c r="B13031" s="236"/>
      <c r="C13031" s="236"/>
      <c r="D13031" s="236"/>
    </row>
    <row r="13032" spans="2:4" x14ac:dyDescent="0.2">
      <c r="B13032" s="236"/>
      <c r="C13032" s="236"/>
      <c r="D13032" s="236"/>
    </row>
    <row r="13033" spans="2:4" ht="12.75" customHeight="1" x14ac:dyDescent="0.2">
      <c r="B13033" s="236"/>
      <c r="C13033" s="236"/>
      <c r="D13033" s="236"/>
    </row>
    <row r="13034" spans="2:4" ht="12.75" customHeight="1" x14ac:dyDescent="0.2">
      <c r="B13034" s="236"/>
      <c r="C13034" s="236"/>
      <c r="D13034" s="236"/>
    </row>
    <row r="13035" spans="2:4" ht="12.75" customHeight="1" x14ac:dyDescent="0.2">
      <c r="B13035" s="236"/>
      <c r="C13035" s="236"/>
      <c r="D13035" s="236"/>
    </row>
    <row r="13036" spans="2:4" ht="12.75" customHeight="1" x14ac:dyDescent="0.2">
      <c r="B13036" s="236"/>
      <c r="C13036" s="236"/>
      <c r="D13036" s="236"/>
    </row>
    <row r="13037" spans="2:4" ht="12.75" customHeight="1" x14ac:dyDescent="0.2">
      <c r="B13037" s="236"/>
      <c r="C13037" s="236"/>
      <c r="D13037" s="236"/>
    </row>
    <row r="13038" spans="2:4" x14ac:dyDescent="0.2">
      <c r="B13038" s="236"/>
      <c r="C13038" s="236"/>
      <c r="D13038" s="236"/>
    </row>
    <row r="13039" spans="2:4" ht="12.75" customHeight="1" x14ac:dyDescent="0.2">
      <c r="B13039" s="236"/>
      <c r="C13039" s="236"/>
      <c r="D13039" s="236"/>
    </row>
    <row r="13040" spans="2:4" x14ac:dyDescent="0.2">
      <c r="B13040" s="236"/>
      <c r="C13040" s="236"/>
      <c r="D13040" s="236"/>
    </row>
    <row r="13041" spans="2:4" ht="12.75" customHeight="1" x14ac:dyDescent="0.2">
      <c r="B13041" s="236"/>
      <c r="C13041" s="236"/>
      <c r="D13041" s="236"/>
    </row>
    <row r="13042" spans="2:4" x14ac:dyDescent="0.2">
      <c r="B13042" s="236"/>
      <c r="C13042" s="236"/>
      <c r="D13042" s="236"/>
    </row>
    <row r="13043" spans="2:4" ht="12.75" customHeight="1" x14ac:dyDescent="0.2">
      <c r="B13043" s="236"/>
      <c r="C13043" s="236"/>
      <c r="D13043" s="236"/>
    </row>
    <row r="13044" spans="2:4" ht="12.75" customHeight="1" x14ac:dyDescent="0.2">
      <c r="B13044" s="236"/>
      <c r="C13044" s="236"/>
      <c r="D13044" s="236"/>
    </row>
    <row r="13045" spans="2:4" ht="12.75" customHeight="1" x14ac:dyDescent="0.2">
      <c r="B13045" s="236"/>
      <c r="C13045" s="236"/>
      <c r="D13045" s="236"/>
    </row>
    <row r="13046" spans="2:4" ht="12.75" customHeight="1" x14ac:dyDescent="0.2">
      <c r="B13046" s="236"/>
      <c r="C13046" s="236"/>
      <c r="D13046" s="236"/>
    </row>
    <row r="13047" spans="2:4" ht="12.75" customHeight="1" x14ac:dyDescent="0.2">
      <c r="B13047" s="236"/>
      <c r="C13047" s="236"/>
      <c r="D13047" s="236"/>
    </row>
    <row r="13048" spans="2:4" ht="12.75" customHeight="1" x14ac:dyDescent="0.2">
      <c r="B13048" s="236"/>
      <c r="C13048" s="236"/>
      <c r="D13048" s="236"/>
    </row>
    <row r="13049" spans="2:4" ht="12.75" customHeight="1" x14ac:dyDescent="0.2">
      <c r="B13049" s="236"/>
      <c r="C13049" s="236"/>
      <c r="D13049" s="236"/>
    </row>
    <row r="13050" spans="2:4" ht="12.75" customHeight="1" x14ac:dyDescent="0.2">
      <c r="B13050" s="236"/>
      <c r="C13050" s="236"/>
      <c r="D13050" s="236"/>
    </row>
    <row r="13051" spans="2:4" ht="12.75" customHeight="1" x14ac:dyDescent="0.2">
      <c r="B13051" s="236"/>
      <c r="C13051" s="236"/>
      <c r="D13051" s="236"/>
    </row>
    <row r="13052" spans="2:4" ht="12.75" customHeight="1" x14ac:dyDescent="0.2">
      <c r="B13052" s="236"/>
      <c r="C13052" s="236"/>
      <c r="D13052" s="236"/>
    </row>
    <row r="13053" spans="2:4" ht="12.75" customHeight="1" x14ac:dyDescent="0.2">
      <c r="B13053" s="236"/>
      <c r="C13053" s="236"/>
      <c r="D13053" s="236"/>
    </row>
    <row r="13054" spans="2:4" x14ac:dyDescent="0.2">
      <c r="B13054" s="236"/>
      <c r="C13054" s="236"/>
      <c r="D13054" s="236"/>
    </row>
    <row r="13055" spans="2:4" ht="12.75" customHeight="1" x14ac:dyDescent="0.2">
      <c r="B13055" s="236"/>
      <c r="C13055" s="236"/>
      <c r="D13055" s="236"/>
    </row>
    <row r="13056" spans="2:4" x14ac:dyDescent="0.2">
      <c r="B13056" s="236"/>
      <c r="C13056" s="236"/>
      <c r="D13056" s="236"/>
    </row>
    <row r="13057" spans="2:4" ht="12.75" customHeight="1" x14ac:dyDescent="0.2">
      <c r="B13057" s="236"/>
      <c r="C13057" s="236"/>
      <c r="D13057" s="236"/>
    </row>
    <row r="13058" spans="2:4" x14ac:dyDescent="0.2">
      <c r="B13058" s="236"/>
      <c r="C13058" s="236"/>
      <c r="D13058" s="236"/>
    </row>
    <row r="13059" spans="2:4" ht="12.75" customHeight="1" x14ac:dyDescent="0.2">
      <c r="B13059" s="236"/>
      <c r="C13059" s="236"/>
      <c r="D13059" s="236"/>
    </row>
    <row r="13060" spans="2:4" ht="12.75" customHeight="1" x14ac:dyDescent="0.2">
      <c r="B13060" s="236"/>
      <c r="C13060" s="236"/>
      <c r="D13060" s="236"/>
    </row>
    <row r="13061" spans="2:4" ht="12.75" customHeight="1" x14ac:dyDescent="0.2">
      <c r="B13061" s="236"/>
      <c r="C13061" s="236"/>
      <c r="D13061" s="236"/>
    </row>
    <row r="13062" spans="2:4" x14ac:dyDescent="0.2">
      <c r="B13062" s="236"/>
      <c r="C13062" s="236"/>
      <c r="D13062" s="236"/>
    </row>
    <row r="13063" spans="2:4" ht="12.75" customHeight="1" x14ac:dyDescent="0.2">
      <c r="B13063" s="236"/>
      <c r="C13063" s="236"/>
      <c r="D13063" s="236"/>
    </row>
    <row r="13064" spans="2:4" x14ac:dyDescent="0.2">
      <c r="B13064" s="236"/>
      <c r="C13064" s="236"/>
      <c r="D13064" s="236"/>
    </row>
    <row r="13065" spans="2:4" ht="12.75" customHeight="1" x14ac:dyDescent="0.2">
      <c r="B13065" s="236"/>
      <c r="C13065" s="236"/>
      <c r="D13065" s="236"/>
    </row>
    <row r="13066" spans="2:4" x14ac:dyDescent="0.2">
      <c r="B13066" s="236"/>
      <c r="C13066" s="236"/>
      <c r="D13066" s="236"/>
    </row>
    <row r="13067" spans="2:4" ht="12.75" customHeight="1" x14ac:dyDescent="0.2">
      <c r="B13067" s="236"/>
      <c r="C13067" s="236"/>
      <c r="D13067" s="236"/>
    </row>
    <row r="13068" spans="2:4" x14ac:dyDescent="0.2">
      <c r="B13068" s="236"/>
      <c r="C13068" s="236"/>
      <c r="D13068" s="236"/>
    </row>
    <row r="13069" spans="2:4" ht="12.75" customHeight="1" x14ac:dyDescent="0.2">
      <c r="B13069" s="236"/>
      <c r="C13069" s="236"/>
      <c r="D13069" s="236"/>
    </row>
    <row r="13070" spans="2:4" x14ac:dyDescent="0.2">
      <c r="B13070" s="236"/>
      <c r="C13070" s="236"/>
      <c r="D13070" s="236"/>
    </row>
    <row r="13071" spans="2:4" ht="12.75" customHeight="1" x14ac:dyDescent="0.2">
      <c r="B13071" s="236"/>
      <c r="C13071" s="236"/>
      <c r="D13071" s="236"/>
    </row>
    <row r="13072" spans="2:4" ht="12.75" customHeight="1" x14ac:dyDescent="0.2">
      <c r="B13072" s="236"/>
      <c r="C13072" s="236"/>
      <c r="D13072" s="236"/>
    </row>
    <row r="13073" spans="2:4" ht="12.75" customHeight="1" x14ac:dyDescent="0.2">
      <c r="B13073" s="236"/>
      <c r="C13073" s="236"/>
      <c r="D13073" s="236"/>
    </row>
    <row r="13074" spans="2:4" ht="12.75" customHeight="1" x14ac:dyDescent="0.2">
      <c r="B13074" s="236"/>
      <c r="C13074" s="236"/>
      <c r="D13074" s="236"/>
    </row>
    <row r="13075" spans="2:4" ht="12.75" customHeight="1" x14ac:dyDescent="0.2">
      <c r="B13075" s="236"/>
      <c r="C13075" s="236"/>
      <c r="D13075" s="236"/>
    </row>
    <row r="13076" spans="2:4" ht="12.75" customHeight="1" x14ac:dyDescent="0.2">
      <c r="B13076" s="236"/>
      <c r="C13076" s="236"/>
      <c r="D13076" s="236"/>
    </row>
    <row r="13077" spans="2:4" ht="12.75" customHeight="1" x14ac:dyDescent="0.2">
      <c r="B13077" s="236"/>
      <c r="C13077" s="236"/>
      <c r="D13077" s="236"/>
    </row>
    <row r="13078" spans="2:4" ht="12.75" customHeight="1" x14ac:dyDescent="0.2">
      <c r="B13078" s="236"/>
      <c r="C13078" s="236"/>
      <c r="D13078" s="236"/>
    </row>
    <row r="13079" spans="2:4" ht="12.75" customHeight="1" x14ac:dyDescent="0.2">
      <c r="B13079" s="236"/>
      <c r="C13079" s="236"/>
      <c r="D13079" s="236"/>
    </row>
    <row r="13080" spans="2:4" x14ac:dyDescent="0.2">
      <c r="B13080" s="236"/>
      <c r="C13080" s="236"/>
      <c r="D13080" s="236"/>
    </row>
    <row r="13081" spans="2:4" ht="12.75" customHeight="1" x14ac:dyDescent="0.2">
      <c r="B13081" s="236"/>
      <c r="C13081" s="236"/>
      <c r="D13081" s="236"/>
    </row>
    <row r="13082" spans="2:4" x14ac:dyDescent="0.2">
      <c r="B13082" s="236"/>
      <c r="C13082" s="236"/>
      <c r="D13082" s="236"/>
    </row>
    <row r="13083" spans="2:4" ht="12.75" customHeight="1" x14ac:dyDescent="0.2">
      <c r="B13083" s="236"/>
      <c r="C13083" s="236"/>
      <c r="D13083" s="236"/>
    </row>
    <row r="13084" spans="2:4" x14ac:dyDescent="0.2">
      <c r="B13084" s="236"/>
      <c r="C13084" s="236"/>
      <c r="D13084" s="236"/>
    </row>
    <row r="13085" spans="2:4" ht="12.75" customHeight="1" x14ac:dyDescent="0.2">
      <c r="B13085" s="236"/>
      <c r="C13085" s="236"/>
      <c r="D13085" s="236"/>
    </row>
    <row r="13086" spans="2:4" x14ac:dyDescent="0.2">
      <c r="B13086" s="236"/>
      <c r="C13086" s="236"/>
      <c r="D13086" s="236"/>
    </row>
    <row r="13087" spans="2:4" ht="12.75" customHeight="1" x14ac:dyDescent="0.2">
      <c r="B13087" s="236"/>
      <c r="C13087" s="236"/>
      <c r="D13087" s="236"/>
    </row>
    <row r="13088" spans="2:4" ht="12.75" customHeight="1" x14ac:dyDescent="0.2">
      <c r="B13088" s="236"/>
      <c r="C13088" s="236"/>
      <c r="D13088" s="236"/>
    </row>
    <row r="13089" spans="2:4" x14ac:dyDescent="0.2">
      <c r="B13089" s="236"/>
      <c r="C13089" s="236"/>
      <c r="D13089" s="236"/>
    </row>
    <row r="13090" spans="2:4" ht="12.75" customHeight="1" x14ac:dyDescent="0.2">
      <c r="B13090" s="236"/>
      <c r="C13090" s="236"/>
      <c r="D13090" s="236"/>
    </row>
    <row r="13091" spans="2:4" x14ac:dyDescent="0.2">
      <c r="B13091" s="236"/>
      <c r="C13091" s="236"/>
      <c r="D13091" s="236"/>
    </row>
    <row r="13092" spans="2:4" x14ac:dyDescent="0.2">
      <c r="B13092" s="236"/>
      <c r="C13092" s="236"/>
      <c r="D13092" s="236"/>
    </row>
    <row r="13093" spans="2:4" x14ac:dyDescent="0.2">
      <c r="B13093" s="236"/>
      <c r="C13093" s="236"/>
      <c r="D13093" s="236"/>
    </row>
    <row r="13094" spans="2:4" ht="12.75" customHeight="1" x14ac:dyDescent="0.2">
      <c r="B13094" s="236"/>
      <c r="C13094" s="236"/>
      <c r="D13094" s="236"/>
    </row>
    <row r="13095" spans="2:4" ht="12.75" customHeight="1" x14ac:dyDescent="0.2">
      <c r="B13095" s="236"/>
      <c r="C13095" s="236"/>
      <c r="D13095" s="236"/>
    </row>
    <row r="13096" spans="2:4" ht="12.75" customHeight="1" x14ac:dyDescent="0.2">
      <c r="B13096" s="236"/>
      <c r="C13096" s="236"/>
      <c r="D13096" s="236"/>
    </row>
    <row r="13097" spans="2:4" ht="12.75" customHeight="1" x14ac:dyDescent="0.2">
      <c r="B13097" s="236"/>
      <c r="C13097" s="236"/>
      <c r="D13097" s="236"/>
    </row>
    <row r="13098" spans="2:4" ht="12.75" customHeight="1" x14ac:dyDescent="0.2">
      <c r="B13098" s="236"/>
      <c r="C13098" s="236"/>
      <c r="D13098" s="236"/>
    </row>
    <row r="13099" spans="2:4" ht="12.75" customHeight="1" x14ac:dyDescent="0.2">
      <c r="B13099" s="236"/>
      <c r="C13099" s="236"/>
      <c r="D13099" s="236"/>
    </row>
    <row r="13100" spans="2:4" ht="12.75" customHeight="1" x14ac:dyDescent="0.2">
      <c r="B13100" s="236"/>
      <c r="C13100" s="236"/>
      <c r="D13100" s="236"/>
    </row>
    <row r="13101" spans="2:4" ht="12.75" customHeight="1" x14ac:dyDescent="0.2">
      <c r="B13101" s="236"/>
      <c r="C13101" s="236"/>
      <c r="D13101" s="236"/>
    </row>
    <row r="13102" spans="2:4" ht="12.75" customHeight="1" x14ac:dyDescent="0.2">
      <c r="B13102" s="236"/>
      <c r="C13102" s="236"/>
      <c r="D13102" s="236"/>
    </row>
    <row r="13103" spans="2:4" ht="12.75" customHeight="1" x14ac:dyDescent="0.2">
      <c r="B13103" s="236"/>
      <c r="C13103" s="236"/>
      <c r="D13103" s="236"/>
    </row>
    <row r="13104" spans="2:4" ht="12.75" customHeight="1" x14ac:dyDescent="0.2">
      <c r="B13104" s="236"/>
      <c r="C13104" s="236"/>
      <c r="D13104" s="236"/>
    </row>
    <row r="13105" spans="2:4" x14ac:dyDescent="0.2">
      <c r="B13105" s="236"/>
      <c r="C13105" s="236"/>
      <c r="D13105" s="236"/>
    </row>
    <row r="13106" spans="2:4" ht="12.75" customHeight="1" x14ac:dyDescent="0.2">
      <c r="B13106" s="236"/>
      <c r="C13106" s="236"/>
      <c r="D13106" s="236"/>
    </row>
    <row r="13107" spans="2:4" x14ac:dyDescent="0.2">
      <c r="B13107" s="236"/>
      <c r="C13107" s="236"/>
      <c r="D13107" s="236"/>
    </row>
    <row r="13108" spans="2:4" x14ac:dyDescent="0.2">
      <c r="B13108" s="236"/>
      <c r="C13108" s="236"/>
      <c r="D13108" s="236"/>
    </row>
    <row r="13109" spans="2:4" x14ac:dyDescent="0.2">
      <c r="B13109" s="236"/>
      <c r="C13109" s="236"/>
      <c r="D13109" s="236"/>
    </row>
    <row r="13110" spans="2:4" ht="12.75" customHeight="1" x14ac:dyDescent="0.2">
      <c r="B13110" s="236"/>
      <c r="C13110" s="236"/>
      <c r="D13110" s="236"/>
    </row>
    <row r="13111" spans="2:4" ht="12.75" customHeight="1" x14ac:dyDescent="0.2">
      <c r="B13111" s="236"/>
      <c r="C13111" s="236"/>
      <c r="D13111" s="236"/>
    </row>
    <row r="13112" spans="2:4" ht="12.75" customHeight="1" x14ac:dyDescent="0.2">
      <c r="B13112" s="236"/>
      <c r="C13112" s="236"/>
      <c r="D13112" s="236"/>
    </row>
    <row r="13113" spans="2:4" ht="12.75" customHeight="1" x14ac:dyDescent="0.2">
      <c r="B13113" s="236"/>
      <c r="C13113" s="236"/>
      <c r="D13113" s="236"/>
    </row>
    <row r="13114" spans="2:4" ht="12.75" customHeight="1" x14ac:dyDescent="0.2">
      <c r="B13114" s="236"/>
      <c r="C13114" s="236"/>
      <c r="D13114" s="236"/>
    </row>
    <row r="13115" spans="2:4" ht="12.75" customHeight="1" x14ac:dyDescent="0.2">
      <c r="B13115" s="236"/>
      <c r="C13115" s="236"/>
      <c r="D13115" s="236"/>
    </row>
    <row r="13116" spans="2:4" ht="12.75" customHeight="1" x14ac:dyDescent="0.2">
      <c r="B13116" s="236"/>
      <c r="C13116" s="236"/>
      <c r="D13116" s="236"/>
    </row>
    <row r="13117" spans="2:4" ht="12.75" customHeight="1" x14ac:dyDescent="0.2">
      <c r="B13117" s="236"/>
      <c r="C13117" s="236"/>
      <c r="D13117" s="236"/>
    </row>
    <row r="13118" spans="2:4" ht="12.75" customHeight="1" x14ac:dyDescent="0.2">
      <c r="B13118" s="236"/>
      <c r="C13118" s="236"/>
      <c r="D13118" s="236"/>
    </row>
    <row r="13119" spans="2:4" ht="12.75" customHeight="1" x14ac:dyDescent="0.2">
      <c r="B13119" s="236"/>
      <c r="C13119" s="236"/>
      <c r="D13119" s="236"/>
    </row>
    <row r="13120" spans="2:4" ht="12.75" customHeight="1" x14ac:dyDescent="0.2">
      <c r="B13120" s="236"/>
      <c r="C13120" s="236"/>
      <c r="D13120" s="236"/>
    </row>
    <row r="13121" spans="2:4" x14ac:dyDescent="0.2">
      <c r="B13121" s="236"/>
      <c r="C13121" s="236"/>
      <c r="D13121" s="236"/>
    </row>
    <row r="13122" spans="2:4" ht="12.75" customHeight="1" x14ac:dyDescent="0.2">
      <c r="B13122" s="236"/>
      <c r="C13122" s="236"/>
      <c r="D13122" s="236"/>
    </row>
    <row r="13123" spans="2:4" x14ac:dyDescent="0.2">
      <c r="B13123" s="236"/>
      <c r="C13123" s="236"/>
      <c r="D13123" s="236"/>
    </row>
    <row r="13124" spans="2:4" x14ac:dyDescent="0.2">
      <c r="B13124" s="236"/>
      <c r="C13124" s="236"/>
      <c r="D13124" s="236"/>
    </row>
    <row r="13125" spans="2:4" x14ac:dyDescent="0.2">
      <c r="B13125" s="236"/>
      <c r="C13125" s="236"/>
      <c r="D13125" s="236"/>
    </row>
    <row r="13126" spans="2:4" ht="12.75" customHeight="1" x14ac:dyDescent="0.2">
      <c r="B13126" s="236"/>
      <c r="C13126" s="236"/>
      <c r="D13126" s="236"/>
    </row>
    <row r="13127" spans="2:4" ht="12.75" customHeight="1" x14ac:dyDescent="0.2">
      <c r="B13127" s="236"/>
      <c r="C13127" s="236"/>
      <c r="D13127" s="236"/>
    </row>
    <row r="13128" spans="2:4" ht="12.75" customHeight="1" x14ac:dyDescent="0.2">
      <c r="B13128" s="236"/>
      <c r="C13128" s="236"/>
      <c r="D13128" s="236"/>
    </row>
    <row r="13129" spans="2:4" ht="12.75" customHeight="1" x14ac:dyDescent="0.2">
      <c r="B13129" s="236"/>
      <c r="C13129" s="236"/>
      <c r="D13129" s="236"/>
    </row>
    <row r="13130" spans="2:4" ht="12.75" customHeight="1" x14ac:dyDescent="0.2">
      <c r="B13130" s="236"/>
      <c r="C13130" s="236"/>
      <c r="D13130" s="236"/>
    </row>
    <row r="13131" spans="2:4" ht="12.75" customHeight="1" x14ac:dyDescent="0.2">
      <c r="B13131" s="236"/>
      <c r="C13131" s="236"/>
      <c r="D13131" s="236"/>
    </row>
    <row r="13132" spans="2:4" ht="12.75" customHeight="1" x14ac:dyDescent="0.2">
      <c r="B13132" s="236"/>
      <c r="C13132" s="236"/>
      <c r="D13132" s="236"/>
    </row>
    <row r="13133" spans="2:4" ht="12.75" customHeight="1" x14ac:dyDescent="0.2">
      <c r="B13133" s="236"/>
      <c r="C13133" s="236"/>
      <c r="D13133" s="236"/>
    </row>
    <row r="13134" spans="2:4" ht="12.75" customHeight="1" x14ac:dyDescent="0.2">
      <c r="B13134" s="236"/>
      <c r="C13134" s="236"/>
      <c r="D13134" s="236"/>
    </row>
    <row r="13135" spans="2:4" ht="12.75" customHeight="1" x14ac:dyDescent="0.2">
      <c r="B13135" s="236"/>
      <c r="C13135" s="236"/>
      <c r="D13135" s="236"/>
    </row>
    <row r="13136" spans="2:4" ht="12.75" customHeight="1" x14ac:dyDescent="0.2">
      <c r="B13136" s="236"/>
      <c r="C13136" s="236"/>
      <c r="D13136" s="236"/>
    </row>
    <row r="13137" spans="2:4" x14ac:dyDescent="0.2">
      <c r="B13137" s="236"/>
      <c r="C13137" s="236"/>
      <c r="D13137" s="236"/>
    </row>
    <row r="13138" spans="2:4" x14ac:dyDescent="0.2">
      <c r="B13138" s="236"/>
      <c r="C13138" s="236"/>
      <c r="D13138" s="236"/>
    </row>
    <row r="13139" spans="2:4" x14ac:dyDescent="0.2">
      <c r="B13139" s="236"/>
      <c r="C13139" s="236"/>
      <c r="D13139" s="236"/>
    </row>
    <row r="13140" spans="2:4" ht="12.75" customHeight="1" x14ac:dyDescent="0.2">
      <c r="B13140" s="236"/>
      <c r="C13140" s="236"/>
      <c r="D13140" s="236"/>
    </row>
    <row r="13141" spans="2:4" ht="12.75" customHeight="1" x14ac:dyDescent="0.2">
      <c r="B13141" s="236"/>
      <c r="C13141" s="236"/>
      <c r="D13141" s="236"/>
    </row>
    <row r="13142" spans="2:4" ht="12.75" customHeight="1" x14ac:dyDescent="0.2">
      <c r="B13142" s="236"/>
      <c r="C13142" s="236"/>
      <c r="D13142" s="236"/>
    </row>
    <row r="13143" spans="2:4" ht="12.75" customHeight="1" x14ac:dyDescent="0.2">
      <c r="B13143" s="236"/>
      <c r="C13143" s="236"/>
      <c r="D13143" s="236"/>
    </row>
    <row r="13144" spans="2:4" ht="12.75" customHeight="1" x14ac:dyDescent="0.2">
      <c r="B13144" s="236"/>
      <c r="C13144" s="236"/>
      <c r="D13144" s="236"/>
    </row>
    <row r="13145" spans="2:4" ht="12.75" customHeight="1" x14ac:dyDescent="0.2">
      <c r="B13145" s="236"/>
      <c r="C13145" s="236"/>
      <c r="D13145" s="236"/>
    </row>
    <row r="13146" spans="2:4" ht="12.75" customHeight="1" x14ac:dyDescent="0.2">
      <c r="B13146" s="236"/>
      <c r="C13146" s="236"/>
      <c r="D13146" s="236"/>
    </row>
    <row r="13147" spans="2:4" ht="12.75" customHeight="1" x14ac:dyDescent="0.2">
      <c r="B13147" s="236"/>
      <c r="C13147" s="236"/>
      <c r="D13147" s="236"/>
    </row>
    <row r="13148" spans="2:4" ht="12.75" customHeight="1" x14ac:dyDescent="0.2">
      <c r="B13148" s="236"/>
      <c r="C13148" s="236"/>
      <c r="D13148" s="236"/>
    </row>
    <row r="13149" spans="2:4" ht="12.75" customHeight="1" x14ac:dyDescent="0.2">
      <c r="B13149" s="236"/>
      <c r="C13149" s="236"/>
      <c r="D13149" s="236"/>
    </row>
    <row r="13150" spans="2:4" x14ac:dyDescent="0.2">
      <c r="B13150" s="236"/>
      <c r="C13150" s="236"/>
      <c r="D13150" s="236"/>
    </row>
    <row r="13151" spans="2:4" ht="12.75" customHeight="1" x14ac:dyDescent="0.2">
      <c r="B13151" s="236"/>
      <c r="C13151" s="236"/>
      <c r="D13151" s="236"/>
    </row>
    <row r="13152" spans="2:4" ht="12.75" customHeight="1" x14ac:dyDescent="0.2">
      <c r="B13152" s="236"/>
      <c r="C13152" s="236"/>
      <c r="D13152" s="236"/>
    </row>
    <row r="13153" spans="2:4" ht="12.75" customHeight="1" x14ac:dyDescent="0.2">
      <c r="B13153" s="236"/>
      <c r="C13153" s="236"/>
      <c r="D13153" s="236"/>
    </row>
    <row r="13154" spans="2:4" ht="12.75" customHeight="1" x14ac:dyDescent="0.2">
      <c r="B13154" s="236"/>
      <c r="C13154" s="236"/>
      <c r="D13154" s="236"/>
    </row>
    <row r="13155" spans="2:4" x14ac:dyDescent="0.2">
      <c r="B13155" s="236"/>
      <c r="C13155" s="236"/>
      <c r="D13155" s="236"/>
    </row>
    <row r="13156" spans="2:4" ht="12.75" customHeight="1" x14ac:dyDescent="0.2">
      <c r="B13156" s="236"/>
      <c r="C13156" s="236"/>
      <c r="D13156" s="236"/>
    </row>
    <row r="13157" spans="2:4" ht="12.75" customHeight="1" x14ac:dyDescent="0.2">
      <c r="B13157" s="236"/>
      <c r="C13157" s="236"/>
      <c r="D13157" s="236"/>
    </row>
    <row r="13158" spans="2:4" ht="12.75" customHeight="1" x14ac:dyDescent="0.2">
      <c r="B13158" s="236"/>
      <c r="C13158" s="236"/>
      <c r="D13158" s="236"/>
    </row>
    <row r="13159" spans="2:4" ht="12.75" customHeight="1" x14ac:dyDescent="0.2">
      <c r="B13159" s="236"/>
      <c r="C13159" s="236"/>
      <c r="D13159" s="236"/>
    </row>
    <row r="13160" spans="2:4" x14ac:dyDescent="0.2">
      <c r="B13160" s="236"/>
      <c r="C13160" s="236"/>
      <c r="D13160" s="236"/>
    </row>
    <row r="13161" spans="2:4" ht="12.75" customHeight="1" x14ac:dyDescent="0.2">
      <c r="B13161" s="236"/>
      <c r="C13161" s="236"/>
      <c r="D13161" s="236"/>
    </row>
    <row r="13162" spans="2:4" x14ac:dyDescent="0.2">
      <c r="B13162" s="236"/>
      <c r="C13162" s="236"/>
      <c r="D13162" s="236"/>
    </row>
    <row r="13163" spans="2:4" x14ac:dyDescent="0.2">
      <c r="B13163" s="236"/>
      <c r="C13163" s="236"/>
      <c r="D13163" s="236"/>
    </row>
    <row r="13164" spans="2:4" ht="12.75" customHeight="1" x14ac:dyDescent="0.2">
      <c r="B13164" s="236"/>
      <c r="C13164" s="236"/>
      <c r="D13164" s="236"/>
    </row>
    <row r="13165" spans="2:4" ht="12.75" customHeight="1" x14ac:dyDescent="0.2">
      <c r="B13165" s="236"/>
      <c r="C13165" s="236"/>
      <c r="D13165" s="236"/>
    </row>
    <row r="13166" spans="2:4" ht="12.75" customHeight="1" x14ac:dyDescent="0.2">
      <c r="B13166" s="236"/>
      <c r="C13166" s="236"/>
      <c r="D13166" s="236"/>
    </row>
    <row r="13167" spans="2:4" x14ac:dyDescent="0.2">
      <c r="B13167" s="236"/>
      <c r="C13167" s="236"/>
      <c r="D13167" s="236"/>
    </row>
    <row r="13168" spans="2:4" ht="12.75" customHeight="1" x14ac:dyDescent="0.2">
      <c r="B13168" s="236"/>
      <c r="C13168" s="236"/>
      <c r="D13168" s="236"/>
    </row>
    <row r="13169" spans="2:4" ht="12.75" customHeight="1" x14ac:dyDescent="0.2">
      <c r="B13169" s="236"/>
      <c r="C13169" s="236"/>
      <c r="D13169" s="236"/>
    </row>
    <row r="13170" spans="2:4" ht="12.75" customHeight="1" x14ac:dyDescent="0.2">
      <c r="B13170" s="236"/>
      <c r="C13170" s="236"/>
      <c r="D13170" s="236"/>
    </row>
    <row r="13171" spans="2:4" ht="12.75" customHeight="1" x14ac:dyDescent="0.2">
      <c r="B13171" s="236"/>
      <c r="C13171" s="236"/>
      <c r="D13171" s="236"/>
    </row>
    <row r="13172" spans="2:4" ht="12.75" customHeight="1" x14ac:dyDescent="0.2">
      <c r="B13172" s="236"/>
      <c r="C13172" s="236"/>
      <c r="D13172" s="236"/>
    </row>
    <row r="13173" spans="2:4" ht="12.75" customHeight="1" x14ac:dyDescent="0.2">
      <c r="B13173" s="236"/>
      <c r="C13173" s="236"/>
      <c r="D13173" s="236"/>
    </row>
    <row r="13174" spans="2:4" ht="12.75" customHeight="1" x14ac:dyDescent="0.2">
      <c r="B13174" s="236"/>
      <c r="C13174" s="236"/>
      <c r="D13174" s="236"/>
    </row>
    <row r="13175" spans="2:4" ht="12.75" customHeight="1" x14ac:dyDescent="0.2">
      <c r="B13175" s="236"/>
      <c r="C13175" s="236"/>
      <c r="D13175" s="236"/>
    </row>
    <row r="13176" spans="2:4" ht="12.75" customHeight="1" x14ac:dyDescent="0.2">
      <c r="B13176" s="236"/>
      <c r="C13176" s="236"/>
      <c r="D13176" s="236"/>
    </row>
    <row r="13177" spans="2:4" ht="12.75" customHeight="1" x14ac:dyDescent="0.2">
      <c r="B13177" s="236"/>
      <c r="C13177" s="236"/>
      <c r="D13177" s="236"/>
    </row>
    <row r="13178" spans="2:4" ht="12.75" customHeight="1" x14ac:dyDescent="0.2">
      <c r="B13178" s="236"/>
      <c r="C13178" s="236"/>
      <c r="D13178" s="236"/>
    </row>
    <row r="13179" spans="2:4" ht="12.75" customHeight="1" x14ac:dyDescent="0.2">
      <c r="B13179" s="236"/>
      <c r="C13179" s="236"/>
      <c r="D13179" s="236"/>
    </row>
    <row r="13180" spans="2:4" ht="12.75" customHeight="1" x14ac:dyDescent="0.2">
      <c r="B13180" s="236"/>
      <c r="C13180" s="236"/>
      <c r="D13180" s="236"/>
    </row>
    <row r="13181" spans="2:4" ht="12.75" customHeight="1" x14ac:dyDescent="0.2">
      <c r="B13181" s="236"/>
      <c r="C13181" s="236"/>
      <c r="D13181" s="236"/>
    </row>
    <row r="13182" spans="2:4" ht="12.75" customHeight="1" x14ac:dyDescent="0.2">
      <c r="B13182" s="236"/>
      <c r="C13182" s="236"/>
      <c r="D13182" s="236"/>
    </row>
    <row r="13183" spans="2:4" ht="12.75" customHeight="1" x14ac:dyDescent="0.2">
      <c r="B13183" s="236"/>
      <c r="C13183" s="236"/>
      <c r="D13183" s="236"/>
    </row>
    <row r="13184" spans="2:4" ht="12.75" customHeight="1" x14ac:dyDescent="0.2">
      <c r="B13184" s="236"/>
      <c r="C13184" s="236"/>
      <c r="D13184" s="236"/>
    </row>
    <row r="13185" spans="2:4" ht="12.75" customHeight="1" x14ac:dyDescent="0.2">
      <c r="B13185" s="236"/>
      <c r="C13185" s="236"/>
      <c r="D13185" s="236"/>
    </row>
    <row r="13186" spans="2:4" ht="12.75" customHeight="1" x14ac:dyDescent="0.2">
      <c r="B13186" s="236"/>
      <c r="C13186" s="236"/>
      <c r="D13186" s="236"/>
    </row>
    <row r="13187" spans="2:4" ht="12.75" customHeight="1" x14ac:dyDescent="0.2">
      <c r="B13187" s="236"/>
      <c r="C13187" s="236"/>
      <c r="D13187" s="236"/>
    </row>
    <row r="13188" spans="2:4" ht="12.75" customHeight="1" x14ac:dyDescent="0.2">
      <c r="B13188" s="236"/>
      <c r="C13188" s="236"/>
      <c r="D13188" s="236"/>
    </row>
    <row r="13189" spans="2:4" ht="12.75" customHeight="1" x14ac:dyDescent="0.2">
      <c r="B13189" s="236"/>
      <c r="C13189" s="236"/>
      <c r="D13189" s="236"/>
    </row>
    <row r="13190" spans="2:4" ht="12.75" customHeight="1" x14ac:dyDescent="0.2">
      <c r="B13190" s="236"/>
      <c r="C13190" s="236"/>
      <c r="D13190" s="236"/>
    </row>
    <row r="13191" spans="2:4" ht="12.75" customHeight="1" x14ac:dyDescent="0.2">
      <c r="B13191" s="236"/>
      <c r="C13191" s="236"/>
      <c r="D13191" s="236"/>
    </row>
    <row r="13192" spans="2:4" ht="12.75" customHeight="1" x14ac:dyDescent="0.2">
      <c r="B13192" s="236"/>
      <c r="C13192" s="236"/>
      <c r="D13192" s="236"/>
    </row>
    <row r="13193" spans="2:4" ht="12.75" customHeight="1" x14ac:dyDescent="0.2">
      <c r="B13193" s="236"/>
      <c r="C13193" s="236"/>
      <c r="D13193" s="236"/>
    </row>
    <row r="13194" spans="2:4" x14ac:dyDescent="0.2">
      <c r="B13194" s="236"/>
      <c r="C13194" s="236"/>
      <c r="D13194" s="236"/>
    </row>
    <row r="13195" spans="2:4" ht="12.75" customHeight="1" x14ac:dyDescent="0.2">
      <c r="B13195" s="236"/>
      <c r="C13195" s="236"/>
      <c r="D13195" s="236"/>
    </row>
    <row r="13196" spans="2:4" x14ac:dyDescent="0.2">
      <c r="B13196" s="236"/>
      <c r="C13196" s="236"/>
      <c r="D13196" s="236"/>
    </row>
    <row r="13197" spans="2:4" x14ac:dyDescent="0.2">
      <c r="B13197" s="236"/>
      <c r="C13197" s="236"/>
      <c r="D13197" s="236"/>
    </row>
    <row r="13198" spans="2:4" x14ac:dyDescent="0.2">
      <c r="B13198" s="236"/>
      <c r="C13198" s="236"/>
      <c r="D13198" s="236"/>
    </row>
    <row r="13199" spans="2:4" ht="12.75" customHeight="1" x14ac:dyDescent="0.2">
      <c r="B13199" s="236"/>
      <c r="C13199" s="236"/>
      <c r="D13199" s="236"/>
    </row>
    <row r="13200" spans="2:4" ht="12.75" customHeight="1" x14ac:dyDescent="0.2">
      <c r="B13200" s="236"/>
      <c r="C13200" s="236"/>
      <c r="D13200" s="236"/>
    </row>
    <row r="13201" spans="2:4" ht="12.75" customHeight="1" x14ac:dyDescent="0.2">
      <c r="B13201" s="236"/>
      <c r="C13201" s="236"/>
      <c r="D13201" s="236"/>
    </row>
    <row r="13202" spans="2:4" ht="12.75" customHeight="1" x14ac:dyDescent="0.2">
      <c r="B13202" s="236"/>
      <c r="C13202" s="236"/>
      <c r="D13202" s="236"/>
    </row>
    <row r="13203" spans="2:4" ht="12.75" customHeight="1" x14ac:dyDescent="0.2">
      <c r="B13203" s="236"/>
      <c r="C13203" s="236"/>
      <c r="D13203" s="236"/>
    </row>
    <row r="13204" spans="2:4" ht="12.75" customHeight="1" x14ac:dyDescent="0.2">
      <c r="B13204" s="236"/>
      <c r="C13204" s="236"/>
      <c r="D13204" s="236"/>
    </row>
    <row r="13205" spans="2:4" ht="12.75" customHeight="1" x14ac:dyDescent="0.2">
      <c r="B13205" s="236"/>
      <c r="C13205" s="236"/>
      <c r="D13205" s="236"/>
    </row>
    <row r="13206" spans="2:4" ht="12.75" customHeight="1" x14ac:dyDescent="0.2">
      <c r="B13206" s="236"/>
      <c r="C13206" s="236"/>
      <c r="D13206" s="236"/>
    </row>
    <row r="13207" spans="2:4" ht="12.75" customHeight="1" x14ac:dyDescent="0.2">
      <c r="B13207" s="236"/>
      <c r="C13207" s="236"/>
      <c r="D13207" s="236"/>
    </row>
    <row r="13208" spans="2:4" ht="12.75" customHeight="1" x14ac:dyDescent="0.2">
      <c r="B13208" s="236"/>
      <c r="C13208" s="236"/>
      <c r="D13208" s="236"/>
    </row>
    <row r="13209" spans="2:4" x14ac:dyDescent="0.2">
      <c r="B13209" s="236"/>
      <c r="C13209" s="236"/>
      <c r="D13209" s="236"/>
    </row>
    <row r="13210" spans="2:4" ht="12.75" customHeight="1" x14ac:dyDescent="0.2">
      <c r="B13210" s="236"/>
      <c r="C13210" s="236"/>
      <c r="D13210" s="236"/>
    </row>
    <row r="13211" spans="2:4" ht="12.75" customHeight="1" x14ac:dyDescent="0.2">
      <c r="B13211" s="236"/>
      <c r="C13211" s="236"/>
      <c r="D13211" s="236"/>
    </row>
    <row r="13212" spans="2:4" ht="12.75" customHeight="1" x14ac:dyDescent="0.2">
      <c r="B13212" s="236"/>
      <c r="C13212" s="236"/>
      <c r="D13212" s="236"/>
    </row>
    <row r="13213" spans="2:4" ht="12.75" customHeight="1" x14ac:dyDescent="0.2">
      <c r="B13213" s="236"/>
      <c r="C13213" s="236"/>
      <c r="D13213" s="236"/>
    </row>
    <row r="13214" spans="2:4" x14ac:dyDescent="0.2">
      <c r="B13214" s="236"/>
      <c r="C13214" s="236"/>
      <c r="D13214" s="236"/>
    </row>
    <row r="13215" spans="2:4" ht="12.75" customHeight="1" x14ac:dyDescent="0.2">
      <c r="B13215" s="236"/>
      <c r="C13215" s="236"/>
      <c r="D13215" s="236"/>
    </row>
    <row r="13216" spans="2:4" ht="12.75" customHeight="1" x14ac:dyDescent="0.2">
      <c r="B13216" s="236"/>
      <c r="C13216" s="236"/>
      <c r="D13216" s="236"/>
    </row>
    <row r="13217" spans="2:4" ht="12.75" customHeight="1" x14ac:dyDescent="0.2">
      <c r="B13217" s="236"/>
      <c r="C13217" s="236"/>
      <c r="D13217" s="236"/>
    </row>
    <row r="13218" spans="2:4" x14ac:dyDescent="0.2">
      <c r="B13218" s="236"/>
      <c r="C13218" s="236"/>
      <c r="D13218" s="236"/>
    </row>
    <row r="13219" spans="2:4" x14ac:dyDescent="0.2">
      <c r="B13219" s="236"/>
      <c r="C13219" s="236"/>
      <c r="D13219" s="236"/>
    </row>
    <row r="13220" spans="2:4" ht="12.75" customHeight="1" x14ac:dyDescent="0.2">
      <c r="B13220" s="236"/>
      <c r="C13220" s="236"/>
      <c r="D13220" s="236"/>
    </row>
    <row r="13221" spans="2:4" ht="12.75" customHeight="1" x14ac:dyDescent="0.2">
      <c r="B13221" s="236"/>
      <c r="C13221" s="236"/>
      <c r="D13221" s="236"/>
    </row>
    <row r="13222" spans="2:4" ht="12.75" customHeight="1" x14ac:dyDescent="0.2">
      <c r="B13222" s="236"/>
      <c r="C13222" s="236"/>
      <c r="D13222" s="236"/>
    </row>
    <row r="13223" spans="2:4" x14ac:dyDescent="0.2">
      <c r="B13223" s="236"/>
      <c r="C13223" s="236"/>
      <c r="D13223" s="236"/>
    </row>
    <row r="13224" spans="2:4" ht="12.75" customHeight="1" x14ac:dyDescent="0.2">
      <c r="B13224" s="236"/>
      <c r="C13224" s="236"/>
      <c r="D13224" s="236"/>
    </row>
    <row r="13225" spans="2:4" x14ac:dyDescent="0.2">
      <c r="B13225" s="236"/>
      <c r="C13225" s="236"/>
      <c r="D13225" s="236"/>
    </row>
    <row r="13226" spans="2:4" ht="12.75" customHeight="1" x14ac:dyDescent="0.2">
      <c r="B13226" s="236"/>
      <c r="C13226" s="236"/>
      <c r="D13226" s="236"/>
    </row>
    <row r="13227" spans="2:4" ht="12.75" customHeight="1" x14ac:dyDescent="0.2">
      <c r="B13227" s="236"/>
      <c r="C13227" s="236"/>
      <c r="D13227" s="236"/>
    </row>
    <row r="13228" spans="2:4" ht="12.75" customHeight="1" x14ac:dyDescent="0.2">
      <c r="B13228" s="236"/>
      <c r="C13228" s="236"/>
      <c r="D13228" s="236"/>
    </row>
    <row r="13229" spans="2:4" ht="12.75" customHeight="1" x14ac:dyDescent="0.2">
      <c r="B13229" s="236"/>
      <c r="C13229" s="236"/>
      <c r="D13229" s="236"/>
    </row>
    <row r="13230" spans="2:4" ht="12.75" customHeight="1" x14ac:dyDescent="0.2">
      <c r="B13230" s="236"/>
      <c r="C13230" s="236"/>
      <c r="D13230" s="236"/>
    </row>
    <row r="13231" spans="2:4" x14ac:dyDescent="0.2">
      <c r="B13231" s="236"/>
      <c r="C13231" s="236"/>
      <c r="D13231" s="236"/>
    </row>
    <row r="13232" spans="2:4" ht="12.75" customHeight="1" x14ac:dyDescent="0.2">
      <c r="B13232" s="236"/>
      <c r="C13232" s="236"/>
      <c r="D13232" s="236"/>
    </row>
    <row r="13233" spans="2:4" ht="12.75" customHeight="1" x14ac:dyDescent="0.2">
      <c r="B13233" s="236"/>
      <c r="C13233" s="236"/>
      <c r="D13233" s="236"/>
    </row>
    <row r="13234" spans="2:4" ht="12.75" customHeight="1" x14ac:dyDescent="0.2">
      <c r="B13234" s="236"/>
      <c r="C13234" s="236"/>
      <c r="D13234" s="236"/>
    </row>
    <row r="13235" spans="2:4" ht="12.75" customHeight="1" x14ac:dyDescent="0.2">
      <c r="B13235" s="236"/>
      <c r="C13235" s="236"/>
      <c r="D13235" s="236"/>
    </row>
    <row r="13236" spans="2:4" ht="12.75" customHeight="1" x14ac:dyDescent="0.2">
      <c r="B13236" s="236"/>
      <c r="C13236" s="236"/>
      <c r="D13236" s="236"/>
    </row>
    <row r="13237" spans="2:4" x14ac:dyDescent="0.2">
      <c r="B13237" s="236"/>
      <c r="C13237" s="236"/>
      <c r="D13237" s="236"/>
    </row>
    <row r="13238" spans="2:4" ht="12.75" customHeight="1" x14ac:dyDescent="0.2">
      <c r="B13238" s="236"/>
      <c r="C13238" s="236"/>
      <c r="D13238" s="236"/>
    </row>
    <row r="13239" spans="2:4" ht="12.75" customHeight="1" x14ac:dyDescent="0.2">
      <c r="B13239" s="236"/>
      <c r="C13239" s="236"/>
      <c r="D13239" s="236"/>
    </row>
    <row r="13240" spans="2:4" ht="12.75" customHeight="1" x14ac:dyDescent="0.2">
      <c r="B13240" s="236"/>
      <c r="C13240" s="236"/>
      <c r="D13240" s="236"/>
    </row>
    <row r="13241" spans="2:4" ht="12.75" customHeight="1" x14ac:dyDescent="0.2">
      <c r="B13241" s="236"/>
      <c r="C13241" s="236"/>
      <c r="D13241" s="236"/>
    </row>
    <row r="13242" spans="2:4" ht="12.75" customHeight="1" x14ac:dyDescent="0.2">
      <c r="B13242" s="236"/>
      <c r="C13242" s="236"/>
      <c r="D13242" s="236"/>
    </row>
    <row r="13243" spans="2:4" ht="12.75" customHeight="1" x14ac:dyDescent="0.2">
      <c r="B13243" s="236"/>
      <c r="C13243" s="236"/>
      <c r="D13243" s="236"/>
    </row>
    <row r="13244" spans="2:4" ht="12.75" customHeight="1" x14ac:dyDescent="0.2">
      <c r="B13244" s="236"/>
      <c r="C13244" s="236"/>
      <c r="D13244" s="236"/>
    </row>
    <row r="13245" spans="2:4" x14ac:dyDescent="0.2">
      <c r="B13245" s="236"/>
      <c r="C13245" s="236"/>
      <c r="D13245" s="236"/>
    </row>
    <row r="13246" spans="2:4" ht="12.75" customHeight="1" x14ac:dyDescent="0.2">
      <c r="B13246" s="236"/>
      <c r="C13246" s="236"/>
      <c r="D13246" s="236"/>
    </row>
    <row r="13247" spans="2:4" ht="12.75" customHeight="1" x14ac:dyDescent="0.2">
      <c r="B13247" s="236"/>
      <c r="C13247" s="236"/>
      <c r="D13247" s="236"/>
    </row>
    <row r="13248" spans="2:4" ht="12.75" customHeight="1" x14ac:dyDescent="0.2">
      <c r="B13248" s="236"/>
      <c r="C13248" s="236"/>
      <c r="D13248" s="236"/>
    </row>
    <row r="13249" spans="2:4" ht="12.75" customHeight="1" x14ac:dyDescent="0.2">
      <c r="B13249" s="236"/>
      <c r="C13249" s="236"/>
      <c r="D13249" s="236"/>
    </row>
    <row r="13250" spans="2:4" ht="12.75" customHeight="1" x14ac:dyDescent="0.2">
      <c r="B13250" s="236"/>
      <c r="C13250" s="236"/>
      <c r="D13250" s="236"/>
    </row>
    <row r="13251" spans="2:4" x14ac:dyDescent="0.2">
      <c r="B13251" s="236"/>
      <c r="C13251" s="236"/>
      <c r="D13251" s="236"/>
    </row>
    <row r="13252" spans="2:4" ht="12.75" customHeight="1" x14ac:dyDescent="0.2">
      <c r="B13252" s="236"/>
      <c r="C13252" s="236"/>
      <c r="D13252" s="236"/>
    </row>
    <row r="13253" spans="2:4" x14ac:dyDescent="0.2">
      <c r="B13253" s="236"/>
      <c r="C13253" s="236"/>
      <c r="D13253" s="236"/>
    </row>
    <row r="13254" spans="2:4" x14ac:dyDescent="0.2">
      <c r="B13254" s="236"/>
      <c r="C13254" s="236"/>
      <c r="D13254" s="236"/>
    </row>
    <row r="13255" spans="2:4" x14ac:dyDescent="0.2">
      <c r="B13255" s="236"/>
      <c r="C13255" s="236"/>
      <c r="D13255" s="236"/>
    </row>
    <row r="13256" spans="2:4" ht="12.75" customHeight="1" x14ac:dyDescent="0.2">
      <c r="B13256" s="236"/>
      <c r="C13256" s="236"/>
      <c r="D13256" s="236"/>
    </row>
    <row r="13257" spans="2:4" ht="12.75" customHeight="1" x14ac:dyDescent="0.2">
      <c r="B13257" s="236"/>
      <c r="C13257" s="236"/>
      <c r="D13257" s="236"/>
    </row>
    <row r="13258" spans="2:4" ht="12.75" customHeight="1" x14ac:dyDescent="0.2">
      <c r="B13258" s="236"/>
      <c r="C13258" s="236"/>
      <c r="D13258" s="236"/>
    </row>
    <row r="13259" spans="2:4" ht="12.75" customHeight="1" x14ac:dyDescent="0.2">
      <c r="B13259" s="236"/>
      <c r="C13259" s="236"/>
      <c r="D13259" s="236"/>
    </row>
    <row r="13260" spans="2:4" ht="12.75" customHeight="1" x14ac:dyDescent="0.2">
      <c r="B13260" s="236"/>
      <c r="C13260" s="236"/>
      <c r="D13260" s="236"/>
    </row>
    <row r="13261" spans="2:4" ht="12.75" customHeight="1" x14ac:dyDescent="0.2">
      <c r="B13261" s="236"/>
      <c r="C13261" s="236"/>
      <c r="D13261" s="236"/>
    </row>
    <row r="13262" spans="2:4" ht="12.75" customHeight="1" x14ac:dyDescent="0.2">
      <c r="B13262" s="236"/>
      <c r="C13262" s="236"/>
      <c r="D13262" s="236"/>
    </row>
    <row r="13263" spans="2:4" ht="12.75" customHeight="1" x14ac:dyDescent="0.2">
      <c r="B13263" s="236"/>
      <c r="C13263" s="236"/>
      <c r="D13263" s="236"/>
    </row>
    <row r="13264" spans="2:4" ht="12.75" customHeight="1" x14ac:dyDescent="0.2">
      <c r="B13264" s="236"/>
      <c r="C13264" s="236"/>
      <c r="D13264" s="236"/>
    </row>
    <row r="13265" spans="2:4" ht="12.75" customHeight="1" x14ac:dyDescent="0.2">
      <c r="B13265" s="236"/>
      <c r="C13265" s="236"/>
      <c r="D13265" s="236"/>
    </row>
    <row r="13266" spans="2:4" x14ac:dyDescent="0.2">
      <c r="B13266" s="236"/>
      <c r="C13266" s="236"/>
      <c r="D13266" s="236"/>
    </row>
    <row r="13267" spans="2:4" ht="12.75" customHeight="1" x14ac:dyDescent="0.2">
      <c r="B13267" s="236"/>
      <c r="C13267" s="236"/>
      <c r="D13267" s="236"/>
    </row>
    <row r="13268" spans="2:4" x14ac:dyDescent="0.2">
      <c r="B13268" s="236"/>
      <c r="C13268" s="236"/>
      <c r="D13268" s="236"/>
    </row>
    <row r="13269" spans="2:4" x14ac:dyDescent="0.2">
      <c r="B13269" s="236"/>
      <c r="C13269" s="236"/>
      <c r="D13269" s="236"/>
    </row>
    <row r="13270" spans="2:4" x14ac:dyDescent="0.2">
      <c r="B13270" s="236"/>
      <c r="C13270" s="236"/>
      <c r="D13270" s="236"/>
    </row>
    <row r="13271" spans="2:4" ht="12.75" customHeight="1" x14ac:dyDescent="0.2">
      <c r="B13271" s="236"/>
      <c r="C13271" s="236"/>
      <c r="D13271" s="236"/>
    </row>
    <row r="13272" spans="2:4" ht="12.75" customHeight="1" x14ac:dyDescent="0.2">
      <c r="B13272" s="236"/>
      <c r="C13272" s="236"/>
      <c r="D13272" s="236"/>
    </row>
    <row r="13273" spans="2:4" ht="12.75" customHeight="1" x14ac:dyDescent="0.2">
      <c r="B13273" s="236"/>
      <c r="C13273" s="236"/>
      <c r="D13273" s="236"/>
    </row>
    <row r="13274" spans="2:4" ht="12.75" customHeight="1" x14ac:dyDescent="0.2">
      <c r="B13274" s="236"/>
      <c r="C13274" s="236"/>
      <c r="D13274" s="236"/>
    </row>
    <row r="13275" spans="2:4" ht="12.75" customHeight="1" x14ac:dyDescent="0.2">
      <c r="B13275" s="236"/>
      <c r="C13275" s="236"/>
      <c r="D13275" s="236"/>
    </row>
    <row r="13276" spans="2:4" ht="12.75" customHeight="1" x14ac:dyDescent="0.2">
      <c r="B13276" s="236"/>
      <c r="C13276" s="236"/>
      <c r="D13276" s="236"/>
    </row>
    <row r="13277" spans="2:4" ht="12.75" customHeight="1" x14ac:dyDescent="0.2">
      <c r="B13277" s="236"/>
      <c r="C13277" s="236"/>
      <c r="D13277" s="236"/>
    </row>
    <row r="13278" spans="2:4" ht="12.75" customHeight="1" x14ac:dyDescent="0.2">
      <c r="B13278" s="236"/>
      <c r="C13278" s="236"/>
      <c r="D13278" s="236"/>
    </row>
    <row r="13279" spans="2:4" ht="12.75" customHeight="1" x14ac:dyDescent="0.2">
      <c r="B13279" s="236"/>
      <c r="C13279" s="236"/>
      <c r="D13279" s="236"/>
    </row>
    <row r="13280" spans="2:4" ht="12.75" customHeight="1" x14ac:dyDescent="0.2">
      <c r="B13280" s="236"/>
      <c r="C13280" s="236"/>
      <c r="D13280" s="236"/>
    </row>
    <row r="13281" spans="2:4" ht="12.75" customHeight="1" x14ac:dyDescent="0.2">
      <c r="B13281" s="236"/>
      <c r="C13281" s="236"/>
      <c r="D13281" s="236"/>
    </row>
    <row r="13282" spans="2:4" ht="12.75" customHeight="1" x14ac:dyDescent="0.2">
      <c r="B13282" s="236"/>
      <c r="C13282" s="236"/>
      <c r="D13282" s="236"/>
    </row>
    <row r="13283" spans="2:4" ht="12.75" customHeight="1" x14ac:dyDescent="0.2">
      <c r="B13283" s="236"/>
      <c r="C13283" s="236"/>
      <c r="D13283" s="236"/>
    </row>
    <row r="13284" spans="2:4" ht="12.75" customHeight="1" x14ac:dyDescent="0.2">
      <c r="B13284" s="236"/>
      <c r="C13284" s="236"/>
      <c r="D13284" s="236"/>
    </row>
    <row r="13285" spans="2:4" x14ac:dyDescent="0.2">
      <c r="B13285" s="236"/>
      <c r="C13285" s="236"/>
      <c r="D13285" s="236"/>
    </row>
    <row r="13286" spans="2:4" ht="12.75" customHeight="1" x14ac:dyDescent="0.2">
      <c r="B13286" s="236"/>
      <c r="C13286" s="236"/>
      <c r="D13286" s="236"/>
    </row>
    <row r="13287" spans="2:4" x14ac:dyDescent="0.2">
      <c r="B13287" s="236"/>
      <c r="C13287" s="236"/>
      <c r="D13287" s="236"/>
    </row>
    <row r="13288" spans="2:4" ht="12.75" customHeight="1" x14ac:dyDescent="0.2">
      <c r="B13288" s="236"/>
      <c r="C13288" s="236"/>
      <c r="D13288" s="236"/>
    </row>
    <row r="13289" spans="2:4" x14ac:dyDescent="0.2">
      <c r="B13289" s="236"/>
      <c r="C13289" s="236"/>
      <c r="D13289" s="236"/>
    </row>
    <row r="13290" spans="2:4" ht="12.75" customHeight="1" x14ac:dyDescent="0.2">
      <c r="B13290" s="236"/>
      <c r="C13290" s="236"/>
      <c r="D13290" s="236"/>
    </row>
    <row r="13291" spans="2:4" x14ac:dyDescent="0.2">
      <c r="B13291" s="236"/>
      <c r="C13291" s="236"/>
      <c r="D13291" s="236"/>
    </row>
    <row r="13292" spans="2:4" ht="12.75" customHeight="1" x14ac:dyDescent="0.2">
      <c r="B13292" s="236"/>
      <c r="C13292" s="236"/>
      <c r="D13292" s="236"/>
    </row>
    <row r="13293" spans="2:4" ht="12.75" customHeight="1" x14ac:dyDescent="0.2">
      <c r="B13293" s="236"/>
      <c r="C13293" s="236"/>
      <c r="D13293" s="236"/>
    </row>
    <row r="13294" spans="2:4" ht="12.75" customHeight="1" x14ac:dyDescent="0.2">
      <c r="B13294" s="236"/>
      <c r="C13294" s="236"/>
      <c r="D13294" s="236"/>
    </row>
    <row r="13295" spans="2:4" ht="12.75" customHeight="1" x14ac:dyDescent="0.2">
      <c r="B13295" s="236"/>
      <c r="C13295" s="236"/>
      <c r="D13295" s="236"/>
    </row>
    <row r="13296" spans="2:4" ht="12.75" customHeight="1" x14ac:dyDescent="0.2">
      <c r="B13296" s="236"/>
      <c r="C13296" s="236"/>
      <c r="D13296" s="236"/>
    </row>
    <row r="13297" spans="2:4" ht="12.75" customHeight="1" x14ac:dyDescent="0.2">
      <c r="B13297" s="236"/>
      <c r="C13297" s="236"/>
      <c r="D13297" s="236"/>
    </row>
    <row r="13298" spans="2:4" ht="12.75" customHeight="1" x14ac:dyDescent="0.2">
      <c r="B13298" s="236"/>
      <c r="C13298" s="236"/>
      <c r="D13298" s="236"/>
    </row>
    <row r="13299" spans="2:4" ht="12.75" customHeight="1" x14ac:dyDescent="0.2">
      <c r="B13299" s="236"/>
      <c r="C13299" s="236"/>
      <c r="D13299" s="236"/>
    </row>
    <row r="13300" spans="2:4" ht="12.75" customHeight="1" x14ac:dyDescent="0.2">
      <c r="B13300" s="236"/>
      <c r="C13300" s="236"/>
      <c r="D13300" s="236"/>
    </row>
    <row r="13301" spans="2:4" ht="12.75" customHeight="1" x14ac:dyDescent="0.2">
      <c r="B13301" s="236"/>
      <c r="C13301" s="236"/>
      <c r="D13301" s="236"/>
    </row>
    <row r="13302" spans="2:4" x14ac:dyDescent="0.2">
      <c r="B13302" s="236"/>
      <c r="C13302" s="236"/>
      <c r="D13302" s="236"/>
    </row>
    <row r="13303" spans="2:4" ht="12.75" customHeight="1" x14ac:dyDescent="0.2">
      <c r="B13303" s="236"/>
      <c r="C13303" s="236"/>
      <c r="D13303" s="236"/>
    </row>
    <row r="13304" spans="2:4" x14ac:dyDescent="0.2">
      <c r="B13304" s="236"/>
      <c r="C13304" s="236"/>
      <c r="D13304" s="236"/>
    </row>
    <row r="13305" spans="2:4" x14ac:dyDescent="0.2">
      <c r="B13305" s="236"/>
      <c r="C13305" s="236"/>
      <c r="D13305" s="236"/>
    </row>
    <row r="13306" spans="2:4" x14ac:dyDescent="0.2">
      <c r="B13306" s="236"/>
      <c r="C13306" s="236"/>
      <c r="D13306" s="236"/>
    </row>
    <row r="13307" spans="2:4" ht="12.75" customHeight="1" x14ac:dyDescent="0.2">
      <c r="B13307" s="236"/>
      <c r="C13307" s="236"/>
      <c r="D13307" s="236"/>
    </row>
    <row r="13308" spans="2:4" ht="12.75" customHeight="1" x14ac:dyDescent="0.2">
      <c r="B13308" s="236"/>
      <c r="C13308" s="236"/>
      <c r="D13308" s="236"/>
    </row>
    <row r="13309" spans="2:4" ht="12.75" customHeight="1" x14ac:dyDescent="0.2">
      <c r="B13309" s="236"/>
      <c r="C13309" s="236"/>
      <c r="D13309" s="236"/>
    </row>
    <row r="13310" spans="2:4" ht="12.75" customHeight="1" x14ac:dyDescent="0.2">
      <c r="B13310" s="236"/>
      <c r="C13310" s="236"/>
      <c r="D13310" s="236"/>
    </row>
    <row r="13311" spans="2:4" ht="12.75" customHeight="1" x14ac:dyDescent="0.2">
      <c r="B13311" s="236"/>
      <c r="C13311" s="236"/>
      <c r="D13311" s="236"/>
    </row>
    <row r="13312" spans="2:4" ht="12.75" customHeight="1" x14ac:dyDescent="0.2">
      <c r="B13312" s="236"/>
      <c r="C13312" s="236"/>
      <c r="D13312" s="236"/>
    </row>
    <row r="13313" spans="2:4" ht="12.75" customHeight="1" x14ac:dyDescent="0.2">
      <c r="B13313" s="236"/>
      <c r="C13313" s="236"/>
      <c r="D13313" s="236"/>
    </row>
    <row r="13314" spans="2:4" ht="12.75" customHeight="1" x14ac:dyDescent="0.2">
      <c r="B13314" s="236"/>
      <c r="C13314" s="236"/>
      <c r="D13314" s="236"/>
    </row>
    <row r="13315" spans="2:4" ht="12.75" customHeight="1" x14ac:dyDescent="0.2">
      <c r="B13315" s="236"/>
      <c r="C13315" s="236"/>
      <c r="D13315" s="236"/>
    </row>
    <row r="13316" spans="2:4" ht="12.75" customHeight="1" x14ac:dyDescent="0.2">
      <c r="B13316" s="236"/>
      <c r="C13316" s="236"/>
      <c r="D13316" s="236"/>
    </row>
    <row r="13317" spans="2:4" ht="12.75" customHeight="1" x14ac:dyDescent="0.2">
      <c r="B13317" s="236"/>
      <c r="C13317" s="236"/>
      <c r="D13317" s="236"/>
    </row>
    <row r="13318" spans="2:4" ht="12.75" customHeight="1" x14ac:dyDescent="0.2">
      <c r="B13318" s="236"/>
      <c r="C13318" s="236"/>
      <c r="D13318" s="236"/>
    </row>
    <row r="13319" spans="2:4" ht="12.75" customHeight="1" x14ac:dyDescent="0.2">
      <c r="B13319" s="236"/>
      <c r="C13319" s="236"/>
      <c r="D13319" s="236"/>
    </row>
    <row r="13320" spans="2:4" ht="12.75" customHeight="1" x14ac:dyDescent="0.2">
      <c r="B13320" s="236"/>
      <c r="C13320" s="236"/>
      <c r="D13320" s="236"/>
    </row>
    <row r="13321" spans="2:4" ht="12.75" customHeight="1" x14ac:dyDescent="0.2">
      <c r="B13321" s="236"/>
      <c r="C13321" s="236"/>
      <c r="D13321" s="236"/>
    </row>
    <row r="13322" spans="2:4" ht="12.75" customHeight="1" x14ac:dyDescent="0.2">
      <c r="B13322" s="236"/>
      <c r="C13322" s="236"/>
      <c r="D13322" s="236"/>
    </row>
    <row r="13323" spans="2:4" ht="12.75" customHeight="1" x14ac:dyDescent="0.2">
      <c r="B13323" s="236"/>
      <c r="C13323" s="236"/>
      <c r="D13323" s="236"/>
    </row>
    <row r="13324" spans="2:4" ht="12.75" customHeight="1" x14ac:dyDescent="0.2">
      <c r="B13324" s="236"/>
      <c r="C13324" s="236"/>
      <c r="D13324" s="236"/>
    </row>
    <row r="13325" spans="2:4" x14ac:dyDescent="0.2">
      <c r="B13325" s="236"/>
      <c r="C13325" s="236"/>
      <c r="D13325" s="236"/>
    </row>
    <row r="13326" spans="2:4" ht="12.75" customHeight="1" x14ac:dyDescent="0.2">
      <c r="B13326" s="236"/>
      <c r="C13326" s="236"/>
      <c r="D13326" s="236"/>
    </row>
    <row r="13327" spans="2:4" x14ac:dyDescent="0.2">
      <c r="B13327" s="236"/>
      <c r="C13327" s="236"/>
      <c r="D13327" s="236"/>
    </row>
    <row r="13328" spans="2:4" x14ac:dyDescent="0.2">
      <c r="B13328" s="236"/>
      <c r="C13328" s="236"/>
      <c r="D13328" s="236"/>
    </row>
    <row r="13329" spans="2:4" x14ac:dyDescent="0.2">
      <c r="B13329" s="236"/>
      <c r="C13329" s="236"/>
      <c r="D13329" s="236"/>
    </row>
    <row r="13330" spans="2:4" ht="12.75" customHeight="1" x14ac:dyDescent="0.2">
      <c r="B13330" s="236"/>
      <c r="C13330" s="236"/>
      <c r="D13330" s="236"/>
    </row>
    <row r="13331" spans="2:4" ht="12.75" customHeight="1" x14ac:dyDescent="0.2">
      <c r="B13331" s="236"/>
      <c r="C13331" s="236"/>
      <c r="D13331" s="236"/>
    </row>
    <row r="13332" spans="2:4" ht="12.75" customHeight="1" x14ac:dyDescent="0.2">
      <c r="B13332" s="236"/>
      <c r="C13332" s="236"/>
      <c r="D13332" s="236"/>
    </row>
    <row r="13333" spans="2:4" ht="12.75" customHeight="1" x14ac:dyDescent="0.2">
      <c r="B13333" s="236"/>
      <c r="C13333" s="236"/>
      <c r="D13333" s="236"/>
    </row>
    <row r="13334" spans="2:4" ht="12.75" customHeight="1" x14ac:dyDescent="0.2">
      <c r="B13334" s="236"/>
      <c r="C13334" s="236"/>
      <c r="D13334" s="236"/>
    </row>
    <row r="13335" spans="2:4" ht="12.75" customHeight="1" x14ac:dyDescent="0.2">
      <c r="B13335" s="236"/>
      <c r="C13335" s="236"/>
      <c r="D13335" s="236"/>
    </row>
    <row r="13336" spans="2:4" ht="12.75" customHeight="1" x14ac:dyDescent="0.2">
      <c r="B13336" s="236"/>
      <c r="C13336" s="236"/>
      <c r="D13336" s="236"/>
    </row>
    <row r="13337" spans="2:4" ht="12.75" customHeight="1" x14ac:dyDescent="0.2">
      <c r="B13337" s="236"/>
      <c r="C13337" s="236"/>
      <c r="D13337" s="236"/>
    </row>
    <row r="13338" spans="2:4" ht="12.75" customHeight="1" x14ac:dyDescent="0.2">
      <c r="B13338" s="236"/>
      <c r="C13338" s="236"/>
      <c r="D13338" s="236"/>
    </row>
    <row r="13339" spans="2:4" x14ac:dyDescent="0.2">
      <c r="B13339" s="236"/>
      <c r="C13339" s="236"/>
      <c r="D13339" s="236"/>
    </row>
    <row r="13340" spans="2:4" ht="12.75" customHeight="1" x14ac:dyDescent="0.2">
      <c r="B13340" s="236"/>
      <c r="C13340" s="236"/>
      <c r="D13340" s="236"/>
    </row>
    <row r="13341" spans="2:4" ht="12.75" customHeight="1" x14ac:dyDescent="0.2">
      <c r="B13341" s="236"/>
      <c r="C13341" s="236"/>
      <c r="D13341" s="236"/>
    </row>
    <row r="13342" spans="2:4" ht="12.75" customHeight="1" x14ac:dyDescent="0.2">
      <c r="B13342" s="236"/>
      <c r="C13342" s="236"/>
      <c r="D13342" s="236"/>
    </row>
    <row r="13343" spans="2:4" x14ac:dyDescent="0.2">
      <c r="B13343" s="236"/>
      <c r="C13343" s="236"/>
      <c r="D13343" s="236"/>
    </row>
    <row r="13344" spans="2:4" ht="12.75" customHeight="1" x14ac:dyDescent="0.2">
      <c r="B13344" s="236"/>
      <c r="C13344" s="236"/>
      <c r="D13344" s="236"/>
    </row>
    <row r="13345" spans="2:4" x14ac:dyDescent="0.2">
      <c r="B13345" s="236"/>
      <c r="C13345" s="236"/>
      <c r="D13345" s="236"/>
    </row>
    <row r="13346" spans="2:4" ht="12.75" customHeight="1" x14ac:dyDescent="0.2">
      <c r="B13346" s="236"/>
      <c r="C13346" s="236"/>
      <c r="D13346" s="236"/>
    </row>
    <row r="13347" spans="2:4" x14ac:dyDescent="0.2">
      <c r="B13347" s="236"/>
      <c r="C13347" s="236"/>
      <c r="D13347" s="236"/>
    </row>
    <row r="13348" spans="2:4" ht="12.75" customHeight="1" x14ac:dyDescent="0.2">
      <c r="B13348" s="236"/>
      <c r="C13348" s="236"/>
      <c r="D13348" s="236"/>
    </row>
    <row r="13349" spans="2:4" x14ac:dyDescent="0.2">
      <c r="B13349" s="236"/>
      <c r="C13349" s="236"/>
      <c r="D13349" s="236"/>
    </row>
    <row r="13350" spans="2:4" ht="12.75" customHeight="1" x14ac:dyDescent="0.2">
      <c r="B13350" s="236"/>
      <c r="C13350" s="236"/>
      <c r="D13350" s="236"/>
    </row>
    <row r="13351" spans="2:4" ht="12.75" customHeight="1" x14ac:dyDescent="0.2">
      <c r="B13351" s="236"/>
      <c r="C13351" s="236"/>
      <c r="D13351" s="236"/>
    </row>
    <row r="13352" spans="2:4" ht="12.75" customHeight="1" x14ac:dyDescent="0.2">
      <c r="B13352" s="236"/>
      <c r="C13352" s="236"/>
      <c r="D13352" s="236"/>
    </row>
    <row r="13353" spans="2:4" ht="12.75" customHeight="1" x14ac:dyDescent="0.2">
      <c r="B13353" s="236"/>
      <c r="C13353" s="236"/>
      <c r="D13353" s="236"/>
    </row>
    <row r="13354" spans="2:4" ht="12.75" customHeight="1" x14ac:dyDescent="0.2">
      <c r="B13354" s="236"/>
      <c r="C13354" s="236"/>
      <c r="D13354" s="236"/>
    </row>
    <row r="13355" spans="2:4" ht="12.75" customHeight="1" x14ac:dyDescent="0.2">
      <c r="B13355" s="236"/>
      <c r="C13355" s="236"/>
      <c r="D13355" s="236"/>
    </row>
    <row r="13356" spans="2:4" ht="12.75" customHeight="1" x14ac:dyDescent="0.2">
      <c r="B13356" s="236"/>
      <c r="C13356" s="236"/>
      <c r="D13356" s="236"/>
    </row>
    <row r="13357" spans="2:4" ht="12.75" customHeight="1" x14ac:dyDescent="0.2">
      <c r="B13357" s="236"/>
      <c r="C13357" s="236"/>
      <c r="D13357" s="236"/>
    </row>
    <row r="13358" spans="2:4" ht="12.75" customHeight="1" x14ac:dyDescent="0.2">
      <c r="B13358" s="236"/>
      <c r="C13358" s="236"/>
      <c r="D13358" s="236"/>
    </row>
    <row r="13359" spans="2:4" ht="12.75" customHeight="1" x14ac:dyDescent="0.2">
      <c r="B13359" s="236"/>
      <c r="C13359" s="236"/>
      <c r="D13359" s="236"/>
    </row>
    <row r="13360" spans="2:4" x14ac:dyDescent="0.2">
      <c r="B13360" s="236"/>
      <c r="C13360" s="236"/>
      <c r="D13360" s="236"/>
    </row>
    <row r="13361" spans="2:4" ht="12.75" customHeight="1" x14ac:dyDescent="0.2">
      <c r="B13361" s="236"/>
      <c r="C13361" s="236"/>
      <c r="D13361" s="236"/>
    </row>
    <row r="13362" spans="2:4" ht="12.75" customHeight="1" x14ac:dyDescent="0.2">
      <c r="B13362" s="236"/>
      <c r="C13362" s="236"/>
      <c r="D13362" s="236"/>
    </row>
    <row r="13363" spans="2:4" ht="12.75" customHeight="1" x14ac:dyDescent="0.2">
      <c r="B13363" s="236"/>
      <c r="C13363" s="236"/>
      <c r="D13363" s="236"/>
    </row>
    <row r="13364" spans="2:4" ht="12.75" customHeight="1" x14ac:dyDescent="0.2">
      <c r="B13364" s="236"/>
      <c r="C13364" s="236"/>
      <c r="D13364" s="236"/>
    </row>
    <row r="13365" spans="2:4" x14ac:dyDescent="0.2">
      <c r="B13365" s="236"/>
      <c r="C13365" s="236"/>
      <c r="D13365" s="236"/>
    </row>
    <row r="13366" spans="2:4" ht="12.75" customHeight="1" x14ac:dyDescent="0.2">
      <c r="B13366" s="236"/>
      <c r="C13366" s="236"/>
      <c r="D13366" s="236"/>
    </row>
    <row r="13367" spans="2:4" ht="12.75" customHeight="1" x14ac:dyDescent="0.2">
      <c r="B13367" s="236"/>
      <c r="C13367" s="236"/>
      <c r="D13367" s="236"/>
    </row>
    <row r="13368" spans="2:4" x14ac:dyDescent="0.2">
      <c r="B13368" s="236"/>
      <c r="C13368" s="236"/>
      <c r="D13368" s="236"/>
    </row>
    <row r="13369" spans="2:4" ht="12.75" customHeight="1" x14ac:dyDescent="0.2">
      <c r="B13369" s="236"/>
      <c r="C13369" s="236"/>
      <c r="D13369" s="236"/>
    </row>
    <row r="13370" spans="2:4" x14ac:dyDescent="0.2">
      <c r="B13370" s="236"/>
      <c r="C13370" s="236"/>
      <c r="D13370" s="236"/>
    </row>
    <row r="13371" spans="2:4" x14ac:dyDescent="0.2">
      <c r="B13371" s="236"/>
      <c r="C13371" s="236"/>
      <c r="D13371" s="236"/>
    </row>
    <row r="13372" spans="2:4" x14ac:dyDescent="0.2">
      <c r="B13372" s="236"/>
      <c r="C13372" s="236"/>
      <c r="D13372" s="236"/>
    </row>
    <row r="13373" spans="2:4" ht="12.75" customHeight="1" x14ac:dyDescent="0.2">
      <c r="B13373" s="236"/>
      <c r="C13373" s="236"/>
      <c r="D13373" s="236"/>
    </row>
    <row r="13374" spans="2:4" ht="12.75" customHeight="1" x14ac:dyDescent="0.2">
      <c r="B13374" s="236"/>
      <c r="C13374" s="236"/>
      <c r="D13374" s="236"/>
    </row>
    <row r="13375" spans="2:4" ht="12.75" customHeight="1" x14ac:dyDescent="0.2">
      <c r="B13375" s="236"/>
      <c r="C13375" s="236"/>
      <c r="D13375" s="236"/>
    </row>
    <row r="13376" spans="2:4" ht="12.75" customHeight="1" x14ac:dyDescent="0.2">
      <c r="B13376" s="236"/>
      <c r="C13376" s="236"/>
      <c r="D13376" s="236"/>
    </row>
    <row r="13377" spans="2:4" ht="12.75" customHeight="1" x14ac:dyDescent="0.2">
      <c r="B13377" s="236"/>
      <c r="C13377" s="236"/>
      <c r="D13377" s="236"/>
    </row>
    <row r="13378" spans="2:4" ht="12.75" customHeight="1" x14ac:dyDescent="0.2">
      <c r="B13378" s="236"/>
      <c r="C13378" s="236"/>
      <c r="D13378" s="236"/>
    </row>
    <row r="13379" spans="2:4" ht="12.75" customHeight="1" x14ac:dyDescent="0.2">
      <c r="B13379" s="236"/>
      <c r="C13379" s="236"/>
      <c r="D13379" s="236"/>
    </row>
    <row r="13380" spans="2:4" ht="12.75" customHeight="1" x14ac:dyDescent="0.2">
      <c r="B13380" s="236"/>
      <c r="C13380" s="236"/>
      <c r="D13380" s="236"/>
    </row>
    <row r="13381" spans="2:4" ht="12.75" customHeight="1" x14ac:dyDescent="0.2">
      <c r="B13381" s="236"/>
      <c r="C13381" s="236"/>
      <c r="D13381" s="236"/>
    </row>
    <row r="13382" spans="2:4" ht="12.75" customHeight="1" x14ac:dyDescent="0.2">
      <c r="B13382" s="236"/>
      <c r="C13382" s="236"/>
      <c r="D13382" s="236"/>
    </row>
    <row r="13383" spans="2:4" ht="12.75" customHeight="1" x14ac:dyDescent="0.2">
      <c r="B13383" s="236"/>
      <c r="C13383" s="236"/>
      <c r="D13383" s="236"/>
    </row>
    <row r="13384" spans="2:4" ht="12.75" customHeight="1" x14ac:dyDescent="0.2">
      <c r="B13384" s="236"/>
      <c r="C13384" s="236"/>
      <c r="D13384" s="236"/>
    </row>
    <row r="13385" spans="2:4" ht="12.75" customHeight="1" x14ac:dyDescent="0.2">
      <c r="B13385" s="236"/>
      <c r="C13385" s="236"/>
      <c r="D13385" s="236"/>
    </row>
    <row r="13386" spans="2:4" ht="12.75" customHeight="1" x14ac:dyDescent="0.2">
      <c r="B13386" s="236"/>
      <c r="C13386" s="236"/>
      <c r="D13386" s="236"/>
    </row>
    <row r="13387" spans="2:4" ht="12.75" customHeight="1" x14ac:dyDescent="0.2">
      <c r="B13387" s="236"/>
      <c r="C13387" s="236"/>
      <c r="D13387" s="236"/>
    </row>
    <row r="13388" spans="2:4" ht="12.75" customHeight="1" x14ac:dyDescent="0.2">
      <c r="B13388" s="236"/>
      <c r="C13388" s="236"/>
      <c r="D13388" s="236"/>
    </row>
    <row r="13389" spans="2:4" ht="12.75" customHeight="1" x14ac:dyDescent="0.2">
      <c r="B13389" s="236"/>
      <c r="C13389" s="236"/>
      <c r="D13389" s="236"/>
    </row>
    <row r="13390" spans="2:4" x14ac:dyDescent="0.2">
      <c r="B13390" s="236"/>
      <c r="C13390" s="236"/>
      <c r="D13390" s="236"/>
    </row>
    <row r="13391" spans="2:4" ht="12.75" customHeight="1" x14ac:dyDescent="0.2">
      <c r="B13391" s="236"/>
      <c r="C13391" s="236"/>
      <c r="D13391" s="236"/>
    </row>
    <row r="13392" spans="2:4" ht="12.75" customHeight="1" x14ac:dyDescent="0.2">
      <c r="B13392" s="236"/>
      <c r="C13392" s="236"/>
      <c r="D13392" s="236"/>
    </row>
    <row r="13393" spans="2:4" ht="12.75" customHeight="1" x14ac:dyDescent="0.2">
      <c r="B13393" s="236"/>
      <c r="C13393" s="236"/>
      <c r="D13393" s="236"/>
    </row>
    <row r="13394" spans="2:4" x14ac:dyDescent="0.2">
      <c r="B13394" s="236"/>
      <c r="C13394" s="236"/>
      <c r="D13394" s="236"/>
    </row>
    <row r="13395" spans="2:4" ht="12.75" customHeight="1" x14ac:dyDescent="0.2">
      <c r="B13395" s="236"/>
      <c r="C13395" s="236"/>
      <c r="D13395" s="236"/>
    </row>
    <row r="13396" spans="2:4" ht="12.75" customHeight="1" x14ac:dyDescent="0.2">
      <c r="B13396" s="236"/>
      <c r="C13396" s="236"/>
      <c r="D13396" s="236"/>
    </row>
    <row r="13397" spans="2:4" ht="12.75" customHeight="1" x14ac:dyDescent="0.2">
      <c r="B13397" s="236"/>
      <c r="C13397" s="236"/>
      <c r="D13397" s="236"/>
    </row>
    <row r="13398" spans="2:4" ht="12.75" customHeight="1" x14ac:dyDescent="0.2">
      <c r="B13398" s="236"/>
      <c r="C13398" s="236"/>
      <c r="D13398" s="236"/>
    </row>
    <row r="13399" spans="2:4" ht="12.75" customHeight="1" x14ac:dyDescent="0.2">
      <c r="B13399" s="236"/>
      <c r="C13399" s="236"/>
      <c r="D13399" s="236"/>
    </row>
    <row r="13400" spans="2:4" ht="12.75" customHeight="1" x14ac:dyDescent="0.2">
      <c r="B13400" s="236"/>
      <c r="C13400" s="236"/>
      <c r="D13400" s="236"/>
    </row>
    <row r="13401" spans="2:4" ht="12.75" customHeight="1" x14ac:dyDescent="0.2">
      <c r="B13401" s="236"/>
      <c r="C13401" s="236"/>
      <c r="D13401" s="236"/>
    </row>
    <row r="13402" spans="2:4" ht="12.75" customHeight="1" x14ac:dyDescent="0.2">
      <c r="B13402" s="236"/>
      <c r="C13402" s="236"/>
      <c r="D13402" s="236"/>
    </row>
    <row r="13403" spans="2:4" x14ac:dyDescent="0.2">
      <c r="B13403" s="236"/>
      <c r="C13403" s="236"/>
      <c r="D13403" s="236"/>
    </row>
    <row r="13404" spans="2:4" ht="12.75" customHeight="1" x14ac:dyDescent="0.2">
      <c r="B13404" s="236"/>
      <c r="C13404" s="236"/>
      <c r="D13404" s="236"/>
    </row>
    <row r="13405" spans="2:4" x14ac:dyDescent="0.2">
      <c r="B13405" s="236"/>
      <c r="C13405" s="236"/>
      <c r="D13405" s="236"/>
    </row>
    <row r="13406" spans="2:4" ht="12.75" customHeight="1" x14ac:dyDescent="0.2">
      <c r="B13406" s="236"/>
      <c r="C13406" s="236"/>
      <c r="D13406" s="236"/>
    </row>
    <row r="13407" spans="2:4" x14ac:dyDescent="0.2">
      <c r="B13407" s="236"/>
      <c r="C13407" s="236"/>
      <c r="D13407" s="236"/>
    </row>
    <row r="13408" spans="2:4" ht="12.75" customHeight="1" x14ac:dyDescent="0.2">
      <c r="B13408" s="236"/>
      <c r="C13408" s="236"/>
      <c r="D13408" s="236"/>
    </row>
    <row r="13409" spans="2:4" ht="12.75" customHeight="1" x14ac:dyDescent="0.2">
      <c r="B13409" s="236"/>
      <c r="C13409" s="236"/>
      <c r="D13409" s="236"/>
    </row>
    <row r="13410" spans="2:4" ht="12.75" customHeight="1" x14ac:dyDescent="0.2">
      <c r="B13410" s="236"/>
      <c r="C13410" s="236"/>
      <c r="D13410" s="236"/>
    </row>
    <row r="13411" spans="2:4" x14ac:dyDescent="0.2">
      <c r="B13411" s="236"/>
      <c r="C13411" s="236"/>
      <c r="D13411" s="236"/>
    </row>
    <row r="13412" spans="2:4" x14ac:dyDescent="0.2">
      <c r="B13412" s="236"/>
      <c r="C13412" s="236"/>
      <c r="D13412" s="236"/>
    </row>
    <row r="13413" spans="2:4" ht="12.75" customHeight="1" x14ac:dyDescent="0.2">
      <c r="B13413" s="236"/>
      <c r="C13413" s="236"/>
      <c r="D13413" s="236"/>
    </row>
    <row r="13414" spans="2:4" ht="12.75" customHeight="1" x14ac:dyDescent="0.2">
      <c r="B13414" s="236"/>
      <c r="C13414" s="236"/>
      <c r="D13414" s="236"/>
    </row>
    <row r="13415" spans="2:4" x14ac:dyDescent="0.2">
      <c r="B13415" s="236"/>
      <c r="C13415" s="236"/>
      <c r="D13415" s="236"/>
    </row>
    <row r="13416" spans="2:4" ht="12.75" customHeight="1" x14ac:dyDescent="0.2">
      <c r="B13416" s="236"/>
      <c r="C13416" s="236"/>
      <c r="D13416" s="236"/>
    </row>
    <row r="13417" spans="2:4" x14ac:dyDescent="0.2">
      <c r="B13417" s="236"/>
      <c r="C13417" s="236"/>
      <c r="D13417" s="236"/>
    </row>
    <row r="13418" spans="2:4" x14ac:dyDescent="0.2">
      <c r="B13418" s="236"/>
      <c r="C13418" s="236"/>
      <c r="D13418" s="236"/>
    </row>
    <row r="13419" spans="2:4" ht="12.75" customHeight="1" x14ac:dyDescent="0.2">
      <c r="B13419" s="236"/>
      <c r="C13419" s="236"/>
      <c r="D13419" s="236"/>
    </row>
    <row r="13420" spans="2:4" ht="12.75" customHeight="1" x14ac:dyDescent="0.2">
      <c r="B13420" s="236"/>
      <c r="C13420" s="236"/>
      <c r="D13420" s="236"/>
    </row>
    <row r="13421" spans="2:4" ht="12.75" customHeight="1" x14ac:dyDescent="0.2">
      <c r="B13421" s="236"/>
      <c r="C13421" s="236"/>
      <c r="D13421" s="236"/>
    </row>
    <row r="13422" spans="2:4" ht="12.75" customHeight="1" x14ac:dyDescent="0.2">
      <c r="B13422" s="236"/>
      <c r="C13422" s="236"/>
      <c r="D13422" s="236"/>
    </row>
    <row r="13423" spans="2:4" ht="12.75" customHeight="1" x14ac:dyDescent="0.2">
      <c r="B13423" s="236"/>
      <c r="C13423" s="236"/>
      <c r="D13423" s="236"/>
    </row>
    <row r="13424" spans="2:4" ht="12.75" customHeight="1" x14ac:dyDescent="0.2">
      <c r="B13424" s="236"/>
      <c r="C13424" s="236"/>
      <c r="D13424" s="236"/>
    </row>
    <row r="13425" spans="2:4" ht="12.75" customHeight="1" x14ac:dyDescent="0.2">
      <c r="B13425" s="236"/>
      <c r="C13425" s="236"/>
      <c r="D13425" s="236"/>
    </row>
    <row r="13426" spans="2:4" ht="12.75" customHeight="1" x14ac:dyDescent="0.2">
      <c r="B13426" s="236"/>
      <c r="C13426" s="236"/>
      <c r="D13426" s="236"/>
    </row>
    <row r="13427" spans="2:4" ht="12.75" customHeight="1" x14ac:dyDescent="0.2">
      <c r="B13427" s="236"/>
      <c r="C13427" s="236"/>
      <c r="D13427" s="236"/>
    </row>
    <row r="13428" spans="2:4" ht="12.75" customHeight="1" x14ac:dyDescent="0.2">
      <c r="B13428" s="236"/>
      <c r="C13428" s="236"/>
      <c r="D13428" s="236"/>
    </row>
    <row r="13429" spans="2:4" ht="12.75" customHeight="1" x14ac:dyDescent="0.2">
      <c r="B13429" s="236"/>
      <c r="C13429" s="236"/>
      <c r="D13429" s="236"/>
    </row>
    <row r="13430" spans="2:4" ht="12.75" customHeight="1" x14ac:dyDescent="0.2">
      <c r="B13430" s="236"/>
      <c r="C13430" s="236"/>
      <c r="D13430" s="236"/>
    </row>
    <row r="13431" spans="2:4" ht="12.75" customHeight="1" x14ac:dyDescent="0.2">
      <c r="B13431" s="236"/>
      <c r="C13431" s="236"/>
      <c r="D13431" s="236"/>
    </row>
    <row r="13432" spans="2:4" x14ac:dyDescent="0.2">
      <c r="B13432" s="236"/>
      <c r="C13432" s="236"/>
      <c r="D13432" s="236"/>
    </row>
    <row r="13433" spans="2:4" ht="12.75" customHeight="1" x14ac:dyDescent="0.2">
      <c r="B13433" s="236"/>
      <c r="C13433" s="236"/>
      <c r="D13433" s="236"/>
    </row>
    <row r="13434" spans="2:4" x14ac:dyDescent="0.2">
      <c r="B13434" s="236"/>
      <c r="C13434" s="236"/>
      <c r="D13434" s="236"/>
    </row>
    <row r="13435" spans="2:4" ht="12.75" customHeight="1" x14ac:dyDescent="0.2">
      <c r="B13435" s="236"/>
      <c r="C13435" s="236"/>
      <c r="D13435" s="236"/>
    </row>
    <row r="13436" spans="2:4" ht="12.75" customHeight="1" x14ac:dyDescent="0.2">
      <c r="B13436" s="236"/>
      <c r="C13436" s="236"/>
      <c r="D13436" s="236"/>
    </row>
    <row r="13437" spans="2:4" ht="12.75" customHeight="1" x14ac:dyDescent="0.2">
      <c r="B13437" s="236"/>
      <c r="C13437" s="236"/>
      <c r="D13437" s="236"/>
    </row>
    <row r="13438" spans="2:4" ht="12.75" customHeight="1" x14ac:dyDescent="0.2">
      <c r="B13438" s="236"/>
      <c r="C13438" s="236"/>
      <c r="D13438" s="236"/>
    </row>
    <row r="13439" spans="2:4" x14ac:dyDescent="0.2">
      <c r="B13439" s="236"/>
      <c r="C13439" s="236"/>
      <c r="D13439" s="236"/>
    </row>
    <row r="13440" spans="2:4" x14ac:dyDescent="0.2">
      <c r="B13440" s="236"/>
      <c r="C13440" s="236"/>
      <c r="D13440" s="236"/>
    </row>
    <row r="13441" spans="2:4" ht="12.75" customHeight="1" x14ac:dyDescent="0.2">
      <c r="B13441" s="236"/>
      <c r="C13441" s="236"/>
      <c r="D13441" s="236"/>
    </row>
    <row r="13442" spans="2:4" x14ac:dyDescent="0.2">
      <c r="B13442" s="236"/>
      <c r="C13442" s="236"/>
      <c r="D13442" s="236"/>
    </row>
    <row r="13443" spans="2:4" ht="12.75" customHeight="1" x14ac:dyDescent="0.2">
      <c r="B13443" s="236"/>
      <c r="C13443" s="236"/>
      <c r="D13443" s="236"/>
    </row>
    <row r="13444" spans="2:4" ht="12.75" customHeight="1" x14ac:dyDescent="0.2">
      <c r="B13444" s="236"/>
      <c r="C13444" s="236"/>
      <c r="D13444" s="236"/>
    </row>
    <row r="13445" spans="2:4" ht="12.75" customHeight="1" x14ac:dyDescent="0.2">
      <c r="B13445" s="236"/>
      <c r="C13445" s="236"/>
      <c r="D13445" s="236"/>
    </row>
    <row r="13446" spans="2:4" ht="12.75" customHeight="1" x14ac:dyDescent="0.2">
      <c r="B13446" s="236"/>
      <c r="C13446" s="236"/>
      <c r="D13446" s="236"/>
    </row>
    <row r="13447" spans="2:4" ht="12.75" customHeight="1" x14ac:dyDescent="0.2">
      <c r="B13447" s="236"/>
      <c r="C13447" s="236"/>
      <c r="D13447" s="236"/>
    </row>
    <row r="13448" spans="2:4" ht="12.75" customHeight="1" x14ac:dyDescent="0.2">
      <c r="B13448" s="236"/>
      <c r="C13448" s="236"/>
      <c r="D13448" s="236"/>
    </row>
    <row r="13449" spans="2:4" ht="12.75" customHeight="1" x14ac:dyDescent="0.2">
      <c r="B13449" s="236"/>
      <c r="C13449" s="236"/>
      <c r="D13449" s="236"/>
    </row>
    <row r="13450" spans="2:4" ht="12.75" customHeight="1" x14ac:dyDescent="0.2">
      <c r="B13450" s="236"/>
      <c r="C13450" s="236"/>
      <c r="D13450" s="236"/>
    </row>
    <row r="13451" spans="2:4" ht="12.75" customHeight="1" x14ac:dyDescent="0.2">
      <c r="B13451" s="236"/>
      <c r="C13451" s="236"/>
      <c r="D13451" s="236"/>
    </row>
    <row r="13452" spans="2:4" x14ac:dyDescent="0.2">
      <c r="B13452" s="236"/>
      <c r="C13452" s="236"/>
      <c r="D13452" s="236"/>
    </row>
    <row r="13453" spans="2:4" ht="12.75" customHeight="1" x14ac:dyDescent="0.2">
      <c r="B13453" s="236"/>
      <c r="C13453" s="236"/>
      <c r="D13453" s="236"/>
    </row>
    <row r="13454" spans="2:4" ht="12.75" customHeight="1" x14ac:dyDescent="0.2">
      <c r="B13454" s="236"/>
      <c r="C13454" s="236"/>
      <c r="D13454" s="236"/>
    </row>
    <row r="13455" spans="2:4" x14ac:dyDescent="0.2">
      <c r="B13455" s="236"/>
      <c r="C13455" s="236"/>
      <c r="D13455" s="236"/>
    </row>
    <row r="13456" spans="2:4" ht="12.75" customHeight="1" x14ac:dyDescent="0.2">
      <c r="B13456" s="236"/>
      <c r="C13456" s="236"/>
      <c r="D13456" s="236"/>
    </row>
    <row r="13457" spans="2:4" x14ac:dyDescent="0.2">
      <c r="B13457" s="236"/>
      <c r="C13457" s="236"/>
      <c r="D13457" s="236"/>
    </row>
    <row r="13458" spans="2:4" ht="12.75" customHeight="1" x14ac:dyDescent="0.2">
      <c r="B13458" s="236"/>
      <c r="C13458" s="236"/>
      <c r="D13458" s="236"/>
    </row>
    <row r="13459" spans="2:4" ht="12.75" customHeight="1" x14ac:dyDescent="0.2">
      <c r="B13459" s="236"/>
      <c r="C13459" s="236"/>
      <c r="D13459" s="236"/>
    </row>
    <row r="13460" spans="2:4" ht="12.75" customHeight="1" x14ac:dyDescent="0.2">
      <c r="B13460" s="236"/>
      <c r="C13460" s="236"/>
      <c r="D13460" s="236"/>
    </row>
    <row r="13461" spans="2:4" ht="12.75" customHeight="1" x14ac:dyDescent="0.2">
      <c r="B13461" s="236"/>
      <c r="C13461" s="236"/>
      <c r="D13461" s="236"/>
    </row>
    <row r="13462" spans="2:4" ht="12.75" customHeight="1" x14ac:dyDescent="0.2">
      <c r="B13462" s="236"/>
      <c r="C13462" s="236"/>
      <c r="D13462" s="236"/>
    </row>
    <row r="13463" spans="2:4" x14ac:dyDescent="0.2">
      <c r="B13463" s="236"/>
      <c r="C13463" s="236"/>
      <c r="D13463" s="236"/>
    </row>
    <row r="13464" spans="2:4" ht="12.75" customHeight="1" x14ac:dyDescent="0.2">
      <c r="B13464" s="236"/>
      <c r="C13464" s="236"/>
      <c r="D13464" s="236"/>
    </row>
    <row r="13465" spans="2:4" ht="12.75" customHeight="1" x14ac:dyDescent="0.2">
      <c r="B13465" s="236"/>
      <c r="C13465" s="236"/>
      <c r="D13465" s="236"/>
    </row>
    <row r="13466" spans="2:4" ht="12.75" customHeight="1" x14ac:dyDescent="0.2">
      <c r="B13466" s="236"/>
      <c r="C13466" s="236"/>
      <c r="D13466" s="236"/>
    </row>
    <row r="13467" spans="2:4" ht="12.75" customHeight="1" x14ac:dyDescent="0.2">
      <c r="B13467" s="236"/>
      <c r="C13467" s="236"/>
      <c r="D13467" s="236"/>
    </row>
    <row r="13468" spans="2:4" x14ac:dyDescent="0.2">
      <c r="B13468" s="236"/>
      <c r="C13468" s="236"/>
      <c r="D13468" s="236"/>
    </row>
    <row r="13469" spans="2:4" ht="12.75" customHeight="1" x14ac:dyDescent="0.2">
      <c r="B13469" s="236"/>
      <c r="C13469" s="236"/>
      <c r="D13469" s="236"/>
    </row>
    <row r="13470" spans="2:4" ht="12.75" customHeight="1" x14ac:dyDescent="0.2">
      <c r="B13470" s="236"/>
      <c r="C13470" s="236"/>
      <c r="D13470" s="236"/>
    </row>
    <row r="13471" spans="2:4" ht="12.75" customHeight="1" x14ac:dyDescent="0.2">
      <c r="B13471" s="236"/>
      <c r="C13471" s="236"/>
      <c r="D13471" s="236"/>
    </row>
    <row r="13472" spans="2:4" ht="12.75" customHeight="1" x14ac:dyDescent="0.2">
      <c r="B13472" s="236"/>
      <c r="C13472" s="236"/>
      <c r="D13472" s="236"/>
    </row>
    <row r="13473" spans="2:4" ht="12.75" customHeight="1" x14ac:dyDescent="0.2">
      <c r="B13473" s="236"/>
      <c r="C13473" s="236"/>
      <c r="D13473" s="236"/>
    </row>
    <row r="13474" spans="2:4" ht="12.75" customHeight="1" x14ac:dyDescent="0.2">
      <c r="B13474" s="236"/>
      <c r="C13474" s="236"/>
      <c r="D13474" s="236"/>
    </row>
    <row r="13475" spans="2:4" ht="12.75" customHeight="1" x14ac:dyDescent="0.2">
      <c r="B13475" s="236"/>
      <c r="C13475" s="236"/>
      <c r="D13475" s="236"/>
    </row>
    <row r="13476" spans="2:4" ht="12.75" customHeight="1" x14ac:dyDescent="0.2">
      <c r="B13476" s="236"/>
      <c r="C13476" s="236"/>
      <c r="D13476" s="236"/>
    </row>
    <row r="13477" spans="2:4" ht="12.75" customHeight="1" x14ac:dyDescent="0.2">
      <c r="B13477" s="236"/>
      <c r="C13477" s="236"/>
      <c r="D13477" s="236"/>
    </row>
    <row r="13478" spans="2:4" x14ac:dyDescent="0.2">
      <c r="B13478" s="236"/>
      <c r="C13478" s="236"/>
      <c r="D13478" s="236"/>
    </row>
    <row r="13479" spans="2:4" ht="12.75" customHeight="1" x14ac:dyDescent="0.2">
      <c r="B13479" s="236"/>
      <c r="C13479" s="236"/>
      <c r="D13479" s="236"/>
    </row>
    <row r="13480" spans="2:4" x14ac:dyDescent="0.2">
      <c r="B13480" s="236"/>
      <c r="C13480" s="236"/>
      <c r="D13480" s="236"/>
    </row>
    <row r="13481" spans="2:4" x14ac:dyDescent="0.2">
      <c r="B13481" s="236"/>
      <c r="C13481" s="236"/>
      <c r="D13481" s="236"/>
    </row>
    <row r="13482" spans="2:4" ht="12.75" customHeight="1" x14ac:dyDescent="0.2">
      <c r="B13482" s="236"/>
      <c r="C13482" s="236"/>
      <c r="D13482" s="236"/>
    </row>
    <row r="13483" spans="2:4" x14ac:dyDescent="0.2">
      <c r="B13483" s="236"/>
      <c r="C13483" s="236"/>
      <c r="D13483" s="236"/>
    </row>
    <row r="13484" spans="2:4" ht="12.75" customHeight="1" x14ac:dyDescent="0.2">
      <c r="B13484" s="236"/>
      <c r="C13484" s="236"/>
      <c r="D13484" s="236"/>
    </row>
    <row r="13485" spans="2:4" ht="12.75" customHeight="1" x14ac:dyDescent="0.2">
      <c r="B13485" s="236"/>
      <c r="C13485" s="236"/>
      <c r="D13485" s="236"/>
    </row>
    <row r="13486" spans="2:4" ht="12.75" customHeight="1" x14ac:dyDescent="0.2">
      <c r="B13486" s="236"/>
      <c r="C13486" s="236"/>
      <c r="D13486" s="236"/>
    </row>
    <row r="13487" spans="2:4" ht="12.75" customHeight="1" x14ac:dyDescent="0.2">
      <c r="B13487" s="236"/>
      <c r="C13487" s="236"/>
      <c r="D13487" s="236"/>
    </row>
    <row r="13488" spans="2:4" ht="12.75" customHeight="1" x14ac:dyDescent="0.2">
      <c r="B13488" s="236"/>
      <c r="C13488" s="236"/>
      <c r="D13488" s="236"/>
    </row>
    <row r="13489" spans="2:4" x14ac:dyDescent="0.2">
      <c r="B13489" s="236"/>
      <c r="C13489" s="236"/>
      <c r="D13489" s="236"/>
    </row>
    <row r="13490" spans="2:4" ht="12.75" customHeight="1" x14ac:dyDescent="0.2">
      <c r="B13490" s="236"/>
      <c r="C13490" s="236"/>
      <c r="D13490" s="236"/>
    </row>
    <row r="13491" spans="2:4" ht="12.75" customHeight="1" x14ac:dyDescent="0.2">
      <c r="B13491" s="236"/>
      <c r="C13491" s="236"/>
      <c r="D13491" s="236"/>
    </row>
    <row r="13492" spans="2:4" ht="12.75" customHeight="1" x14ac:dyDescent="0.2">
      <c r="B13492" s="236"/>
      <c r="C13492" s="236"/>
      <c r="D13492" s="236"/>
    </row>
    <row r="13493" spans="2:4" ht="12.75" customHeight="1" x14ac:dyDescent="0.2">
      <c r="B13493" s="236"/>
      <c r="C13493" s="236"/>
      <c r="D13493" s="236"/>
    </row>
    <row r="13494" spans="2:4" x14ac:dyDescent="0.2">
      <c r="B13494" s="236"/>
      <c r="C13494" s="236"/>
      <c r="D13494" s="236"/>
    </row>
    <row r="13495" spans="2:4" ht="12.75" customHeight="1" x14ac:dyDescent="0.2">
      <c r="B13495" s="236"/>
      <c r="C13495" s="236"/>
      <c r="D13495" s="236"/>
    </row>
    <row r="13496" spans="2:4" ht="12.75" customHeight="1" x14ac:dyDescent="0.2">
      <c r="B13496" s="236"/>
      <c r="C13496" s="236"/>
      <c r="D13496" s="236"/>
    </row>
    <row r="13497" spans="2:4" ht="12.75" customHeight="1" x14ac:dyDescent="0.2">
      <c r="B13497" s="236"/>
      <c r="C13497" s="236"/>
      <c r="D13497" s="236"/>
    </row>
    <row r="13498" spans="2:4" ht="12.75" customHeight="1" x14ac:dyDescent="0.2">
      <c r="B13498" s="236"/>
      <c r="C13498" s="236"/>
      <c r="D13498" s="236"/>
    </row>
    <row r="13499" spans="2:4" ht="12.75" customHeight="1" x14ac:dyDescent="0.2">
      <c r="B13499" s="236"/>
      <c r="C13499" s="236"/>
      <c r="D13499" s="236"/>
    </row>
    <row r="13500" spans="2:4" x14ac:dyDescent="0.2">
      <c r="B13500" s="236"/>
      <c r="C13500" s="236"/>
      <c r="D13500" s="236"/>
    </row>
    <row r="13501" spans="2:4" ht="12.75" customHeight="1" x14ac:dyDescent="0.2">
      <c r="B13501" s="236"/>
      <c r="C13501" s="236"/>
      <c r="D13501" s="236"/>
    </row>
    <row r="13502" spans="2:4" x14ac:dyDescent="0.2">
      <c r="B13502" s="236"/>
      <c r="C13502" s="236"/>
      <c r="D13502" s="236"/>
    </row>
    <row r="13503" spans="2:4" x14ac:dyDescent="0.2">
      <c r="B13503" s="236"/>
      <c r="C13503" s="236"/>
      <c r="D13503" s="236"/>
    </row>
    <row r="13504" spans="2:4" x14ac:dyDescent="0.2">
      <c r="B13504" s="236"/>
      <c r="C13504" s="236"/>
      <c r="D13504" s="236"/>
    </row>
    <row r="13505" spans="2:4" ht="12.75" customHeight="1" x14ac:dyDescent="0.2">
      <c r="B13505" s="236"/>
      <c r="C13505" s="236"/>
      <c r="D13505" s="236"/>
    </row>
    <row r="13506" spans="2:4" ht="12.75" customHeight="1" x14ac:dyDescent="0.2">
      <c r="B13506" s="236"/>
      <c r="C13506" s="236"/>
      <c r="D13506" s="236"/>
    </row>
    <row r="13507" spans="2:4" ht="12.75" customHeight="1" x14ac:dyDescent="0.2">
      <c r="B13507" s="236"/>
      <c r="C13507" s="236"/>
      <c r="D13507" s="236"/>
    </row>
    <row r="13508" spans="2:4" ht="12.75" customHeight="1" x14ac:dyDescent="0.2">
      <c r="B13508" s="236"/>
      <c r="C13508" s="236"/>
      <c r="D13508" s="236"/>
    </row>
    <row r="13509" spans="2:4" ht="12.75" customHeight="1" x14ac:dyDescent="0.2">
      <c r="B13509" s="236"/>
      <c r="C13509" s="236"/>
      <c r="D13509" s="236"/>
    </row>
    <row r="13510" spans="2:4" ht="12.75" customHeight="1" x14ac:dyDescent="0.2">
      <c r="B13510" s="236"/>
      <c r="C13510" s="236"/>
      <c r="D13510" s="236"/>
    </row>
    <row r="13511" spans="2:4" ht="12.75" customHeight="1" x14ac:dyDescent="0.2">
      <c r="B13511" s="236"/>
      <c r="C13511" s="236"/>
      <c r="D13511" s="236"/>
    </row>
    <row r="13512" spans="2:4" ht="12.75" customHeight="1" x14ac:dyDescent="0.2">
      <c r="B13512" s="236"/>
      <c r="C13512" s="236"/>
      <c r="D13512" s="236"/>
    </row>
    <row r="13513" spans="2:4" ht="12.75" customHeight="1" x14ac:dyDescent="0.2">
      <c r="B13513" s="236"/>
      <c r="C13513" s="236"/>
      <c r="D13513" s="236"/>
    </row>
    <row r="13514" spans="2:4" ht="12.75" customHeight="1" x14ac:dyDescent="0.2">
      <c r="B13514" s="236"/>
      <c r="C13514" s="236"/>
      <c r="D13514" s="236"/>
    </row>
    <row r="13515" spans="2:4" ht="12.75" customHeight="1" x14ac:dyDescent="0.2">
      <c r="B13515" s="236"/>
      <c r="C13515" s="236"/>
      <c r="D13515" s="236"/>
    </row>
    <row r="13516" spans="2:4" ht="12.75" customHeight="1" x14ac:dyDescent="0.2">
      <c r="B13516" s="236"/>
      <c r="C13516" s="236"/>
      <c r="D13516" s="236"/>
    </row>
    <row r="13517" spans="2:4" ht="12.75" customHeight="1" x14ac:dyDescent="0.2">
      <c r="B13517" s="236"/>
      <c r="C13517" s="236"/>
      <c r="D13517" s="236"/>
    </row>
    <row r="13518" spans="2:4" x14ac:dyDescent="0.2">
      <c r="B13518" s="236"/>
      <c r="C13518" s="236"/>
      <c r="D13518" s="236"/>
    </row>
    <row r="13519" spans="2:4" x14ac:dyDescent="0.2">
      <c r="B13519" s="236"/>
      <c r="C13519" s="236"/>
      <c r="D13519" s="236"/>
    </row>
    <row r="13520" spans="2:4" ht="12.75" customHeight="1" x14ac:dyDescent="0.2">
      <c r="B13520" s="236"/>
      <c r="C13520" s="236"/>
      <c r="D13520" s="236"/>
    </row>
    <row r="13521" spans="2:4" ht="12.75" customHeight="1" x14ac:dyDescent="0.2">
      <c r="B13521" s="236"/>
      <c r="C13521" s="236"/>
      <c r="D13521" s="236"/>
    </row>
    <row r="13522" spans="2:4" x14ac:dyDescent="0.2">
      <c r="B13522" s="236"/>
      <c r="C13522" s="236"/>
      <c r="D13522" s="236"/>
    </row>
    <row r="13523" spans="2:4" ht="12.75" customHeight="1" x14ac:dyDescent="0.2">
      <c r="B13523" s="236"/>
      <c r="C13523" s="236"/>
      <c r="D13523" s="236"/>
    </row>
    <row r="13524" spans="2:4" x14ac:dyDescent="0.2">
      <c r="B13524" s="236"/>
      <c r="C13524" s="236"/>
      <c r="D13524" s="236"/>
    </row>
    <row r="13525" spans="2:4" x14ac:dyDescent="0.2">
      <c r="B13525" s="236"/>
      <c r="C13525" s="236"/>
      <c r="D13525" s="236"/>
    </row>
    <row r="13526" spans="2:4" ht="12.75" customHeight="1" x14ac:dyDescent="0.2">
      <c r="B13526" s="236"/>
      <c r="C13526" s="236"/>
      <c r="D13526" s="236"/>
    </row>
    <row r="13527" spans="2:4" ht="12.75" customHeight="1" x14ac:dyDescent="0.2">
      <c r="B13527" s="236"/>
      <c r="C13527" s="236"/>
      <c r="D13527" s="236"/>
    </row>
    <row r="13528" spans="2:4" ht="12.75" customHeight="1" x14ac:dyDescent="0.2">
      <c r="B13528" s="236"/>
      <c r="C13528" s="236"/>
      <c r="D13528" s="236"/>
    </row>
    <row r="13529" spans="2:4" ht="12.75" customHeight="1" x14ac:dyDescent="0.2">
      <c r="B13529" s="236"/>
      <c r="C13529" s="236"/>
      <c r="D13529" s="236"/>
    </row>
    <row r="13530" spans="2:4" ht="12.75" customHeight="1" x14ac:dyDescent="0.2">
      <c r="B13530" s="236"/>
      <c r="C13530" s="236"/>
      <c r="D13530" s="236"/>
    </row>
    <row r="13531" spans="2:4" ht="12.75" customHeight="1" x14ac:dyDescent="0.2">
      <c r="B13531" s="236"/>
      <c r="C13531" s="236"/>
      <c r="D13531" s="236"/>
    </row>
    <row r="13532" spans="2:4" ht="12.75" customHeight="1" x14ac:dyDescent="0.2">
      <c r="B13532" s="236"/>
      <c r="C13532" s="236"/>
      <c r="D13532" s="236"/>
    </row>
    <row r="13533" spans="2:4" ht="12.75" customHeight="1" x14ac:dyDescent="0.2">
      <c r="B13533" s="236"/>
      <c r="C13533" s="236"/>
      <c r="D13533" s="236"/>
    </row>
    <row r="13534" spans="2:4" ht="12.75" customHeight="1" x14ac:dyDescent="0.2">
      <c r="B13534" s="236"/>
      <c r="C13534" s="236"/>
      <c r="D13534" s="236"/>
    </row>
    <row r="13535" spans="2:4" ht="12.75" customHeight="1" x14ac:dyDescent="0.2">
      <c r="B13535" s="236"/>
      <c r="C13535" s="236"/>
      <c r="D13535" s="236"/>
    </row>
    <row r="13536" spans="2:4" ht="12.75" customHeight="1" x14ac:dyDescent="0.2">
      <c r="B13536" s="236"/>
      <c r="C13536" s="236"/>
      <c r="D13536" s="236"/>
    </row>
    <row r="13537" spans="2:4" ht="12.75" customHeight="1" x14ac:dyDescent="0.2">
      <c r="B13537" s="236"/>
      <c r="C13537" s="236"/>
      <c r="D13537" s="236"/>
    </row>
    <row r="13538" spans="2:4" ht="12.75" customHeight="1" x14ac:dyDescent="0.2">
      <c r="B13538" s="236"/>
      <c r="C13538" s="236"/>
      <c r="D13538" s="236"/>
    </row>
    <row r="13539" spans="2:4" ht="12.75" customHeight="1" x14ac:dyDescent="0.2">
      <c r="B13539" s="236"/>
      <c r="C13539" s="236"/>
      <c r="D13539" s="236"/>
    </row>
    <row r="13540" spans="2:4" ht="12.75" customHeight="1" x14ac:dyDescent="0.2">
      <c r="B13540" s="236"/>
      <c r="C13540" s="236"/>
      <c r="D13540" s="236"/>
    </row>
    <row r="13541" spans="2:4" ht="12.75" customHeight="1" x14ac:dyDescent="0.2">
      <c r="B13541" s="236"/>
      <c r="C13541" s="236"/>
      <c r="D13541" s="236"/>
    </row>
    <row r="13542" spans="2:4" ht="12.75" customHeight="1" x14ac:dyDescent="0.2">
      <c r="B13542" s="236"/>
      <c r="C13542" s="236"/>
      <c r="D13542" s="236"/>
    </row>
    <row r="13543" spans="2:4" x14ac:dyDescent="0.2">
      <c r="B13543" s="236"/>
      <c r="C13543" s="236"/>
      <c r="D13543" s="236"/>
    </row>
    <row r="13544" spans="2:4" ht="12.75" customHeight="1" x14ac:dyDescent="0.2">
      <c r="B13544" s="236"/>
      <c r="C13544" s="236"/>
      <c r="D13544" s="236"/>
    </row>
    <row r="13545" spans="2:4" x14ac:dyDescent="0.2">
      <c r="B13545" s="236"/>
      <c r="C13545" s="236"/>
      <c r="D13545" s="236"/>
    </row>
    <row r="13546" spans="2:4" ht="12.75" customHeight="1" x14ac:dyDescent="0.2">
      <c r="B13546" s="236"/>
      <c r="C13546" s="236"/>
      <c r="D13546" s="236"/>
    </row>
    <row r="13547" spans="2:4" x14ac:dyDescent="0.2">
      <c r="B13547" s="236"/>
      <c r="C13547" s="236"/>
      <c r="D13547" s="236"/>
    </row>
    <row r="13548" spans="2:4" ht="12.75" customHeight="1" x14ac:dyDescent="0.2">
      <c r="B13548" s="236"/>
      <c r="C13548" s="236"/>
      <c r="D13548" s="236"/>
    </row>
    <row r="13549" spans="2:4" ht="12.75" customHeight="1" x14ac:dyDescent="0.2">
      <c r="B13549" s="236"/>
      <c r="C13549" s="236"/>
      <c r="D13549" s="236"/>
    </row>
    <row r="13550" spans="2:4" x14ac:dyDescent="0.2">
      <c r="B13550" s="236"/>
      <c r="C13550" s="236"/>
      <c r="D13550" s="236"/>
    </row>
    <row r="13551" spans="2:4" ht="12.75" customHeight="1" x14ac:dyDescent="0.2">
      <c r="B13551" s="236"/>
      <c r="C13551" s="236"/>
      <c r="D13551" s="236"/>
    </row>
    <row r="13552" spans="2:4" x14ac:dyDescent="0.2">
      <c r="B13552" s="236"/>
      <c r="C13552" s="236"/>
      <c r="D13552" s="236"/>
    </row>
    <row r="13553" spans="2:4" ht="12.75" customHeight="1" x14ac:dyDescent="0.2">
      <c r="B13553" s="236"/>
      <c r="C13553" s="236"/>
      <c r="D13553" s="236"/>
    </row>
    <row r="13554" spans="2:4" ht="12.75" customHeight="1" x14ac:dyDescent="0.2">
      <c r="B13554" s="236"/>
      <c r="C13554" s="236"/>
      <c r="D13554" s="236"/>
    </row>
    <row r="13555" spans="2:4" x14ac:dyDescent="0.2">
      <c r="B13555" s="236"/>
      <c r="C13555" s="236"/>
      <c r="D13555" s="236"/>
    </row>
    <row r="13556" spans="2:4" ht="12.75" customHeight="1" x14ac:dyDescent="0.2">
      <c r="B13556" s="236"/>
      <c r="C13556" s="236"/>
      <c r="D13556" s="236"/>
    </row>
    <row r="13557" spans="2:4" ht="12.75" customHeight="1" x14ac:dyDescent="0.2">
      <c r="B13557" s="236"/>
      <c r="C13557" s="236"/>
      <c r="D13557" s="236"/>
    </row>
    <row r="13558" spans="2:4" x14ac:dyDescent="0.2">
      <c r="B13558" s="236"/>
      <c r="C13558" s="236"/>
      <c r="D13558" s="236"/>
    </row>
    <row r="13559" spans="2:4" ht="12.75" customHeight="1" x14ac:dyDescent="0.2">
      <c r="B13559" s="236"/>
      <c r="C13559" s="236"/>
      <c r="D13559" s="236"/>
    </row>
    <row r="13560" spans="2:4" ht="12.75" customHeight="1" x14ac:dyDescent="0.2">
      <c r="B13560" s="236"/>
      <c r="C13560" s="236"/>
      <c r="D13560" s="236"/>
    </row>
    <row r="13561" spans="2:4" ht="12.75" customHeight="1" x14ac:dyDescent="0.2">
      <c r="B13561" s="236"/>
      <c r="C13561" s="236"/>
      <c r="D13561" s="236"/>
    </row>
    <row r="13562" spans="2:4" x14ac:dyDescent="0.2">
      <c r="B13562" s="236"/>
      <c r="C13562" s="236"/>
      <c r="D13562" s="236"/>
    </row>
    <row r="13563" spans="2:4" ht="12.75" customHeight="1" x14ac:dyDescent="0.2">
      <c r="B13563" s="236"/>
      <c r="C13563" s="236"/>
      <c r="D13563" s="236"/>
    </row>
    <row r="13564" spans="2:4" x14ac:dyDescent="0.2">
      <c r="B13564" s="236"/>
      <c r="C13564" s="236"/>
      <c r="D13564" s="236"/>
    </row>
    <row r="13565" spans="2:4" ht="12.75" customHeight="1" x14ac:dyDescent="0.2">
      <c r="B13565" s="236"/>
      <c r="C13565" s="236"/>
      <c r="D13565" s="236"/>
    </row>
    <row r="13566" spans="2:4" ht="12.75" customHeight="1" x14ac:dyDescent="0.2">
      <c r="B13566" s="236"/>
      <c r="C13566" s="236"/>
      <c r="D13566" s="236"/>
    </row>
    <row r="13567" spans="2:4" ht="12.75" customHeight="1" x14ac:dyDescent="0.2">
      <c r="B13567" s="236"/>
      <c r="C13567" s="236"/>
      <c r="D13567" s="236"/>
    </row>
    <row r="13568" spans="2:4" ht="12.75" customHeight="1" x14ac:dyDescent="0.2">
      <c r="B13568" s="236"/>
      <c r="C13568" s="236"/>
      <c r="D13568" s="236"/>
    </row>
    <row r="13569" spans="2:4" x14ac:dyDescent="0.2">
      <c r="B13569" s="236"/>
      <c r="C13569" s="236"/>
      <c r="D13569" s="236"/>
    </row>
    <row r="13570" spans="2:4" x14ac:dyDescent="0.2">
      <c r="B13570" s="236"/>
      <c r="C13570" s="236"/>
      <c r="D13570" s="236"/>
    </row>
    <row r="13571" spans="2:4" x14ac:dyDescent="0.2">
      <c r="B13571" s="236"/>
      <c r="C13571" s="236"/>
      <c r="D13571" s="236"/>
    </row>
    <row r="13572" spans="2:4" x14ac:dyDescent="0.2">
      <c r="B13572" s="236"/>
      <c r="C13572" s="236"/>
      <c r="D13572" s="236"/>
    </row>
    <row r="13573" spans="2:4" ht="12.75" customHeight="1" x14ac:dyDescent="0.2">
      <c r="B13573" s="236"/>
      <c r="C13573" s="236"/>
      <c r="D13573" s="236"/>
    </row>
    <row r="13574" spans="2:4" x14ac:dyDescent="0.2">
      <c r="B13574" s="236"/>
      <c r="C13574" s="236"/>
      <c r="D13574" s="236"/>
    </row>
    <row r="13575" spans="2:4" ht="12.75" customHeight="1" x14ac:dyDescent="0.2">
      <c r="B13575" s="236"/>
      <c r="C13575" s="236"/>
      <c r="D13575" s="236"/>
    </row>
    <row r="13576" spans="2:4" x14ac:dyDescent="0.2">
      <c r="B13576" s="236"/>
      <c r="C13576" s="236"/>
      <c r="D13576" s="236"/>
    </row>
    <row r="13577" spans="2:4" ht="12.75" customHeight="1" x14ac:dyDescent="0.2">
      <c r="B13577" s="236"/>
      <c r="C13577" s="236"/>
      <c r="D13577" s="236"/>
    </row>
    <row r="13578" spans="2:4" x14ac:dyDescent="0.2">
      <c r="B13578" s="236"/>
      <c r="C13578" s="236"/>
      <c r="D13578" s="236"/>
    </row>
    <row r="13579" spans="2:4" ht="12.75" customHeight="1" x14ac:dyDescent="0.2">
      <c r="B13579" s="236"/>
      <c r="C13579" s="236"/>
      <c r="D13579" s="236"/>
    </row>
    <row r="13580" spans="2:4" x14ac:dyDescent="0.2">
      <c r="B13580" s="236"/>
      <c r="C13580" s="236"/>
      <c r="D13580" s="236"/>
    </row>
    <row r="13581" spans="2:4" ht="12.75" customHeight="1" x14ac:dyDescent="0.2">
      <c r="B13581" s="236"/>
      <c r="C13581" s="236"/>
      <c r="D13581" s="236"/>
    </row>
    <row r="13582" spans="2:4" ht="12.75" customHeight="1" x14ac:dyDescent="0.2">
      <c r="B13582" s="236"/>
      <c r="C13582" s="236"/>
      <c r="D13582" s="236"/>
    </row>
    <row r="13583" spans="2:4" x14ac:dyDescent="0.2">
      <c r="B13583" s="236"/>
      <c r="C13583" s="236"/>
      <c r="D13583" s="236"/>
    </row>
    <row r="13584" spans="2:4" ht="12.75" customHeight="1" x14ac:dyDescent="0.2">
      <c r="B13584" s="236"/>
      <c r="C13584" s="236"/>
      <c r="D13584" s="236"/>
    </row>
    <row r="13585" spans="2:4" x14ac:dyDescent="0.2">
      <c r="B13585" s="236"/>
      <c r="C13585" s="236"/>
      <c r="D13585" s="236"/>
    </row>
    <row r="13586" spans="2:4" ht="12.75" customHeight="1" x14ac:dyDescent="0.2">
      <c r="B13586" s="236"/>
      <c r="C13586" s="236"/>
      <c r="D13586" s="236"/>
    </row>
    <row r="13587" spans="2:4" ht="12.75" customHeight="1" x14ac:dyDescent="0.2">
      <c r="B13587" s="236"/>
      <c r="C13587" s="236"/>
      <c r="D13587" s="236"/>
    </row>
    <row r="13588" spans="2:4" x14ac:dyDescent="0.2">
      <c r="B13588" s="236"/>
      <c r="C13588" s="236"/>
      <c r="D13588" s="236"/>
    </row>
    <row r="13589" spans="2:4" ht="12.75" customHeight="1" x14ac:dyDescent="0.2">
      <c r="B13589" s="236"/>
      <c r="C13589" s="236"/>
      <c r="D13589" s="236"/>
    </row>
    <row r="13590" spans="2:4" x14ac:dyDescent="0.2">
      <c r="B13590" s="236"/>
      <c r="C13590" s="236"/>
      <c r="D13590" s="236"/>
    </row>
    <row r="13591" spans="2:4" ht="12.75" customHeight="1" x14ac:dyDescent="0.2">
      <c r="B13591" s="236"/>
      <c r="C13591" s="236"/>
      <c r="D13591" s="236"/>
    </row>
    <row r="13592" spans="2:4" x14ac:dyDescent="0.2">
      <c r="B13592" s="236"/>
      <c r="C13592" s="236"/>
      <c r="D13592" s="236"/>
    </row>
    <row r="13593" spans="2:4" ht="12.75" customHeight="1" x14ac:dyDescent="0.2">
      <c r="B13593" s="236"/>
      <c r="C13593" s="236"/>
      <c r="D13593" s="236"/>
    </row>
    <row r="13594" spans="2:4" x14ac:dyDescent="0.2">
      <c r="B13594" s="236"/>
      <c r="C13594" s="236"/>
      <c r="D13594" s="236"/>
    </row>
    <row r="13595" spans="2:4" ht="12.75" customHeight="1" x14ac:dyDescent="0.2">
      <c r="B13595" s="236"/>
      <c r="C13595" s="236"/>
      <c r="D13595" s="236"/>
    </row>
    <row r="13596" spans="2:4" ht="12.75" customHeight="1" x14ac:dyDescent="0.2">
      <c r="B13596" s="236"/>
      <c r="C13596" s="236"/>
      <c r="D13596" s="236"/>
    </row>
    <row r="13597" spans="2:4" ht="12.75" customHeight="1" x14ac:dyDescent="0.2">
      <c r="B13597" s="236"/>
      <c r="C13597" s="236"/>
      <c r="D13597" s="236"/>
    </row>
    <row r="13598" spans="2:4" ht="12.75" customHeight="1" x14ac:dyDescent="0.2">
      <c r="B13598" s="236"/>
      <c r="C13598" s="236"/>
      <c r="D13598" s="236"/>
    </row>
    <row r="13599" spans="2:4" ht="12.75" customHeight="1" x14ac:dyDescent="0.2">
      <c r="B13599" s="236"/>
      <c r="C13599" s="236"/>
      <c r="D13599" s="236"/>
    </row>
    <row r="13600" spans="2:4" ht="12.75" customHeight="1" x14ac:dyDescent="0.2">
      <c r="B13600" s="236"/>
      <c r="C13600" s="236"/>
      <c r="D13600" s="236"/>
    </row>
    <row r="13601" spans="2:4" ht="12.75" customHeight="1" x14ac:dyDescent="0.2">
      <c r="B13601" s="236"/>
      <c r="C13601" s="236"/>
      <c r="D13601" s="236"/>
    </row>
    <row r="13602" spans="2:4" ht="12.75" customHeight="1" x14ac:dyDescent="0.2">
      <c r="B13602" s="236"/>
      <c r="C13602" s="236"/>
      <c r="D13602" s="236"/>
    </row>
    <row r="13603" spans="2:4" ht="12.75" customHeight="1" x14ac:dyDescent="0.2">
      <c r="B13603" s="236"/>
      <c r="C13603" s="236"/>
      <c r="D13603" s="236"/>
    </row>
    <row r="13604" spans="2:4" ht="12.75" customHeight="1" x14ac:dyDescent="0.2">
      <c r="B13604" s="236"/>
      <c r="C13604" s="236"/>
      <c r="D13604" s="236"/>
    </row>
    <row r="13605" spans="2:4" ht="12.75" customHeight="1" x14ac:dyDescent="0.2">
      <c r="B13605" s="236"/>
      <c r="C13605" s="236"/>
      <c r="D13605" s="236"/>
    </row>
    <row r="13606" spans="2:4" ht="12.75" customHeight="1" x14ac:dyDescent="0.2">
      <c r="B13606" s="236"/>
      <c r="C13606" s="236"/>
      <c r="D13606" s="236"/>
    </row>
    <row r="13607" spans="2:4" ht="12.75" customHeight="1" x14ac:dyDescent="0.2">
      <c r="B13607" s="236"/>
      <c r="C13607" s="236"/>
      <c r="D13607" s="236"/>
    </row>
    <row r="13608" spans="2:4" ht="12.75" customHeight="1" x14ac:dyDescent="0.2">
      <c r="B13608" s="236"/>
      <c r="C13608" s="236"/>
      <c r="D13608" s="236"/>
    </row>
    <row r="13609" spans="2:4" x14ac:dyDescent="0.2">
      <c r="B13609" s="236"/>
      <c r="C13609" s="236"/>
      <c r="D13609" s="236"/>
    </row>
    <row r="13610" spans="2:4" ht="12.75" customHeight="1" x14ac:dyDescent="0.2">
      <c r="B13610" s="236"/>
      <c r="C13610" s="236"/>
      <c r="D13610" s="236"/>
    </row>
    <row r="13611" spans="2:4" ht="12.75" customHeight="1" x14ac:dyDescent="0.2">
      <c r="B13611" s="236"/>
      <c r="C13611" s="236"/>
      <c r="D13611" s="236"/>
    </row>
    <row r="13612" spans="2:4" ht="12.75" customHeight="1" x14ac:dyDescent="0.2">
      <c r="B13612" s="236"/>
      <c r="C13612" s="236"/>
      <c r="D13612" s="236"/>
    </row>
    <row r="13613" spans="2:4" ht="12.75" customHeight="1" x14ac:dyDescent="0.2">
      <c r="B13613" s="236"/>
      <c r="C13613" s="236"/>
      <c r="D13613" s="236"/>
    </row>
    <row r="13614" spans="2:4" ht="12.75" customHeight="1" x14ac:dyDescent="0.2">
      <c r="B13614" s="236"/>
      <c r="C13614" s="236"/>
      <c r="D13614" s="236"/>
    </row>
    <row r="13615" spans="2:4" x14ac:dyDescent="0.2">
      <c r="B13615" s="236"/>
      <c r="C13615" s="236"/>
      <c r="D13615" s="236"/>
    </row>
    <row r="13616" spans="2:4" ht="12.75" customHeight="1" x14ac:dyDescent="0.2">
      <c r="B13616" s="236"/>
      <c r="C13616" s="236"/>
      <c r="D13616" s="236"/>
    </row>
    <row r="13617" spans="2:4" ht="12.75" customHeight="1" x14ac:dyDescent="0.2">
      <c r="B13617" s="236"/>
      <c r="C13617" s="236"/>
      <c r="D13617" s="236"/>
    </row>
    <row r="13618" spans="2:4" ht="12.75" customHeight="1" x14ac:dyDescent="0.2">
      <c r="B13618" s="236"/>
      <c r="C13618" s="236"/>
      <c r="D13618" s="236"/>
    </row>
    <row r="13619" spans="2:4" ht="12.75" customHeight="1" x14ac:dyDescent="0.2">
      <c r="B13619" s="236"/>
      <c r="C13619" s="236"/>
      <c r="D13619" s="236"/>
    </row>
    <row r="13620" spans="2:4" x14ac:dyDescent="0.2">
      <c r="B13620" s="236"/>
      <c r="C13620" s="236"/>
      <c r="D13620" s="236"/>
    </row>
    <row r="13621" spans="2:4" ht="12.75" customHeight="1" x14ac:dyDescent="0.2">
      <c r="B13621" s="236"/>
      <c r="C13621" s="236"/>
      <c r="D13621" s="236"/>
    </row>
    <row r="13622" spans="2:4" ht="12.75" customHeight="1" x14ac:dyDescent="0.2">
      <c r="B13622" s="236"/>
      <c r="C13622" s="236"/>
      <c r="D13622" s="236"/>
    </row>
    <row r="13623" spans="2:4" x14ac:dyDescent="0.2">
      <c r="B13623" s="236"/>
      <c r="C13623" s="236"/>
      <c r="D13623" s="236"/>
    </row>
    <row r="13624" spans="2:4" ht="12.75" customHeight="1" x14ac:dyDescent="0.2">
      <c r="B13624" s="236"/>
      <c r="C13624" s="236"/>
      <c r="D13624" s="236"/>
    </row>
    <row r="13625" spans="2:4" x14ac:dyDescent="0.2">
      <c r="B13625" s="236"/>
      <c r="C13625" s="236"/>
      <c r="D13625" s="236"/>
    </row>
    <row r="13626" spans="2:4" x14ac:dyDescent="0.2">
      <c r="B13626" s="236"/>
      <c r="C13626" s="236"/>
      <c r="D13626" s="236"/>
    </row>
    <row r="13627" spans="2:4" ht="12.75" customHeight="1" x14ac:dyDescent="0.2">
      <c r="B13627" s="236"/>
      <c r="C13627" s="236"/>
      <c r="D13627" s="236"/>
    </row>
    <row r="13628" spans="2:4" ht="12.75" customHeight="1" x14ac:dyDescent="0.2">
      <c r="B13628" s="236"/>
      <c r="C13628" s="236"/>
      <c r="D13628" s="236"/>
    </row>
    <row r="13629" spans="2:4" x14ac:dyDescent="0.2">
      <c r="B13629" s="236"/>
      <c r="C13629" s="236"/>
      <c r="D13629" s="236"/>
    </row>
    <row r="13630" spans="2:4" ht="12.75" customHeight="1" x14ac:dyDescent="0.2">
      <c r="B13630" s="236"/>
      <c r="C13630" s="236"/>
      <c r="D13630" s="236"/>
    </row>
    <row r="13631" spans="2:4" x14ac:dyDescent="0.2">
      <c r="B13631" s="236"/>
      <c r="C13631" s="236"/>
      <c r="D13631" s="236"/>
    </row>
    <row r="13632" spans="2:4" x14ac:dyDescent="0.2">
      <c r="B13632" s="236"/>
      <c r="C13632" s="236"/>
      <c r="D13632" s="236"/>
    </row>
    <row r="13633" spans="2:4" ht="12.75" customHeight="1" x14ac:dyDescent="0.2">
      <c r="B13633" s="236"/>
      <c r="C13633" s="236"/>
      <c r="D13633" s="236"/>
    </row>
    <row r="13634" spans="2:4" ht="12.75" customHeight="1" x14ac:dyDescent="0.2">
      <c r="B13634" s="236"/>
      <c r="C13634" s="236"/>
      <c r="D13634" s="236"/>
    </row>
    <row r="13635" spans="2:4" ht="12.75" customHeight="1" x14ac:dyDescent="0.2">
      <c r="B13635" s="236"/>
      <c r="C13635" s="236"/>
      <c r="D13635" s="236"/>
    </row>
    <row r="13636" spans="2:4" ht="12.75" customHeight="1" x14ac:dyDescent="0.2">
      <c r="B13636" s="236"/>
      <c r="C13636" s="236"/>
      <c r="D13636" s="236"/>
    </row>
    <row r="13637" spans="2:4" ht="12.75" customHeight="1" x14ac:dyDescent="0.2">
      <c r="B13637" s="236"/>
      <c r="C13637" s="236"/>
      <c r="D13637" s="236"/>
    </row>
    <row r="13638" spans="2:4" ht="12.75" customHeight="1" x14ac:dyDescent="0.2">
      <c r="B13638" s="236"/>
      <c r="C13638" s="236"/>
      <c r="D13638" s="236"/>
    </row>
    <row r="13639" spans="2:4" ht="12.75" customHeight="1" x14ac:dyDescent="0.2">
      <c r="B13639" s="236"/>
      <c r="C13639" s="236"/>
      <c r="D13639" s="236"/>
    </row>
    <row r="13640" spans="2:4" ht="12.75" customHeight="1" x14ac:dyDescent="0.2">
      <c r="B13640" s="236"/>
      <c r="C13640" s="236"/>
      <c r="D13640" s="236"/>
    </row>
    <row r="13641" spans="2:4" ht="12.75" customHeight="1" x14ac:dyDescent="0.2">
      <c r="B13641" s="236"/>
      <c r="C13641" s="236"/>
      <c r="D13641" s="236"/>
    </row>
    <row r="13642" spans="2:4" ht="12.75" customHeight="1" x14ac:dyDescent="0.2">
      <c r="B13642" s="236"/>
      <c r="C13642" s="236"/>
      <c r="D13642" s="236"/>
    </row>
    <row r="13643" spans="2:4" ht="12.75" customHeight="1" x14ac:dyDescent="0.2">
      <c r="B13643" s="236"/>
      <c r="C13643" s="236"/>
      <c r="D13643" s="236"/>
    </row>
    <row r="13644" spans="2:4" ht="12.75" customHeight="1" x14ac:dyDescent="0.2">
      <c r="B13644" s="236"/>
      <c r="C13644" s="236"/>
      <c r="D13644" s="236"/>
    </row>
    <row r="13645" spans="2:4" ht="12.75" customHeight="1" x14ac:dyDescent="0.2">
      <c r="B13645" s="236"/>
      <c r="C13645" s="236"/>
      <c r="D13645" s="236"/>
    </row>
    <row r="13646" spans="2:4" ht="12.75" customHeight="1" x14ac:dyDescent="0.2">
      <c r="B13646" s="236"/>
      <c r="C13646" s="236"/>
      <c r="D13646" s="236"/>
    </row>
    <row r="13647" spans="2:4" x14ac:dyDescent="0.2">
      <c r="B13647" s="236"/>
      <c r="C13647" s="236"/>
      <c r="D13647" s="236"/>
    </row>
    <row r="13648" spans="2:4" x14ac:dyDescent="0.2">
      <c r="B13648" s="236"/>
      <c r="C13648" s="236"/>
      <c r="D13648" s="236"/>
    </row>
    <row r="13649" spans="2:4" ht="12.75" customHeight="1" x14ac:dyDescent="0.2">
      <c r="B13649" s="236"/>
      <c r="C13649" s="236"/>
      <c r="D13649" s="236"/>
    </row>
    <row r="13650" spans="2:4" ht="12.75" customHeight="1" x14ac:dyDescent="0.2">
      <c r="B13650" s="236"/>
      <c r="C13650" s="236"/>
      <c r="D13650" s="236"/>
    </row>
    <row r="13651" spans="2:4" x14ac:dyDescent="0.2">
      <c r="B13651" s="236"/>
      <c r="C13651" s="236"/>
      <c r="D13651" s="236"/>
    </row>
    <row r="13652" spans="2:4" ht="12.75" customHeight="1" x14ac:dyDescent="0.2">
      <c r="B13652" s="236"/>
      <c r="C13652" s="236"/>
      <c r="D13652" s="236"/>
    </row>
    <row r="13653" spans="2:4" x14ac:dyDescent="0.2">
      <c r="B13653" s="236"/>
      <c r="C13653" s="236"/>
      <c r="D13653" s="236"/>
    </row>
    <row r="13654" spans="2:4" x14ac:dyDescent="0.2">
      <c r="B13654" s="236"/>
      <c r="C13654" s="236"/>
      <c r="D13654" s="236"/>
    </row>
    <row r="13655" spans="2:4" ht="12.75" customHeight="1" x14ac:dyDescent="0.2">
      <c r="B13655" s="236"/>
      <c r="C13655" s="236"/>
      <c r="D13655" s="236"/>
    </row>
    <row r="13656" spans="2:4" ht="12.75" customHeight="1" x14ac:dyDescent="0.2">
      <c r="B13656" s="236"/>
      <c r="C13656" s="236"/>
      <c r="D13656" s="236"/>
    </row>
    <row r="13657" spans="2:4" ht="12.75" customHeight="1" x14ac:dyDescent="0.2">
      <c r="B13657" s="236"/>
      <c r="C13657" s="236"/>
      <c r="D13657" s="236"/>
    </row>
    <row r="13658" spans="2:4" ht="12.75" customHeight="1" x14ac:dyDescent="0.2">
      <c r="B13658" s="236"/>
      <c r="C13658" s="236"/>
      <c r="D13658" s="236"/>
    </row>
    <row r="13659" spans="2:4" ht="12.75" customHeight="1" x14ac:dyDescent="0.2">
      <c r="B13659" s="236"/>
      <c r="C13659" s="236"/>
      <c r="D13659" s="236"/>
    </row>
    <row r="13660" spans="2:4" ht="12.75" customHeight="1" x14ac:dyDescent="0.2">
      <c r="B13660" s="236"/>
      <c r="C13660" s="236"/>
      <c r="D13660" s="236"/>
    </row>
    <row r="13661" spans="2:4" ht="12.75" customHeight="1" x14ac:dyDescent="0.2">
      <c r="B13661" s="236"/>
      <c r="C13661" s="236"/>
      <c r="D13661" s="236"/>
    </row>
    <row r="13662" spans="2:4" ht="12.75" customHeight="1" x14ac:dyDescent="0.2">
      <c r="B13662" s="236"/>
      <c r="C13662" s="236"/>
      <c r="D13662" s="236"/>
    </row>
    <row r="13663" spans="2:4" ht="12.75" customHeight="1" x14ac:dyDescent="0.2">
      <c r="B13663" s="236"/>
      <c r="C13663" s="236"/>
      <c r="D13663" s="236"/>
    </row>
    <row r="13664" spans="2:4" ht="12.75" customHeight="1" x14ac:dyDescent="0.2">
      <c r="B13664" s="236"/>
      <c r="C13664" s="236"/>
      <c r="D13664" s="236"/>
    </row>
    <row r="13665" spans="2:4" ht="12.75" customHeight="1" x14ac:dyDescent="0.2">
      <c r="B13665" s="236"/>
      <c r="C13665" s="236"/>
      <c r="D13665" s="236"/>
    </row>
    <row r="13666" spans="2:4" ht="12.75" customHeight="1" x14ac:dyDescent="0.2">
      <c r="B13666" s="236"/>
      <c r="C13666" s="236"/>
      <c r="D13666" s="236"/>
    </row>
    <row r="13667" spans="2:4" ht="12.75" customHeight="1" x14ac:dyDescent="0.2">
      <c r="B13667" s="236"/>
      <c r="C13667" s="236"/>
      <c r="D13667" s="236"/>
    </row>
    <row r="13668" spans="2:4" ht="12.75" customHeight="1" x14ac:dyDescent="0.2">
      <c r="B13668" s="236"/>
      <c r="C13668" s="236"/>
      <c r="D13668" s="236"/>
    </row>
    <row r="13669" spans="2:4" ht="12.75" customHeight="1" x14ac:dyDescent="0.2">
      <c r="B13669" s="236"/>
      <c r="C13669" s="236"/>
      <c r="D13669" s="236"/>
    </row>
    <row r="13670" spans="2:4" ht="12.75" customHeight="1" x14ac:dyDescent="0.2">
      <c r="B13670" s="236"/>
      <c r="C13670" s="236"/>
      <c r="D13670" s="236"/>
    </row>
    <row r="13671" spans="2:4" x14ac:dyDescent="0.2">
      <c r="B13671" s="236"/>
      <c r="C13671" s="236"/>
      <c r="D13671" s="236"/>
    </row>
    <row r="13672" spans="2:4" ht="12.75" customHeight="1" x14ac:dyDescent="0.2">
      <c r="B13672" s="236"/>
      <c r="C13672" s="236"/>
      <c r="D13672" s="236"/>
    </row>
    <row r="13673" spans="2:4" ht="12.75" customHeight="1" x14ac:dyDescent="0.2">
      <c r="B13673" s="236"/>
      <c r="C13673" s="236"/>
      <c r="D13673" s="236"/>
    </row>
    <row r="13674" spans="2:4" ht="12.75" customHeight="1" x14ac:dyDescent="0.2">
      <c r="B13674" s="236"/>
      <c r="C13674" s="236"/>
      <c r="D13674" s="236"/>
    </row>
    <row r="13675" spans="2:4" ht="12.75" customHeight="1" x14ac:dyDescent="0.2">
      <c r="B13675" s="236"/>
      <c r="C13675" s="236"/>
      <c r="D13675" s="236"/>
    </row>
    <row r="13676" spans="2:4" ht="12.75" customHeight="1" x14ac:dyDescent="0.2">
      <c r="B13676" s="236"/>
      <c r="C13676" s="236"/>
      <c r="D13676" s="236"/>
    </row>
    <row r="13677" spans="2:4" ht="12.75" customHeight="1" x14ac:dyDescent="0.2">
      <c r="B13677" s="236"/>
      <c r="C13677" s="236"/>
      <c r="D13677" s="236"/>
    </row>
    <row r="13678" spans="2:4" ht="12.75" customHeight="1" x14ac:dyDescent="0.2">
      <c r="B13678" s="236"/>
      <c r="C13678" s="236"/>
      <c r="D13678" s="236"/>
    </row>
    <row r="13679" spans="2:4" ht="12.75" customHeight="1" x14ac:dyDescent="0.2">
      <c r="B13679" s="236"/>
      <c r="C13679" s="236"/>
      <c r="D13679" s="236"/>
    </row>
    <row r="13680" spans="2:4" x14ac:dyDescent="0.2">
      <c r="B13680" s="236"/>
      <c r="C13680" s="236"/>
      <c r="D13680" s="236"/>
    </row>
    <row r="13681" spans="2:4" ht="12.75" customHeight="1" x14ac:dyDescent="0.2">
      <c r="B13681" s="236"/>
      <c r="C13681" s="236"/>
      <c r="D13681" s="236"/>
    </row>
    <row r="13682" spans="2:4" x14ac:dyDescent="0.2">
      <c r="B13682" s="236"/>
      <c r="C13682" s="236"/>
      <c r="D13682" s="236"/>
    </row>
    <row r="13683" spans="2:4" ht="12.75" customHeight="1" x14ac:dyDescent="0.2">
      <c r="B13683" s="236"/>
      <c r="C13683" s="236"/>
      <c r="D13683" s="236"/>
    </row>
    <row r="13684" spans="2:4" ht="12.75" customHeight="1" x14ac:dyDescent="0.2">
      <c r="B13684" s="236"/>
      <c r="C13684" s="236"/>
      <c r="D13684" s="236"/>
    </row>
    <row r="13685" spans="2:4" ht="12.75" customHeight="1" x14ac:dyDescent="0.2">
      <c r="B13685" s="236"/>
      <c r="C13685" s="236"/>
      <c r="D13685" s="236"/>
    </row>
    <row r="13686" spans="2:4" ht="12.75" customHeight="1" x14ac:dyDescent="0.2">
      <c r="B13686" s="236"/>
      <c r="C13686" s="236"/>
      <c r="D13686" s="236"/>
    </row>
    <row r="13687" spans="2:4" x14ac:dyDescent="0.2">
      <c r="B13687" s="236"/>
      <c r="C13687" s="236"/>
      <c r="D13687" s="236"/>
    </row>
    <row r="13688" spans="2:4" x14ac:dyDescent="0.2">
      <c r="B13688" s="236"/>
      <c r="C13688" s="236"/>
      <c r="D13688" s="236"/>
    </row>
    <row r="13689" spans="2:4" ht="12.75" customHeight="1" x14ac:dyDescent="0.2">
      <c r="B13689" s="236"/>
      <c r="C13689" s="236"/>
      <c r="D13689" s="236"/>
    </row>
    <row r="13690" spans="2:4" x14ac:dyDescent="0.2">
      <c r="B13690" s="236"/>
      <c r="C13690" s="236"/>
      <c r="D13690" s="236"/>
    </row>
    <row r="13691" spans="2:4" ht="12.75" customHeight="1" x14ac:dyDescent="0.2">
      <c r="B13691" s="236"/>
      <c r="C13691" s="236"/>
      <c r="D13691" s="236"/>
    </row>
    <row r="13692" spans="2:4" x14ac:dyDescent="0.2">
      <c r="B13692" s="236"/>
      <c r="C13692" s="236"/>
      <c r="D13692" s="236"/>
    </row>
    <row r="13693" spans="2:4" ht="12.75" customHeight="1" x14ac:dyDescent="0.2">
      <c r="B13693" s="236"/>
      <c r="C13693" s="236"/>
      <c r="D13693" s="236"/>
    </row>
    <row r="13694" spans="2:4" ht="12.75" customHeight="1" x14ac:dyDescent="0.2">
      <c r="B13694" s="236"/>
      <c r="C13694" s="236"/>
      <c r="D13694" s="236"/>
    </row>
    <row r="13695" spans="2:4" ht="12.75" customHeight="1" x14ac:dyDescent="0.2">
      <c r="B13695" s="236"/>
      <c r="C13695" s="236"/>
      <c r="D13695" s="236"/>
    </row>
    <row r="13696" spans="2:4" ht="12.75" customHeight="1" x14ac:dyDescent="0.2">
      <c r="B13696" s="236"/>
      <c r="C13696" s="236"/>
      <c r="D13696" s="236"/>
    </row>
    <row r="13697" spans="2:4" ht="12.75" customHeight="1" x14ac:dyDescent="0.2">
      <c r="B13697" s="236"/>
      <c r="C13697" s="236"/>
      <c r="D13697" s="236"/>
    </row>
    <row r="13698" spans="2:4" ht="12.75" customHeight="1" x14ac:dyDescent="0.2">
      <c r="B13698" s="236"/>
      <c r="C13698" s="236"/>
      <c r="D13698" s="236"/>
    </row>
    <row r="13699" spans="2:4" ht="12.75" customHeight="1" x14ac:dyDescent="0.2">
      <c r="B13699" s="236"/>
      <c r="C13699" s="236"/>
      <c r="D13699" s="236"/>
    </row>
    <row r="13700" spans="2:4" ht="12.75" customHeight="1" x14ac:dyDescent="0.2">
      <c r="B13700" s="236"/>
      <c r="C13700" s="236"/>
      <c r="D13700" s="236"/>
    </row>
    <row r="13701" spans="2:4" ht="12.75" customHeight="1" x14ac:dyDescent="0.2">
      <c r="B13701" s="236"/>
      <c r="C13701" s="236"/>
      <c r="D13701" s="236"/>
    </row>
    <row r="13702" spans="2:4" ht="12.75" customHeight="1" x14ac:dyDescent="0.2">
      <c r="B13702" s="236"/>
      <c r="C13702" s="236"/>
      <c r="D13702" s="236"/>
    </row>
    <row r="13703" spans="2:4" x14ac:dyDescent="0.2">
      <c r="B13703" s="236"/>
      <c r="C13703" s="236"/>
      <c r="D13703" s="236"/>
    </row>
    <row r="13704" spans="2:4" x14ac:dyDescent="0.2">
      <c r="B13704" s="236"/>
      <c r="C13704" s="236"/>
      <c r="D13704" s="236"/>
    </row>
    <row r="13705" spans="2:4" x14ac:dyDescent="0.2">
      <c r="B13705" s="236"/>
      <c r="C13705" s="236"/>
      <c r="D13705" s="236"/>
    </row>
    <row r="13706" spans="2:4" ht="12.75" customHeight="1" x14ac:dyDescent="0.2">
      <c r="B13706" s="236"/>
      <c r="C13706" s="236"/>
      <c r="D13706" s="236"/>
    </row>
    <row r="13707" spans="2:4" ht="12.75" customHeight="1" x14ac:dyDescent="0.2">
      <c r="B13707" s="236"/>
      <c r="C13707" s="236"/>
      <c r="D13707" s="236"/>
    </row>
    <row r="13708" spans="2:4" ht="12.75" customHeight="1" x14ac:dyDescent="0.2">
      <c r="B13708" s="236"/>
      <c r="C13708" s="236"/>
      <c r="D13708" s="236"/>
    </row>
    <row r="13709" spans="2:4" ht="12.75" customHeight="1" x14ac:dyDescent="0.2">
      <c r="B13709" s="236"/>
      <c r="C13709" s="236"/>
      <c r="D13709" s="236"/>
    </row>
    <row r="13710" spans="2:4" ht="12.75" customHeight="1" x14ac:dyDescent="0.2">
      <c r="B13710" s="236"/>
      <c r="C13710" s="236"/>
      <c r="D13710" s="236"/>
    </row>
    <row r="13711" spans="2:4" ht="12.75" customHeight="1" x14ac:dyDescent="0.2">
      <c r="B13711" s="236"/>
      <c r="C13711" s="236"/>
      <c r="D13711" s="236"/>
    </row>
    <row r="13712" spans="2:4" ht="12.75" customHeight="1" x14ac:dyDescent="0.2">
      <c r="B13712" s="236"/>
      <c r="C13712" s="236"/>
      <c r="D13712" s="236"/>
    </row>
    <row r="13713" spans="2:4" ht="12.75" customHeight="1" x14ac:dyDescent="0.2">
      <c r="B13713" s="236"/>
      <c r="C13713" s="236"/>
      <c r="D13713" s="236"/>
    </row>
    <row r="13714" spans="2:4" ht="12.75" customHeight="1" x14ac:dyDescent="0.2">
      <c r="B13714" s="236"/>
      <c r="C13714" s="236"/>
      <c r="D13714" s="236"/>
    </row>
    <row r="13715" spans="2:4" ht="12.75" customHeight="1" x14ac:dyDescent="0.2">
      <c r="B13715" s="236"/>
      <c r="C13715" s="236"/>
      <c r="D13715" s="236"/>
    </row>
    <row r="13716" spans="2:4" ht="12.75" customHeight="1" x14ac:dyDescent="0.2">
      <c r="B13716" s="236"/>
      <c r="C13716" s="236"/>
      <c r="D13716" s="236"/>
    </row>
    <row r="13717" spans="2:4" ht="12.75" customHeight="1" x14ac:dyDescent="0.2">
      <c r="B13717" s="236"/>
      <c r="C13717" s="236"/>
      <c r="D13717" s="236"/>
    </row>
    <row r="13718" spans="2:4" x14ac:dyDescent="0.2">
      <c r="B13718" s="236"/>
      <c r="C13718" s="236"/>
      <c r="D13718" s="236"/>
    </row>
    <row r="13719" spans="2:4" x14ac:dyDescent="0.2">
      <c r="B13719" s="236"/>
      <c r="C13719" s="236"/>
      <c r="D13719" s="236"/>
    </row>
    <row r="13720" spans="2:4" ht="12.75" customHeight="1" x14ac:dyDescent="0.2">
      <c r="B13720" s="236"/>
      <c r="C13720" s="236"/>
      <c r="D13720" s="236"/>
    </row>
    <row r="13721" spans="2:4" x14ac:dyDescent="0.2">
      <c r="B13721" s="236"/>
      <c r="C13721" s="236"/>
      <c r="D13721" s="236"/>
    </row>
    <row r="13722" spans="2:4" ht="12.75" customHeight="1" x14ac:dyDescent="0.2">
      <c r="B13722" s="236"/>
      <c r="C13722" s="236"/>
      <c r="D13722" s="236"/>
    </row>
    <row r="13723" spans="2:4" x14ac:dyDescent="0.2">
      <c r="B13723" s="236"/>
      <c r="C13723" s="236"/>
      <c r="D13723" s="236"/>
    </row>
    <row r="13724" spans="2:4" x14ac:dyDescent="0.2">
      <c r="B13724" s="236"/>
      <c r="C13724" s="236"/>
      <c r="D13724" s="236"/>
    </row>
    <row r="13725" spans="2:4" ht="12.75" customHeight="1" x14ac:dyDescent="0.2">
      <c r="B13725" s="236"/>
      <c r="C13725" s="236"/>
      <c r="D13725" s="236"/>
    </row>
    <row r="13726" spans="2:4" ht="12.75" customHeight="1" x14ac:dyDescent="0.2">
      <c r="B13726" s="236"/>
      <c r="C13726" s="236"/>
      <c r="D13726" s="236"/>
    </row>
    <row r="13727" spans="2:4" ht="12.75" customHeight="1" x14ac:dyDescent="0.2">
      <c r="B13727" s="236"/>
      <c r="C13727" s="236"/>
      <c r="D13727" s="236"/>
    </row>
    <row r="13728" spans="2:4" x14ac:dyDescent="0.2">
      <c r="B13728" s="236"/>
      <c r="C13728" s="236"/>
      <c r="D13728" s="236"/>
    </row>
    <row r="13729" spans="2:4" x14ac:dyDescent="0.2">
      <c r="B13729" s="236"/>
      <c r="C13729" s="236"/>
      <c r="D13729" s="236"/>
    </row>
    <row r="13730" spans="2:4" ht="12.75" customHeight="1" x14ac:dyDescent="0.2">
      <c r="B13730" s="236"/>
      <c r="C13730" s="236"/>
      <c r="D13730" s="236"/>
    </row>
    <row r="13731" spans="2:4" ht="12.75" customHeight="1" x14ac:dyDescent="0.2">
      <c r="B13731" s="236"/>
      <c r="C13731" s="236"/>
      <c r="D13731" s="236"/>
    </row>
    <row r="13732" spans="2:4" ht="12.75" customHeight="1" x14ac:dyDescent="0.2">
      <c r="B13732" s="236"/>
      <c r="C13732" s="236"/>
      <c r="D13732" s="236"/>
    </row>
    <row r="13733" spans="2:4" ht="12.75" customHeight="1" x14ac:dyDescent="0.2">
      <c r="B13733" s="236"/>
      <c r="C13733" s="236"/>
      <c r="D13733" s="236"/>
    </row>
    <row r="13734" spans="2:4" x14ac:dyDescent="0.2">
      <c r="B13734" s="236"/>
      <c r="C13734" s="236"/>
      <c r="D13734" s="236"/>
    </row>
    <row r="13735" spans="2:4" ht="12.75" customHeight="1" x14ac:dyDescent="0.2">
      <c r="B13735" s="236"/>
      <c r="C13735" s="236"/>
      <c r="D13735" s="236"/>
    </row>
    <row r="13736" spans="2:4" ht="12.75" customHeight="1" x14ac:dyDescent="0.2">
      <c r="B13736" s="236"/>
      <c r="C13736" s="236"/>
      <c r="D13736" s="236"/>
    </row>
    <row r="13737" spans="2:4" x14ac:dyDescent="0.2">
      <c r="B13737" s="236"/>
      <c r="C13737" s="236"/>
      <c r="D13737" s="236"/>
    </row>
    <row r="13738" spans="2:4" x14ac:dyDescent="0.2">
      <c r="B13738" s="236"/>
      <c r="C13738" s="236"/>
      <c r="D13738" s="236"/>
    </row>
    <row r="13739" spans="2:4" ht="12.75" customHeight="1" x14ac:dyDescent="0.2">
      <c r="B13739" s="236"/>
      <c r="C13739" s="236"/>
      <c r="D13739" s="236"/>
    </row>
    <row r="13740" spans="2:4" ht="12.75" customHeight="1" x14ac:dyDescent="0.2">
      <c r="B13740" s="236"/>
      <c r="C13740" s="236"/>
      <c r="D13740" s="236"/>
    </row>
    <row r="13741" spans="2:4" ht="12.75" customHeight="1" x14ac:dyDescent="0.2">
      <c r="B13741" s="236"/>
      <c r="C13741" s="236"/>
      <c r="D13741" s="236"/>
    </row>
    <row r="13742" spans="2:4" ht="12.75" customHeight="1" x14ac:dyDescent="0.2">
      <c r="B13742" s="236"/>
      <c r="C13742" s="236"/>
      <c r="D13742" s="236"/>
    </row>
    <row r="13743" spans="2:4" x14ac:dyDescent="0.2">
      <c r="B13743" s="236"/>
      <c r="C13743" s="236"/>
      <c r="D13743" s="236"/>
    </row>
    <row r="13744" spans="2:4" ht="12.75" customHeight="1" x14ac:dyDescent="0.2">
      <c r="B13744" s="236"/>
      <c r="C13744" s="236"/>
      <c r="D13744" s="236"/>
    </row>
    <row r="13745" spans="2:4" x14ac:dyDescent="0.2">
      <c r="B13745" s="236"/>
      <c r="C13745" s="236"/>
      <c r="D13745" s="236"/>
    </row>
    <row r="13746" spans="2:4" x14ac:dyDescent="0.2">
      <c r="B13746" s="236"/>
      <c r="C13746" s="236"/>
      <c r="D13746" s="236"/>
    </row>
    <row r="13747" spans="2:4" x14ac:dyDescent="0.2">
      <c r="B13747" s="236"/>
      <c r="C13747" s="236"/>
      <c r="D13747" s="236"/>
    </row>
    <row r="13748" spans="2:4" ht="12.75" customHeight="1" x14ac:dyDescent="0.2">
      <c r="B13748" s="236"/>
      <c r="C13748" s="236"/>
      <c r="D13748" s="236"/>
    </row>
    <row r="13749" spans="2:4" ht="12.75" customHeight="1" x14ac:dyDescent="0.2">
      <c r="B13749" s="236"/>
      <c r="C13749" s="236"/>
      <c r="D13749" s="236"/>
    </row>
    <row r="13750" spans="2:4" ht="12.75" customHeight="1" x14ac:dyDescent="0.2">
      <c r="B13750" s="236"/>
      <c r="C13750" s="236"/>
      <c r="D13750" s="236"/>
    </row>
    <row r="13751" spans="2:4" ht="12.75" customHeight="1" x14ac:dyDescent="0.2">
      <c r="B13751" s="236"/>
      <c r="C13751" s="236"/>
      <c r="D13751" s="236"/>
    </row>
    <row r="13752" spans="2:4" ht="12.75" customHeight="1" x14ac:dyDescent="0.2">
      <c r="B13752" s="236"/>
      <c r="C13752" s="236"/>
      <c r="D13752" s="236"/>
    </row>
    <row r="13753" spans="2:4" ht="12.75" customHeight="1" x14ac:dyDescent="0.2">
      <c r="B13753" s="236"/>
      <c r="C13753" s="236"/>
      <c r="D13753" s="236"/>
    </row>
    <row r="13754" spans="2:4" ht="12.75" customHeight="1" x14ac:dyDescent="0.2">
      <c r="B13754" s="236"/>
      <c r="C13754" s="236"/>
      <c r="D13754" s="236"/>
    </row>
    <row r="13755" spans="2:4" ht="12.75" customHeight="1" x14ac:dyDescent="0.2">
      <c r="B13755" s="236"/>
      <c r="C13755" s="236"/>
      <c r="D13755" s="236"/>
    </row>
    <row r="13756" spans="2:4" ht="12.75" customHeight="1" x14ac:dyDescent="0.2">
      <c r="B13756" s="236"/>
      <c r="C13756" s="236"/>
      <c r="D13756" s="236"/>
    </row>
    <row r="13757" spans="2:4" ht="12.75" customHeight="1" x14ac:dyDescent="0.2">
      <c r="B13757" s="236"/>
      <c r="C13757" s="236"/>
      <c r="D13757" s="236"/>
    </row>
    <row r="13758" spans="2:4" ht="12.75" customHeight="1" x14ac:dyDescent="0.2">
      <c r="B13758" s="236"/>
      <c r="C13758" s="236"/>
      <c r="D13758" s="236"/>
    </row>
    <row r="13759" spans="2:4" x14ac:dyDescent="0.2">
      <c r="B13759" s="236"/>
      <c r="C13759" s="236"/>
      <c r="D13759" s="236"/>
    </row>
    <row r="13760" spans="2:4" ht="12.75" customHeight="1" x14ac:dyDescent="0.2">
      <c r="B13760" s="236"/>
      <c r="C13760" s="236"/>
      <c r="D13760" s="236"/>
    </row>
    <row r="13761" spans="2:4" ht="12.75" customHeight="1" x14ac:dyDescent="0.2">
      <c r="B13761" s="236"/>
      <c r="C13761" s="236"/>
      <c r="D13761" s="236"/>
    </row>
    <row r="13762" spans="2:4" x14ac:dyDescent="0.2">
      <c r="B13762" s="236"/>
      <c r="C13762" s="236"/>
      <c r="D13762" s="236"/>
    </row>
    <row r="13763" spans="2:4" x14ac:dyDescent="0.2">
      <c r="B13763" s="236"/>
      <c r="C13763" s="236"/>
      <c r="D13763" s="236"/>
    </row>
    <row r="13764" spans="2:4" x14ac:dyDescent="0.2">
      <c r="B13764" s="236"/>
      <c r="C13764" s="236"/>
      <c r="D13764" s="236"/>
    </row>
    <row r="13765" spans="2:4" ht="12.75" customHeight="1" x14ac:dyDescent="0.2">
      <c r="B13765" s="236"/>
      <c r="C13765" s="236"/>
      <c r="D13765" s="236"/>
    </row>
    <row r="13766" spans="2:4" ht="12.75" customHeight="1" x14ac:dyDescent="0.2">
      <c r="B13766" s="236"/>
      <c r="C13766" s="236"/>
      <c r="D13766" s="236"/>
    </row>
    <row r="13767" spans="2:4" ht="12.75" customHeight="1" x14ac:dyDescent="0.2">
      <c r="B13767" s="236"/>
      <c r="C13767" s="236"/>
      <c r="D13767" s="236"/>
    </row>
    <row r="13768" spans="2:4" ht="12.75" customHeight="1" x14ac:dyDescent="0.2">
      <c r="B13768" s="236"/>
      <c r="C13768" s="236"/>
      <c r="D13768" s="236"/>
    </row>
    <row r="13769" spans="2:4" ht="12.75" customHeight="1" x14ac:dyDescent="0.2">
      <c r="B13769" s="236"/>
      <c r="C13769" s="236"/>
      <c r="D13769" s="236"/>
    </row>
    <row r="13770" spans="2:4" ht="12.75" customHeight="1" x14ac:dyDescent="0.2">
      <c r="B13770" s="236"/>
      <c r="C13770" s="236"/>
      <c r="D13770" s="236"/>
    </row>
    <row r="13771" spans="2:4" ht="12.75" customHeight="1" x14ac:dyDescent="0.2">
      <c r="B13771" s="236"/>
      <c r="C13771" s="236"/>
      <c r="D13771" s="236"/>
    </row>
    <row r="13772" spans="2:4" ht="12.75" customHeight="1" x14ac:dyDescent="0.2">
      <c r="B13772" s="236"/>
      <c r="C13772" s="236"/>
      <c r="D13772" s="236"/>
    </row>
    <row r="13773" spans="2:4" ht="12.75" customHeight="1" x14ac:dyDescent="0.2">
      <c r="B13773" s="236"/>
      <c r="C13773" s="236"/>
      <c r="D13773" s="236"/>
    </row>
    <row r="13774" spans="2:4" ht="12.75" customHeight="1" x14ac:dyDescent="0.2">
      <c r="B13774" s="236"/>
      <c r="C13774" s="236"/>
      <c r="D13774" s="236"/>
    </row>
    <row r="13775" spans="2:4" ht="12.75" customHeight="1" x14ac:dyDescent="0.2">
      <c r="B13775" s="236"/>
      <c r="C13775" s="236"/>
      <c r="D13775" s="236"/>
    </row>
    <row r="13776" spans="2:4" x14ac:dyDescent="0.2">
      <c r="B13776" s="236"/>
      <c r="C13776" s="236"/>
      <c r="D13776" s="236"/>
    </row>
    <row r="13777" spans="2:4" ht="12.75" customHeight="1" x14ac:dyDescent="0.2">
      <c r="B13777" s="236"/>
      <c r="C13777" s="236"/>
      <c r="D13777" s="236"/>
    </row>
    <row r="13778" spans="2:4" ht="12.75" customHeight="1" x14ac:dyDescent="0.2">
      <c r="B13778" s="236"/>
      <c r="C13778" s="236"/>
      <c r="D13778" s="236"/>
    </row>
    <row r="13779" spans="2:4" ht="12.75" customHeight="1" x14ac:dyDescent="0.2">
      <c r="B13779" s="236"/>
      <c r="C13779" s="236"/>
      <c r="D13779" s="236"/>
    </row>
    <row r="13780" spans="2:4" x14ac:dyDescent="0.2">
      <c r="B13780" s="236"/>
      <c r="C13780" s="236"/>
      <c r="D13780" s="236"/>
    </row>
    <row r="13781" spans="2:4" ht="12.75" customHeight="1" x14ac:dyDescent="0.2">
      <c r="B13781" s="236"/>
      <c r="C13781" s="236"/>
      <c r="D13781" s="236"/>
    </row>
    <row r="13782" spans="2:4" x14ac:dyDescent="0.2">
      <c r="B13782" s="236"/>
      <c r="C13782" s="236"/>
      <c r="D13782" s="236"/>
    </row>
    <row r="13783" spans="2:4" ht="12.75" customHeight="1" x14ac:dyDescent="0.2">
      <c r="B13783" s="236"/>
      <c r="C13783" s="236"/>
      <c r="D13783" s="236"/>
    </row>
    <row r="13784" spans="2:4" ht="12.75" customHeight="1" x14ac:dyDescent="0.2">
      <c r="B13784" s="236"/>
      <c r="C13784" s="236"/>
      <c r="D13784" s="236"/>
    </row>
    <row r="13785" spans="2:4" x14ac:dyDescent="0.2">
      <c r="B13785" s="236"/>
      <c r="C13785" s="236"/>
      <c r="D13785" s="236"/>
    </row>
    <row r="13786" spans="2:4" ht="12.75" customHeight="1" x14ac:dyDescent="0.2">
      <c r="B13786" s="236"/>
      <c r="C13786" s="236"/>
      <c r="D13786" s="236"/>
    </row>
    <row r="13787" spans="2:4" ht="12.75" customHeight="1" x14ac:dyDescent="0.2">
      <c r="B13787" s="236"/>
      <c r="C13787" s="236"/>
      <c r="D13787" s="236"/>
    </row>
    <row r="13788" spans="2:4" x14ac:dyDescent="0.2">
      <c r="B13788" s="236"/>
      <c r="C13788" s="236"/>
      <c r="D13788" s="236"/>
    </row>
    <row r="13789" spans="2:4" ht="12.75" customHeight="1" x14ac:dyDescent="0.2">
      <c r="B13789" s="236"/>
      <c r="C13789" s="236"/>
      <c r="D13789" s="236"/>
    </row>
    <row r="13790" spans="2:4" ht="12.75" customHeight="1" x14ac:dyDescent="0.2">
      <c r="B13790" s="236"/>
      <c r="C13790" s="236"/>
      <c r="D13790" s="236"/>
    </row>
    <row r="13791" spans="2:4" x14ac:dyDescent="0.2">
      <c r="B13791" s="236"/>
      <c r="C13791" s="236"/>
      <c r="D13791" s="236"/>
    </row>
    <row r="13792" spans="2:4" ht="12.75" customHeight="1" x14ac:dyDescent="0.2">
      <c r="B13792" s="236"/>
      <c r="C13792" s="236"/>
      <c r="D13792" s="236"/>
    </row>
    <row r="13793" spans="2:4" ht="12.75" customHeight="1" x14ac:dyDescent="0.2">
      <c r="B13793" s="236"/>
      <c r="C13793" s="236"/>
      <c r="D13793" s="236"/>
    </row>
    <row r="13794" spans="2:4" x14ac:dyDescent="0.2">
      <c r="B13794" s="236"/>
      <c r="C13794" s="236"/>
      <c r="D13794" s="236"/>
    </row>
    <row r="13795" spans="2:4" ht="12.75" customHeight="1" x14ac:dyDescent="0.2">
      <c r="B13795" s="236"/>
      <c r="C13795" s="236"/>
      <c r="D13795" s="236"/>
    </row>
    <row r="13796" spans="2:4" ht="12.75" customHeight="1" x14ac:dyDescent="0.2">
      <c r="B13796" s="236"/>
      <c r="C13796" s="236"/>
      <c r="D13796" s="236"/>
    </row>
    <row r="13797" spans="2:4" x14ac:dyDescent="0.2">
      <c r="B13797" s="236"/>
      <c r="C13797" s="236"/>
      <c r="D13797" s="236"/>
    </row>
    <row r="13798" spans="2:4" ht="12.75" customHeight="1" x14ac:dyDescent="0.2">
      <c r="B13798" s="236"/>
      <c r="C13798" s="236"/>
      <c r="D13798" s="236"/>
    </row>
    <row r="13799" spans="2:4" ht="12.75" customHeight="1" x14ac:dyDescent="0.2">
      <c r="B13799" s="236"/>
      <c r="C13799" s="236"/>
      <c r="D13799" s="236"/>
    </row>
    <row r="13800" spans="2:4" ht="12.75" customHeight="1" x14ac:dyDescent="0.2">
      <c r="B13800" s="236"/>
      <c r="C13800" s="236"/>
      <c r="D13800" s="236"/>
    </row>
    <row r="13801" spans="2:4" ht="12.75" customHeight="1" x14ac:dyDescent="0.2">
      <c r="B13801" s="236"/>
      <c r="C13801" s="236"/>
      <c r="D13801" s="236"/>
    </row>
    <row r="13802" spans="2:4" ht="12.75" customHeight="1" x14ac:dyDescent="0.2">
      <c r="B13802" s="236"/>
      <c r="C13802" s="236"/>
      <c r="D13802" s="236"/>
    </row>
    <row r="13803" spans="2:4" ht="12.75" customHeight="1" x14ac:dyDescent="0.2">
      <c r="B13803" s="236"/>
      <c r="C13803" s="236"/>
      <c r="D13803" s="236"/>
    </row>
    <row r="13804" spans="2:4" ht="12.75" customHeight="1" x14ac:dyDescent="0.2">
      <c r="B13804" s="236"/>
      <c r="C13804" s="236"/>
      <c r="D13804" s="236"/>
    </row>
    <row r="13805" spans="2:4" ht="12.75" customHeight="1" x14ac:dyDescent="0.2">
      <c r="B13805" s="236"/>
      <c r="C13805" s="236"/>
      <c r="D13805" s="236"/>
    </row>
    <row r="13806" spans="2:4" ht="12.75" customHeight="1" x14ac:dyDescent="0.2">
      <c r="B13806" s="236"/>
      <c r="C13806" s="236"/>
      <c r="D13806" s="236"/>
    </row>
    <row r="13807" spans="2:4" x14ac:dyDescent="0.2">
      <c r="B13807" s="236"/>
      <c r="C13807" s="236"/>
      <c r="D13807" s="236"/>
    </row>
    <row r="13808" spans="2:4" ht="12.75" customHeight="1" x14ac:dyDescent="0.2">
      <c r="B13808" s="236"/>
      <c r="C13808" s="236"/>
      <c r="D13808" s="236"/>
    </row>
    <row r="13809" spans="2:4" ht="12.75" customHeight="1" x14ac:dyDescent="0.2">
      <c r="B13809" s="236"/>
      <c r="C13809" s="236"/>
      <c r="D13809" s="236"/>
    </row>
    <row r="13810" spans="2:4" ht="12.75" customHeight="1" x14ac:dyDescent="0.2">
      <c r="B13810" s="236"/>
      <c r="C13810" s="236"/>
      <c r="D13810" s="236"/>
    </row>
    <row r="13811" spans="2:4" x14ac:dyDescent="0.2">
      <c r="B13811" s="236"/>
      <c r="C13811" s="236"/>
      <c r="D13811" s="236"/>
    </row>
    <row r="13812" spans="2:4" ht="12.75" customHeight="1" x14ac:dyDescent="0.2">
      <c r="B13812" s="236"/>
      <c r="C13812" s="236"/>
      <c r="D13812" s="236"/>
    </row>
    <row r="13813" spans="2:4" ht="12.75" customHeight="1" x14ac:dyDescent="0.2">
      <c r="B13813" s="236"/>
      <c r="C13813" s="236"/>
      <c r="D13813" s="236"/>
    </row>
    <row r="13814" spans="2:4" ht="12.75" customHeight="1" x14ac:dyDescent="0.2">
      <c r="B13814" s="236"/>
      <c r="C13814" s="236"/>
      <c r="D13814" s="236"/>
    </row>
    <row r="13815" spans="2:4" x14ac:dyDescent="0.2">
      <c r="B13815" s="236"/>
      <c r="C13815" s="236"/>
      <c r="D13815" s="236"/>
    </row>
    <row r="13816" spans="2:4" ht="12.75" customHeight="1" x14ac:dyDescent="0.2">
      <c r="B13816" s="236"/>
      <c r="C13816" s="236"/>
      <c r="D13816" s="236"/>
    </row>
    <row r="13817" spans="2:4" ht="12.75" customHeight="1" x14ac:dyDescent="0.2">
      <c r="B13817" s="236"/>
      <c r="C13817" s="236"/>
      <c r="D13817" s="236"/>
    </row>
    <row r="13818" spans="2:4" ht="12.75" customHeight="1" x14ac:dyDescent="0.2">
      <c r="B13818" s="236"/>
      <c r="C13818" s="236"/>
      <c r="D13818" s="236"/>
    </row>
    <row r="13819" spans="2:4" ht="12.75" customHeight="1" x14ac:dyDescent="0.2">
      <c r="B13819" s="236"/>
      <c r="C13819" s="236"/>
      <c r="D13819" s="236"/>
    </row>
    <row r="13820" spans="2:4" ht="12.75" customHeight="1" x14ac:dyDescent="0.2">
      <c r="B13820" s="236"/>
      <c r="C13820" s="236"/>
      <c r="D13820" s="236"/>
    </row>
    <row r="13821" spans="2:4" x14ac:dyDescent="0.2">
      <c r="B13821" s="236"/>
      <c r="C13821" s="236"/>
      <c r="D13821" s="236"/>
    </row>
    <row r="13822" spans="2:4" ht="12.75" customHeight="1" x14ac:dyDescent="0.2">
      <c r="B13822" s="236"/>
      <c r="C13822" s="236"/>
      <c r="D13822" s="236"/>
    </row>
    <row r="13823" spans="2:4" ht="12.75" customHeight="1" x14ac:dyDescent="0.2">
      <c r="B13823" s="236"/>
      <c r="C13823" s="236"/>
      <c r="D13823" s="236"/>
    </row>
    <row r="13824" spans="2:4" ht="12.75" customHeight="1" x14ac:dyDescent="0.2">
      <c r="B13824" s="236"/>
      <c r="C13824" s="236"/>
      <c r="D13824" s="236"/>
    </row>
    <row r="13825" spans="2:4" ht="12.75" customHeight="1" x14ac:dyDescent="0.2">
      <c r="B13825" s="236"/>
      <c r="C13825" s="236"/>
      <c r="D13825" s="236"/>
    </row>
    <row r="13826" spans="2:4" x14ac:dyDescent="0.2">
      <c r="B13826" s="236"/>
      <c r="C13826" s="236"/>
      <c r="D13826" s="236"/>
    </row>
    <row r="13827" spans="2:4" x14ac:dyDescent="0.2">
      <c r="B13827" s="236"/>
      <c r="C13827" s="236"/>
      <c r="D13827" s="236"/>
    </row>
    <row r="13828" spans="2:4" ht="12.75" customHeight="1" x14ac:dyDescent="0.2">
      <c r="B13828" s="236"/>
      <c r="C13828" s="236"/>
      <c r="D13828" s="236"/>
    </row>
    <row r="13829" spans="2:4" x14ac:dyDescent="0.2">
      <c r="B13829" s="236"/>
      <c r="C13829" s="236"/>
      <c r="D13829" s="236"/>
    </row>
    <row r="13830" spans="2:4" ht="12.75" customHeight="1" x14ac:dyDescent="0.2">
      <c r="B13830" s="236"/>
      <c r="C13830" s="236"/>
      <c r="D13830" s="236"/>
    </row>
    <row r="13831" spans="2:4" x14ac:dyDescent="0.2">
      <c r="B13831" s="236"/>
      <c r="C13831" s="236"/>
      <c r="D13831" s="236"/>
    </row>
    <row r="13832" spans="2:4" ht="12.75" customHeight="1" x14ac:dyDescent="0.2">
      <c r="B13832" s="236"/>
      <c r="C13832" s="236"/>
      <c r="D13832" s="236"/>
    </row>
    <row r="13833" spans="2:4" x14ac:dyDescent="0.2">
      <c r="B13833" s="236"/>
      <c r="C13833" s="236"/>
      <c r="D13833" s="236"/>
    </row>
    <row r="13834" spans="2:4" x14ac:dyDescent="0.2">
      <c r="B13834" s="236"/>
      <c r="C13834" s="236"/>
      <c r="D13834" s="236"/>
    </row>
    <row r="13835" spans="2:4" ht="12.75" customHeight="1" x14ac:dyDescent="0.2">
      <c r="B13835" s="236"/>
      <c r="C13835" s="236"/>
      <c r="D13835" s="236"/>
    </row>
    <row r="13836" spans="2:4" ht="12.75" customHeight="1" x14ac:dyDescent="0.2">
      <c r="B13836" s="236"/>
      <c r="C13836" s="236"/>
      <c r="D13836" s="236"/>
    </row>
    <row r="13837" spans="2:4" ht="12.75" customHeight="1" x14ac:dyDescent="0.2">
      <c r="B13837" s="236"/>
      <c r="C13837" s="236"/>
      <c r="D13837" s="236"/>
    </row>
    <row r="13838" spans="2:4" x14ac:dyDescent="0.2">
      <c r="B13838" s="236"/>
      <c r="C13838" s="236"/>
      <c r="D13838" s="236"/>
    </row>
    <row r="13839" spans="2:4" x14ac:dyDescent="0.2">
      <c r="B13839" s="236"/>
      <c r="C13839" s="236"/>
      <c r="D13839" s="236"/>
    </row>
    <row r="13840" spans="2:4" ht="12.75" customHeight="1" x14ac:dyDescent="0.2">
      <c r="B13840" s="236"/>
      <c r="C13840" s="236"/>
      <c r="D13840" s="236"/>
    </row>
    <row r="13841" spans="2:4" x14ac:dyDescent="0.2">
      <c r="B13841" s="236"/>
      <c r="C13841" s="236"/>
      <c r="D13841" s="236"/>
    </row>
    <row r="13842" spans="2:4" ht="12.75" customHeight="1" x14ac:dyDescent="0.2">
      <c r="B13842" s="236"/>
      <c r="C13842" s="236"/>
      <c r="D13842" s="236"/>
    </row>
    <row r="13843" spans="2:4" x14ac:dyDescent="0.2">
      <c r="B13843" s="236"/>
      <c r="C13843" s="236"/>
      <c r="D13843" s="236"/>
    </row>
    <row r="13844" spans="2:4" ht="12.75" customHeight="1" x14ac:dyDescent="0.2">
      <c r="B13844" s="236"/>
      <c r="C13844" s="236"/>
      <c r="D13844" s="236"/>
    </row>
    <row r="13845" spans="2:4" x14ac:dyDescent="0.2">
      <c r="B13845" s="236"/>
      <c r="C13845" s="236"/>
      <c r="D13845" s="236"/>
    </row>
    <row r="13846" spans="2:4" ht="12.75" customHeight="1" x14ac:dyDescent="0.2">
      <c r="B13846" s="236"/>
      <c r="C13846" s="236"/>
      <c r="D13846" s="236"/>
    </row>
    <row r="13847" spans="2:4" ht="12.75" customHeight="1" x14ac:dyDescent="0.2">
      <c r="B13847" s="236"/>
      <c r="C13847" s="236"/>
      <c r="D13847" s="236"/>
    </row>
    <row r="13848" spans="2:4" x14ac:dyDescent="0.2">
      <c r="B13848" s="236"/>
      <c r="C13848" s="236"/>
      <c r="D13848" s="236"/>
    </row>
    <row r="13849" spans="2:4" ht="12.75" customHeight="1" x14ac:dyDescent="0.2">
      <c r="B13849" s="236"/>
      <c r="C13849" s="236"/>
      <c r="D13849" s="236"/>
    </row>
    <row r="13850" spans="2:4" x14ac:dyDescent="0.2">
      <c r="B13850" s="236"/>
      <c r="C13850" s="236"/>
      <c r="D13850" s="236"/>
    </row>
    <row r="13851" spans="2:4" ht="12.75" customHeight="1" x14ac:dyDescent="0.2">
      <c r="B13851" s="236"/>
      <c r="C13851" s="236"/>
      <c r="D13851" s="236"/>
    </row>
    <row r="13852" spans="2:4" ht="12.75" customHeight="1" x14ac:dyDescent="0.2">
      <c r="B13852" s="236"/>
      <c r="C13852" s="236"/>
      <c r="D13852" s="236"/>
    </row>
    <row r="13853" spans="2:4" ht="12.75" customHeight="1" x14ac:dyDescent="0.2">
      <c r="B13853" s="236"/>
      <c r="C13853" s="236"/>
      <c r="D13853" s="236"/>
    </row>
    <row r="13854" spans="2:4" ht="12.75" customHeight="1" x14ac:dyDescent="0.2">
      <c r="B13854" s="236"/>
      <c r="C13854" s="236"/>
      <c r="D13854" s="236"/>
    </row>
    <row r="13855" spans="2:4" ht="12.75" customHeight="1" x14ac:dyDescent="0.2">
      <c r="B13855" s="236"/>
      <c r="C13855" s="236"/>
      <c r="D13855" s="236"/>
    </row>
    <row r="13856" spans="2:4" ht="12.75" customHeight="1" x14ac:dyDescent="0.2">
      <c r="B13856" s="236"/>
      <c r="C13856" s="236"/>
      <c r="D13856" s="236"/>
    </row>
    <row r="13857" spans="2:4" ht="12.75" customHeight="1" x14ac:dyDescent="0.2">
      <c r="B13857" s="236"/>
      <c r="C13857" s="236"/>
      <c r="D13857" s="236"/>
    </row>
    <row r="13858" spans="2:4" ht="12.75" customHeight="1" x14ac:dyDescent="0.2">
      <c r="B13858" s="236"/>
      <c r="C13858" s="236"/>
      <c r="D13858" s="236"/>
    </row>
    <row r="13859" spans="2:4" ht="12.75" customHeight="1" x14ac:dyDescent="0.2">
      <c r="B13859" s="236"/>
      <c r="C13859" s="236"/>
      <c r="D13859" s="236"/>
    </row>
    <row r="13860" spans="2:4" ht="12.75" customHeight="1" x14ac:dyDescent="0.2">
      <c r="B13860" s="236"/>
      <c r="C13860" s="236"/>
      <c r="D13860" s="236"/>
    </row>
    <row r="13861" spans="2:4" x14ac:dyDescent="0.2">
      <c r="B13861" s="236"/>
      <c r="C13861" s="236"/>
      <c r="D13861" s="236"/>
    </row>
    <row r="13862" spans="2:4" ht="12.75" customHeight="1" x14ac:dyDescent="0.2">
      <c r="B13862" s="236"/>
      <c r="C13862" s="236"/>
      <c r="D13862" s="236"/>
    </row>
    <row r="13863" spans="2:4" ht="12.75" customHeight="1" x14ac:dyDescent="0.2">
      <c r="B13863" s="236"/>
      <c r="C13863" s="236"/>
      <c r="D13863" s="236"/>
    </row>
    <row r="13864" spans="2:4" x14ac:dyDescent="0.2">
      <c r="B13864" s="236"/>
      <c r="C13864" s="236"/>
      <c r="D13864" s="236"/>
    </row>
    <row r="13865" spans="2:4" ht="12.75" customHeight="1" x14ac:dyDescent="0.2">
      <c r="B13865" s="236"/>
      <c r="C13865" s="236"/>
      <c r="D13865" s="236"/>
    </row>
    <row r="13866" spans="2:4" ht="12.75" customHeight="1" x14ac:dyDescent="0.2">
      <c r="B13866" s="236"/>
      <c r="C13866" s="236"/>
      <c r="D13866" s="236"/>
    </row>
    <row r="13867" spans="2:4" ht="12.75" customHeight="1" x14ac:dyDescent="0.2">
      <c r="B13867" s="236"/>
      <c r="C13867" s="236"/>
      <c r="D13867" s="236"/>
    </row>
    <row r="13868" spans="2:4" x14ac:dyDescent="0.2">
      <c r="B13868" s="236"/>
      <c r="C13868" s="236"/>
      <c r="D13868" s="236"/>
    </row>
    <row r="13869" spans="2:4" ht="12.75" customHeight="1" x14ac:dyDescent="0.2">
      <c r="B13869" s="236"/>
      <c r="C13869" s="236"/>
      <c r="D13869" s="236"/>
    </row>
    <row r="13870" spans="2:4" x14ac:dyDescent="0.2">
      <c r="B13870" s="236"/>
      <c r="C13870" s="236"/>
      <c r="D13870" s="236"/>
    </row>
    <row r="13871" spans="2:4" x14ac:dyDescent="0.2">
      <c r="B13871" s="236"/>
      <c r="C13871" s="236"/>
      <c r="D13871" s="236"/>
    </row>
    <row r="13872" spans="2:4" x14ac:dyDescent="0.2">
      <c r="B13872" s="236"/>
      <c r="C13872" s="236"/>
      <c r="D13872" s="236"/>
    </row>
    <row r="13873" spans="2:4" ht="12.75" customHeight="1" x14ac:dyDescent="0.2">
      <c r="B13873" s="236"/>
      <c r="C13873" s="236"/>
      <c r="D13873" s="236"/>
    </row>
    <row r="13874" spans="2:4" ht="12.75" customHeight="1" x14ac:dyDescent="0.2">
      <c r="B13874" s="236"/>
      <c r="C13874" s="236"/>
      <c r="D13874" s="236"/>
    </row>
    <row r="13875" spans="2:4" ht="12.75" customHeight="1" x14ac:dyDescent="0.2">
      <c r="B13875" s="236"/>
      <c r="C13875" s="236"/>
      <c r="D13875" s="236"/>
    </row>
    <row r="13876" spans="2:4" ht="12.75" customHeight="1" x14ac:dyDescent="0.2">
      <c r="B13876" s="236"/>
      <c r="C13876" s="236"/>
      <c r="D13876" s="236"/>
    </row>
    <row r="13877" spans="2:4" ht="12.75" customHeight="1" x14ac:dyDescent="0.2">
      <c r="B13877" s="236"/>
      <c r="C13877" s="236"/>
      <c r="D13877" s="236"/>
    </row>
    <row r="13878" spans="2:4" ht="12.75" customHeight="1" x14ac:dyDescent="0.2">
      <c r="B13878" s="236"/>
      <c r="C13878" s="236"/>
      <c r="D13878" s="236"/>
    </row>
    <row r="13879" spans="2:4" ht="12.75" customHeight="1" x14ac:dyDescent="0.2">
      <c r="B13879" s="236"/>
      <c r="C13879" s="236"/>
      <c r="D13879" s="236"/>
    </row>
    <row r="13880" spans="2:4" ht="12.75" customHeight="1" x14ac:dyDescent="0.2">
      <c r="B13880" s="236"/>
      <c r="C13880" s="236"/>
      <c r="D13880" s="236"/>
    </row>
    <row r="13881" spans="2:4" ht="12.75" customHeight="1" x14ac:dyDescent="0.2">
      <c r="B13881" s="236"/>
      <c r="C13881" s="236"/>
      <c r="D13881" s="236"/>
    </row>
    <row r="13882" spans="2:4" ht="12.75" customHeight="1" x14ac:dyDescent="0.2">
      <c r="B13882" s="236"/>
      <c r="C13882" s="236"/>
      <c r="D13882" s="236"/>
    </row>
    <row r="13883" spans="2:4" ht="12.75" customHeight="1" x14ac:dyDescent="0.2">
      <c r="B13883" s="236"/>
      <c r="C13883" s="236"/>
      <c r="D13883" s="236"/>
    </row>
    <row r="13884" spans="2:4" x14ac:dyDescent="0.2">
      <c r="B13884" s="236"/>
      <c r="C13884" s="236"/>
      <c r="D13884" s="236"/>
    </row>
    <row r="13885" spans="2:4" ht="12.75" customHeight="1" x14ac:dyDescent="0.2">
      <c r="B13885" s="236"/>
      <c r="C13885" s="236"/>
      <c r="D13885" s="236"/>
    </row>
    <row r="13886" spans="2:4" x14ac:dyDescent="0.2">
      <c r="B13886" s="236"/>
      <c r="C13886" s="236"/>
      <c r="D13886" s="236"/>
    </row>
    <row r="13887" spans="2:4" x14ac:dyDescent="0.2">
      <c r="B13887" s="236"/>
      <c r="C13887" s="236"/>
      <c r="D13887" s="236"/>
    </row>
    <row r="13888" spans="2:4" x14ac:dyDescent="0.2">
      <c r="B13888" s="236"/>
      <c r="C13888" s="236"/>
      <c r="D13888" s="236"/>
    </row>
    <row r="13889" spans="2:4" ht="12.75" customHeight="1" x14ac:dyDescent="0.2">
      <c r="B13889" s="236"/>
      <c r="C13889" s="236"/>
      <c r="D13889" s="236"/>
    </row>
    <row r="13890" spans="2:4" ht="12.75" customHeight="1" x14ac:dyDescent="0.2">
      <c r="B13890" s="236"/>
      <c r="C13890" s="236"/>
      <c r="D13890" s="236"/>
    </row>
    <row r="13891" spans="2:4" ht="12.75" customHeight="1" x14ac:dyDescent="0.2">
      <c r="B13891" s="236"/>
      <c r="C13891" s="236"/>
      <c r="D13891" s="236"/>
    </row>
    <row r="13892" spans="2:4" ht="12.75" customHeight="1" x14ac:dyDescent="0.2">
      <c r="B13892" s="236"/>
      <c r="C13892" s="236"/>
      <c r="D13892" s="236"/>
    </row>
    <row r="13893" spans="2:4" ht="12.75" customHeight="1" x14ac:dyDescent="0.2">
      <c r="B13893" s="236"/>
      <c r="C13893" s="236"/>
      <c r="D13893" s="236"/>
    </row>
    <row r="13894" spans="2:4" ht="12.75" customHeight="1" x14ac:dyDescent="0.2">
      <c r="B13894" s="236"/>
      <c r="C13894" s="236"/>
      <c r="D13894" s="236"/>
    </row>
    <row r="13895" spans="2:4" ht="12.75" customHeight="1" x14ac:dyDescent="0.2">
      <c r="B13895" s="236"/>
      <c r="C13895" s="236"/>
      <c r="D13895" s="236"/>
    </row>
    <row r="13896" spans="2:4" ht="12.75" customHeight="1" x14ac:dyDescent="0.2">
      <c r="B13896" s="236"/>
      <c r="C13896" s="236"/>
      <c r="D13896" s="236"/>
    </row>
    <row r="13897" spans="2:4" ht="12.75" customHeight="1" x14ac:dyDescent="0.2">
      <c r="B13897" s="236"/>
      <c r="C13897" s="236"/>
      <c r="D13897" s="236"/>
    </row>
    <row r="13898" spans="2:4" ht="12.75" customHeight="1" x14ac:dyDescent="0.2">
      <c r="B13898" s="236"/>
      <c r="C13898" s="236"/>
      <c r="D13898" s="236"/>
    </row>
    <row r="13899" spans="2:4" ht="12.75" customHeight="1" x14ac:dyDescent="0.2">
      <c r="B13899" s="236"/>
      <c r="C13899" s="236"/>
      <c r="D13899" s="236"/>
    </row>
    <row r="13900" spans="2:4" x14ac:dyDescent="0.2">
      <c r="B13900" s="236"/>
      <c r="C13900" s="236"/>
      <c r="D13900" s="236"/>
    </row>
    <row r="13901" spans="2:4" ht="12.75" customHeight="1" x14ac:dyDescent="0.2">
      <c r="B13901" s="236"/>
      <c r="C13901" s="236"/>
      <c r="D13901" s="236"/>
    </row>
    <row r="13902" spans="2:4" x14ac:dyDescent="0.2">
      <c r="B13902" s="236"/>
      <c r="C13902" s="236"/>
      <c r="D13902" s="236"/>
    </row>
    <row r="13903" spans="2:4" x14ac:dyDescent="0.2">
      <c r="B13903" s="236"/>
      <c r="C13903" s="236"/>
      <c r="D13903" s="236"/>
    </row>
    <row r="13904" spans="2:4" x14ac:dyDescent="0.2">
      <c r="B13904" s="236"/>
      <c r="C13904" s="236"/>
      <c r="D13904" s="236"/>
    </row>
    <row r="13905" spans="2:4" ht="12.75" customHeight="1" x14ac:dyDescent="0.2">
      <c r="B13905" s="236"/>
      <c r="C13905" s="236"/>
      <c r="D13905" s="236"/>
    </row>
    <row r="13906" spans="2:4" ht="12.75" customHeight="1" x14ac:dyDescent="0.2">
      <c r="B13906" s="236"/>
      <c r="C13906" s="236"/>
      <c r="D13906" s="236"/>
    </row>
    <row r="13907" spans="2:4" ht="12.75" customHeight="1" x14ac:dyDescent="0.2">
      <c r="B13907" s="236"/>
      <c r="C13907" s="236"/>
      <c r="D13907" s="236"/>
    </row>
    <row r="13908" spans="2:4" ht="12.75" customHeight="1" x14ac:dyDescent="0.2">
      <c r="B13908" s="236"/>
      <c r="C13908" s="236"/>
      <c r="D13908" s="236"/>
    </row>
    <row r="13909" spans="2:4" ht="12.75" customHeight="1" x14ac:dyDescent="0.2">
      <c r="B13909" s="236"/>
      <c r="C13909" s="236"/>
      <c r="D13909" s="236"/>
    </row>
    <row r="13910" spans="2:4" ht="12.75" customHeight="1" x14ac:dyDescent="0.2">
      <c r="B13910" s="236"/>
      <c r="C13910" s="236"/>
      <c r="D13910" s="236"/>
    </row>
    <row r="13911" spans="2:4" ht="12.75" customHeight="1" x14ac:dyDescent="0.2">
      <c r="B13911" s="236"/>
      <c r="C13911" s="236"/>
      <c r="D13911" s="236"/>
    </row>
    <row r="13912" spans="2:4" ht="12.75" customHeight="1" x14ac:dyDescent="0.2">
      <c r="B13912" s="236"/>
      <c r="C13912" s="236"/>
      <c r="D13912" s="236"/>
    </row>
    <row r="13913" spans="2:4" ht="12.75" customHeight="1" x14ac:dyDescent="0.2">
      <c r="B13913" s="236"/>
      <c r="C13913" s="236"/>
      <c r="D13913" s="236"/>
    </row>
    <row r="13914" spans="2:4" ht="12.75" customHeight="1" x14ac:dyDescent="0.2">
      <c r="B13914" s="236"/>
      <c r="C13914" s="236"/>
      <c r="D13914" s="236"/>
    </row>
    <row r="13915" spans="2:4" ht="12.75" customHeight="1" x14ac:dyDescent="0.2">
      <c r="B13915" s="236"/>
      <c r="C13915" s="236"/>
      <c r="D13915" s="236"/>
    </row>
    <row r="13916" spans="2:4" x14ac:dyDescent="0.2">
      <c r="B13916" s="236"/>
      <c r="C13916" s="236"/>
      <c r="D13916" s="236"/>
    </row>
    <row r="13917" spans="2:4" ht="12.75" customHeight="1" x14ac:dyDescent="0.2">
      <c r="B13917" s="236"/>
      <c r="C13917" s="236"/>
      <c r="D13917" s="236"/>
    </row>
    <row r="13918" spans="2:4" x14ac:dyDescent="0.2">
      <c r="B13918" s="236"/>
      <c r="C13918" s="236"/>
      <c r="D13918" s="236"/>
    </row>
    <row r="13919" spans="2:4" x14ac:dyDescent="0.2">
      <c r="B13919" s="236"/>
      <c r="C13919" s="236"/>
      <c r="D13919" s="236"/>
    </row>
    <row r="13920" spans="2:4" x14ac:dyDescent="0.2">
      <c r="B13920" s="236"/>
      <c r="C13920" s="236"/>
      <c r="D13920" s="236"/>
    </row>
    <row r="13921" spans="2:4" ht="12.75" customHeight="1" x14ac:dyDescent="0.2">
      <c r="B13921" s="236"/>
      <c r="C13921" s="236"/>
      <c r="D13921" s="236"/>
    </row>
    <row r="13922" spans="2:4" ht="12.75" customHeight="1" x14ac:dyDescent="0.2">
      <c r="B13922" s="236"/>
      <c r="C13922" s="236"/>
      <c r="D13922" s="236"/>
    </row>
    <row r="13923" spans="2:4" ht="12.75" customHeight="1" x14ac:dyDescent="0.2">
      <c r="B13923" s="236"/>
      <c r="C13923" s="236"/>
      <c r="D13923" s="236"/>
    </row>
    <row r="13924" spans="2:4" ht="12.75" customHeight="1" x14ac:dyDescent="0.2">
      <c r="B13924" s="236"/>
      <c r="C13924" s="236"/>
      <c r="D13924" s="236"/>
    </row>
    <row r="13925" spans="2:4" ht="12.75" customHeight="1" x14ac:dyDescent="0.2">
      <c r="B13925" s="236"/>
      <c r="C13925" s="236"/>
      <c r="D13925" s="236"/>
    </row>
    <row r="13926" spans="2:4" ht="12.75" customHeight="1" x14ac:dyDescent="0.2">
      <c r="B13926" s="236"/>
      <c r="C13926" s="236"/>
      <c r="D13926" s="236"/>
    </row>
    <row r="13927" spans="2:4" ht="12.75" customHeight="1" x14ac:dyDescent="0.2">
      <c r="B13927" s="236"/>
      <c r="C13927" s="236"/>
      <c r="D13927" s="236"/>
    </row>
    <row r="13928" spans="2:4" ht="12.75" customHeight="1" x14ac:dyDescent="0.2">
      <c r="B13928" s="236"/>
      <c r="C13928" s="236"/>
      <c r="D13928" s="236"/>
    </row>
    <row r="13929" spans="2:4" ht="12.75" customHeight="1" x14ac:dyDescent="0.2">
      <c r="B13929" s="236"/>
      <c r="C13929" s="236"/>
      <c r="D13929" s="236"/>
    </row>
    <row r="13930" spans="2:4" ht="12.75" customHeight="1" x14ac:dyDescent="0.2">
      <c r="B13930" s="236"/>
      <c r="C13930" s="236"/>
      <c r="D13930" s="236"/>
    </row>
    <row r="13931" spans="2:4" x14ac:dyDescent="0.2">
      <c r="B13931" s="236"/>
      <c r="C13931" s="236"/>
      <c r="D13931" s="236"/>
    </row>
    <row r="13932" spans="2:4" ht="12.75" customHeight="1" x14ac:dyDescent="0.2">
      <c r="B13932" s="236"/>
      <c r="C13932" s="236"/>
      <c r="D13932" s="236"/>
    </row>
    <row r="13933" spans="2:4" x14ac:dyDescent="0.2">
      <c r="B13933" s="236"/>
      <c r="C13933" s="236"/>
      <c r="D13933" s="236"/>
    </row>
    <row r="13934" spans="2:4" x14ac:dyDescent="0.2">
      <c r="B13934" s="236"/>
      <c r="C13934" s="236"/>
      <c r="D13934" s="236"/>
    </row>
    <row r="13935" spans="2:4" x14ac:dyDescent="0.2">
      <c r="B13935" s="236"/>
      <c r="C13935" s="236"/>
      <c r="D13935" s="236"/>
    </row>
    <row r="13936" spans="2:4" ht="12.75" customHeight="1" x14ac:dyDescent="0.2">
      <c r="B13936" s="236"/>
      <c r="C13936" s="236"/>
      <c r="D13936" s="236"/>
    </row>
    <row r="13937" spans="2:4" ht="12.75" customHeight="1" x14ac:dyDescent="0.2">
      <c r="B13937" s="236"/>
      <c r="C13937" s="236"/>
      <c r="D13937" s="236"/>
    </row>
    <row r="13938" spans="2:4" ht="12.75" customHeight="1" x14ac:dyDescent="0.2">
      <c r="B13938" s="236"/>
      <c r="C13938" s="236"/>
      <c r="D13938" s="236"/>
    </row>
    <row r="13939" spans="2:4" ht="12.75" customHeight="1" x14ac:dyDescent="0.2">
      <c r="B13939" s="236"/>
      <c r="C13939" s="236"/>
      <c r="D13939" s="236"/>
    </row>
    <row r="13940" spans="2:4" ht="12.75" customHeight="1" x14ac:dyDescent="0.2">
      <c r="B13940" s="236"/>
      <c r="C13940" s="236"/>
      <c r="D13940" s="236"/>
    </row>
    <row r="13941" spans="2:4" ht="12.75" customHeight="1" x14ac:dyDescent="0.2">
      <c r="B13941" s="236"/>
      <c r="C13941" s="236"/>
      <c r="D13941" s="236"/>
    </row>
    <row r="13942" spans="2:4" ht="12.75" customHeight="1" x14ac:dyDescent="0.2">
      <c r="B13942" s="236"/>
      <c r="C13942" s="236"/>
      <c r="D13942" s="236"/>
    </row>
    <row r="13943" spans="2:4" ht="12.75" customHeight="1" x14ac:dyDescent="0.2">
      <c r="B13943" s="236"/>
      <c r="C13943" s="236"/>
      <c r="D13943" s="236"/>
    </row>
    <row r="13944" spans="2:4" ht="12.75" customHeight="1" x14ac:dyDescent="0.2">
      <c r="B13944" s="236"/>
      <c r="C13944" s="236"/>
      <c r="D13944" s="236"/>
    </row>
    <row r="13945" spans="2:4" ht="12.75" customHeight="1" x14ac:dyDescent="0.2">
      <c r="B13945" s="236"/>
      <c r="C13945" s="236"/>
      <c r="D13945" s="236"/>
    </row>
    <row r="13946" spans="2:4" ht="12.75" customHeight="1" x14ac:dyDescent="0.2">
      <c r="B13946" s="236"/>
      <c r="C13946" s="236"/>
      <c r="D13946" s="236"/>
    </row>
    <row r="13947" spans="2:4" x14ac:dyDescent="0.2">
      <c r="B13947" s="236"/>
      <c r="C13947" s="236"/>
      <c r="D13947" s="236"/>
    </row>
    <row r="13948" spans="2:4" ht="12.75" customHeight="1" x14ac:dyDescent="0.2">
      <c r="B13948" s="236"/>
      <c r="C13948" s="236"/>
      <c r="D13948" s="236"/>
    </row>
    <row r="13949" spans="2:4" x14ac:dyDescent="0.2">
      <c r="B13949" s="236"/>
      <c r="C13949" s="236"/>
      <c r="D13949" s="236"/>
    </row>
    <row r="13950" spans="2:4" x14ac:dyDescent="0.2">
      <c r="B13950" s="236"/>
      <c r="C13950" s="236"/>
      <c r="D13950" s="236"/>
    </row>
    <row r="13951" spans="2:4" x14ac:dyDescent="0.2">
      <c r="B13951" s="236"/>
      <c r="C13951" s="236"/>
      <c r="D13951" s="236"/>
    </row>
    <row r="13952" spans="2:4" ht="12.75" customHeight="1" x14ac:dyDescent="0.2">
      <c r="B13952" s="236"/>
      <c r="C13952" s="236"/>
      <c r="D13952" s="236"/>
    </row>
    <row r="13953" spans="2:4" ht="12.75" customHeight="1" x14ac:dyDescent="0.2">
      <c r="B13953" s="236"/>
      <c r="C13953" s="236"/>
      <c r="D13953" s="236"/>
    </row>
    <row r="13954" spans="2:4" ht="12.75" customHeight="1" x14ac:dyDescent="0.2">
      <c r="B13954" s="236"/>
      <c r="C13954" s="236"/>
      <c r="D13954" s="236"/>
    </row>
    <row r="13955" spans="2:4" ht="12.75" customHeight="1" x14ac:dyDescent="0.2">
      <c r="B13955" s="236"/>
      <c r="C13955" s="236"/>
      <c r="D13955" s="236"/>
    </row>
    <row r="13956" spans="2:4" ht="12.75" customHeight="1" x14ac:dyDescent="0.2">
      <c r="B13956" s="236"/>
      <c r="C13956" s="236"/>
      <c r="D13956" s="236"/>
    </row>
    <row r="13957" spans="2:4" ht="12.75" customHeight="1" x14ac:dyDescent="0.2">
      <c r="B13957" s="236"/>
      <c r="C13957" s="236"/>
      <c r="D13957" s="236"/>
    </row>
    <row r="13958" spans="2:4" ht="12.75" customHeight="1" x14ac:dyDescent="0.2">
      <c r="B13958" s="236"/>
      <c r="C13958" s="236"/>
      <c r="D13958" s="236"/>
    </row>
    <row r="13959" spans="2:4" ht="12.75" customHeight="1" x14ac:dyDescent="0.2">
      <c r="B13959" s="236"/>
      <c r="C13959" s="236"/>
      <c r="D13959" s="236"/>
    </row>
    <row r="13960" spans="2:4" ht="12.75" customHeight="1" x14ac:dyDescent="0.2">
      <c r="B13960" s="236"/>
      <c r="C13960" s="236"/>
      <c r="D13960" s="236"/>
    </row>
    <row r="13961" spans="2:4" ht="12.75" customHeight="1" x14ac:dyDescent="0.2">
      <c r="B13961" s="236"/>
      <c r="C13961" s="236"/>
      <c r="D13961" s="236"/>
    </row>
    <row r="13962" spans="2:4" x14ac:dyDescent="0.2">
      <c r="B13962" s="236"/>
      <c r="C13962" s="236"/>
      <c r="D13962" s="236"/>
    </row>
    <row r="13963" spans="2:4" x14ac:dyDescent="0.2">
      <c r="B13963" s="236"/>
      <c r="C13963" s="236"/>
      <c r="D13963" s="236"/>
    </row>
    <row r="13964" spans="2:4" ht="12.75" customHeight="1" x14ac:dyDescent="0.2">
      <c r="B13964" s="236"/>
      <c r="C13964" s="236"/>
      <c r="D13964" s="236"/>
    </row>
    <row r="13965" spans="2:4" x14ac:dyDescent="0.2">
      <c r="B13965" s="236"/>
      <c r="C13965" s="236"/>
      <c r="D13965" s="236"/>
    </row>
    <row r="13966" spans="2:4" ht="12.75" customHeight="1" x14ac:dyDescent="0.2">
      <c r="B13966" s="236"/>
      <c r="C13966" s="236"/>
      <c r="D13966" s="236"/>
    </row>
    <row r="13967" spans="2:4" ht="12.75" customHeight="1" x14ac:dyDescent="0.2">
      <c r="B13967" s="236"/>
      <c r="C13967" s="236"/>
      <c r="D13967" s="236"/>
    </row>
    <row r="13968" spans="2:4" x14ac:dyDescent="0.2">
      <c r="B13968" s="236"/>
      <c r="C13968" s="236"/>
      <c r="D13968" s="236"/>
    </row>
    <row r="13969" spans="2:4" ht="12.75" customHeight="1" x14ac:dyDescent="0.2">
      <c r="B13969" s="236"/>
      <c r="C13969" s="236"/>
      <c r="D13969" s="236"/>
    </row>
    <row r="13970" spans="2:4" ht="12.75" customHeight="1" x14ac:dyDescent="0.2">
      <c r="B13970" s="236"/>
      <c r="C13970" s="236"/>
      <c r="D13970" s="236"/>
    </row>
    <row r="13971" spans="2:4" x14ac:dyDescent="0.2">
      <c r="B13971" s="236"/>
      <c r="C13971" s="236"/>
      <c r="D13971" s="236"/>
    </row>
    <row r="13972" spans="2:4" x14ac:dyDescent="0.2">
      <c r="B13972" s="236"/>
      <c r="C13972" s="236"/>
      <c r="D13972" s="236"/>
    </row>
    <row r="13973" spans="2:4" x14ac:dyDescent="0.2">
      <c r="B13973" s="236"/>
      <c r="C13973" s="236"/>
      <c r="D13973" s="236"/>
    </row>
    <row r="13974" spans="2:4" ht="12.75" customHeight="1" x14ac:dyDescent="0.2">
      <c r="B13974" s="236"/>
      <c r="C13974" s="236"/>
      <c r="D13974" s="236"/>
    </row>
    <row r="13975" spans="2:4" ht="12.75" customHeight="1" x14ac:dyDescent="0.2">
      <c r="B13975" s="236"/>
      <c r="C13975" s="236"/>
      <c r="D13975" s="236"/>
    </row>
    <row r="13976" spans="2:4" ht="12.75" customHeight="1" x14ac:dyDescent="0.2">
      <c r="B13976" s="236"/>
      <c r="C13976" s="236"/>
      <c r="D13976" s="236"/>
    </row>
    <row r="13977" spans="2:4" ht="12.75" customHeight="1" x14ac:dyDescent="0.2">
      <c r="B13977" s="236"/>
      <c r="C13977" s="236"/>
      <c r="D13977" s="236"/>
    </row>
    <row r="13978" spans="2:4" ht="12.75" customHeight="1" x14ac:dyDescent="0.2">
      <c r="B13978" s="236"/>
      <c r="C13978" s="236"/>
      <c r="D13978" s="236"/>
    </row>
    <row r="13979" spans="2:4" ht="12.75" customHeight="1" x14ac:dyDescent="0.2">
      <c r="B13979" s="236"/>
      <c r="C13979" s="236"/>
      <c r="D13979" s="236"/>
    </row>
    <row r="13980" spans="2:4" ht="12.75" customHeight="1" x14ac:dyDescent="0.2">
      <c r="B13980" s="236"/>
      <c r="C13980" s="236"/>
      <c r="D13980" s="236"/>
    </row>
    <row r="13981" spans="2:4" ht="12.75" customHeight="1" x14ac:dyDescent="0.2">
      <c r="B13981" s="236"/>
      <c r="C13981" s="236"/>
      <c r="D13981" s="236"/>
    </row>
    <row r="13982" spans="2:4" ht="12.75" customHeight="1" x14ac:dyDescent="0.2">
      <c r="B13982" s="236"/>
      <c r="C13982" s="236"/>
      <c r="D13982" s="236"/>
    </row>
    <row r="13983" spans="2:4" ht="12.75" customHeight="1" x14ac:dyDescent="0.2">
      <c r="B13983" s="236"/>
      <c r="C13983" s="236"/>
      <c r="D13983" s="236"/>
    </row>
    <row r="13984" spans="2:4" ht="12.75" customHeight="1" x14ac:dyDescent="0.2">
      <c r="B13984" s="236"/>
      <c r="C13984" s="236"/>
      <c r="D13984" s="236"/>
    </row>
    <row r="13985" spans="2:4" x14ac:dyDescent="0.2">
      <c r="B13985" s="236"/>
      <c r="C13985" s="236"/>
      <c r="D13985" s="236"/>
    </row>
    <row r="13986" spans="2:4" x14ac:dyDescent="0.2">
      <c r="B13986" s="236"/>
      <c r="C13986" s="236"/>
      <c r="D13986" s="236"/>
    </row>
    <row r="13987" spans="2:4" x14ac:dyDescent="0.2">
      <c r="B13987" s="236"/>
      <c r="C13987" s="236"/>
      <c r="D13987" s="236"/>
    </row>
    <row r="13988" spans="2:4" ht="12.75" customHeight="1" x14ac:dyDescent="0.2">
      <c r="B13988" s="236"/>
      <c r="C13988" s="236"/>
      <c r="D13988" s="236"/>
    </row>
    <row r="13989" spans="2:4" ht="12.75" customHeight="1" x14ac:dyDescent="0.2">
      <c r="B13989" s="236"/>
      <c r="C13989" s="236"/>
      <c r="D13989" s="236"/>
    </row>
    <row r="13990" spans="2:4" ht="12.75" customHeight="1" x14ac:dyDescent="0.2">
      <c r="B13990" s="236"/>
      <c r="C13990" s="236"/>
      <c r="D13990" s="236"/>
    </row>
    <row r="13991" spans="2:4" ht="12.75" customHeight="1" x14ac:dyDescent="0.2">
      <c r="B13991" s="236"/>
      <c r="C13991" s="236"/>
      <c r="D13991" s="236"/>
    </row>
    <row r="13992" spans="2:4" ht="12.75" customHeight="1" x14ac:dyDescent="0.2">
      <c r="B13992" s="236"/>
      <c r="C13992" s="236"/>
      <c r="D13992" s="236"/>
    </row>
    <row r="13993" spans="2:4" ht="12.75" customHeight="1" x14ac:dyDescent="0.2">
      <c r="B13993" s="236"/>
      <c r="C13993" s="236"/>
      <c r="D13993" s="236"/>
    </row>
    <row r="13994" spans="2:4" ht="12.75" customHeight="1" x14ac:dyDescent="0.2">
      <c r="B13994" s="236"/>
      <c r="C13994" s="236"/>
      <c r="D13994" s="236"/>
    </row>
    <row r="13995" spans="2:4" ht="12.75" customHeight="1" x14ac:dyDescent="0.2">
      <c r="B13995" s="236"/>
      <c r="C13995" s="236"/>
      <c r="D13995" s="236"/>
    </row>
    <row r="13996" spans="2:4" ht="12.75" customHeight="1" x14ac:dyDescent="0.2">
      <c r="B13996" s="236"/>
      <c r="C13996" s="236"/>
      <c r="D13996" s="236"/>
    </row>
    <row r="13997" spans="2:4" ht="12.75" customHeight="1" x14ac:dyDescent="0.2">
      <c r="B13997" s="236"/>
      <c r="C13997" s="236"/>
      <c r="D13997" s="236"/>
    </row>
    <row r="13998" spans="2:4" ht="12.75" customHeight="1" x14ac:dyDescent="0.2">
      <c r="B13998" s="236"/>
      <c r="C13998" s="236"/>
      <c r="D13998" s="236"/>
    </row>
    <row r="13999" spans="2:4" x14ac:dyDescent="0.2">
      <c r="B13999" s="236"/>
      <c r="C13999" s="236"/>
      <c r="D13999" s="236"/>
    </row>
    <row r="14000" spans="2:4" x14ac:dyDescent="0.2">
      <c r="B14000" s="236"/>
      <c r="C14000" s="236"/>
      <c r="D14000" s="236"/>
    </row>
    <row r="14001" spans="2:4" x14ac:dyDescent="0.2">
      <c r="B14001" s="236"/>
      <c r="C14001" s="236"/>
      <c r="D14001" s="236"/>
    </row>
    <row r="14002" spans="2:4" ht="12.75" customHeight="1" x14ac:dyDescent="0.2">
      <c r="B14002" s="236"/>
      <c r="C14002" s="236"/>
      <c r="D14002" s="236"/>
    </row>
    <row r="14003" spans="2:4" ht="12.75" customHeight="1" x14ac:dyDescent="0.2">
      <c r="B14003" s="236"/>
      <c r="C14003" s="236"/>
      <c r="D14003" s="236"/>
    </row>
    <row r="14004" spans="2:4" ht="12.75" customHeight="1" x14ac:dyDescent="0.2">
      <c r="B14004" s="236"/>
      <c r="C14004" s="236"/>
      <c r="D14004" s="236"/>
    </row>
    <row r="14005" spans="2:4" ht="12.75" customHeight="1" x14ac:dyDescent="0.2">
      <c r="B14005" s="236"/>
      <c r="C14005" s="236"/>
      <c r="D14005" s="236"/>
    </row>
    <row r="14006" spans="2:4" ht="12.75" customHeight="1" x14ac:dyDescent="0.2">
      <c r="B14006" s="236"/>
      <c r="C14006" s="236"/>
      <c r="D14006" s="236"/>
    </row>
    <row r="14007" spans="2:4" ht="12.75" customHeight="1" x14ac:dyDescent="0.2">
      <c r="B14007" s="236"/>
      <c r="C14007" s="236"/>
      <c r="D14007" s="236"/>
    </row>
    <row r="14008" spans="2:4" ht="12.75" customHeight="1" x14ac:dyDescent="0.2">
      <c r="B14008" s="236"/>
      <c r="C14008" s="236"/>
      <c r="D14008" s="236"/>
    </row>
    <row r="14009" spans="2:4" ht="12.75" customHeight="1" x14ac:dyDescent="0.2">
      <c r="B14009" s="236"/>
      <c r="C14009" s="236"/>
      <c r="D14009" s="236"/>
    </row>
    <row r="14010" spans="2:4" ht="12.75" customHeight="1" x14ac:dyDescent="0.2">
      <c r="B14010" s="236"/>
      <c r="C14010" s="236"/>
      <c r="D14010" s="236"/>
    </row>
    <row r="14011" spans="2:4" ht="12.75" customHeight="1" x14ac:dyDescent="0.2">
      <c r="B14011" s="236"/>
      <c r="C14011" s="236"/>
      <c r="D14011" s="236"/>
    </row>
    <row r="14012" spans="2:4" ht="12.75" customHeight="1" x14ac:dyDescent="0.2">
      <c r="B14012" s="236"/>
      <c r="C14012" s="236"/>
      <c r="D14012" s="236"/>
    </row>
    <row r="14013" spans="2:4" ht="12.75" customHeight="1" x14ac:dyDescent="0.2">
      <c r="B14013" s="236"/>
      <c r="C14013" s="236"/>
      <c r="D14013" s="236"/>
    </row>
    <row r="14014" spans="2:4" ht="12.75" customHeight="1" x14ac:dyDescent="0.2">
      <c r="B14014" s="236"/>
      <c r="C14014" s="236"/>
      <c r="D14014" s="236"/>
    </row>
    <row r="14015" spans="2:4" ht="12.75" customHeight="1" x14ac:dyDescent="0.2">
      <c r="B14015" s="236"/>
      <c r="C14015" s="236"/>
      <c r="D14015" s="236"/>
    </row>
    <row r="14016" spans="2:4" x14ac:dyDescent="0.2">
      <c r="B14016" s="236"/>
      <c r="C14016" s="236"/>
      <c r="D14016" s="236"/>
    </row>
    <row r="14017" spans="2:4" ht="12.75" customHeight="1" x14ac:dyDescent="0.2">
      <c r="B14017" s="236"/>
      <c r="C14017" s="236"/>
      <c r="D14017" s="236"/>
    </row>
    <row r="14018" spans="2:4" x14ac:dyDescent="0.2">
      <c r="B14018" s="236"/>
      <c r="C14018" s="236"/>
      <c r="D14018" s="236"/>
    </row>
    <row r="14019" spans="2:4" ht="12.75" customHeight="1" x14ac:dyDescent="0.2">
      <c r="B14019" s="236"/>
      <c r="C14019" s="236"/>
      <c r="D14019" s="236"/>
    </row>
    <row r="14020" spans="2:4" ht="12.75" customHeight="1" x14ac:dyDescent="0.2">
      <c r="B14020" s="236"/>
      <c r="C14020" s="236"/>
      <c r="D14020" s="236"/>
    </row>
    <row r="14021" spans="2:4" ht="12.75" customHeight="1" x14ac:dyDescent="0.2">
      <c r="B14021" s="236"/>
      <c r="C14021" s="236"/>
      <c r="D14021" s="236"/>
    </row>
    <row r="14022" spans="2:4" ht="12.75" customHeight="1" x14ac:dyDescent="0.2">
      <c r="B14022" s="236"/>
      <c r="C14022" s="236"/>
      <c r="D14022" s="236"/>
    </row>
    <row r="14023" spans="2:4" x14ac:dyDescent="0.2">
      <c r="B14023" s="236"/>
      <c r="C14023" s="236"/>
      <c r="D14023" s="236"/>
    </row>
    <row r="14024" spans="2:4" ht="12.75" customHeight="1" x14ac:dyDescent="0.2">
      <c r="B14024" s="236"/>
      <c r="C14024" s="236"/>
      <c r="D14024" s="236"/>
    </row>
    <row r="14025" spans="2:4" x14ac:dyDescent="0.2">
      <c r="B14025" s="236"/>
      <c r="C14025" s="236"/>
      <c r="D14025" s="236"/>
    </row>
    <row r="14026" spans="2:4" ht="12.75" customHeight="1" x14ac:dyDescent="0.2">
      <c r="B14026" s="236"/>
      <c r="C14026" s="236"/>
      <c r="D14026" s="236"/>
    </row>
    <row r="14027" spans="2:4" ht="12.75" customHeight="1" x14ac:dyDescent="0.2">
      <c r="B14027" s="236"/>
      <c r="C14027" s="236"/>
      <c r="D14027" s="236"/>
    </row>
    <row r="14028" spans="2:4" ht="12.75" customHeight="1" x14ac:dyDescent="0.2">
      <c r="B14028" s="236"/>
      <c r="C14028" s="236"/>
      <c r="D14028" s="236"/>
    </row>
    <row r="14029" spans="2:4" ht="12.75" customHeight="1" x14ac:dyDescent="0.2">
      <c r="B14029" s="236"/>
      <c r="C14029" s="236"/>
      <c r="D14029" s="236"/>
    </row>
    <row r="14030" spans="2:4" ht="12.75" customHeight="1" x14ac:dyDescent="0.2">
      <c r="B14030" s="236"/>
      <c r="C14030" s="236"/>
      <c r="D14030" s="236"/>
    </row>
    <row r="14031" spans="2:4" ht="12.75" customHeight="1" x14ac:dyDescent="0.2">
      <c r="B14031" s="236"/>
      <c r="C14031" s="236"/>
      <c r="D14031" s="236"/>
    </row>
    <row r="14032" spans="2:4" ht="12.75" customHeight="1" x14ac:dyDescent="0.2">
      <c r="B14032" s="236"/>
      <c r="C14032" s="236"/>
      <c r="D14032" s="236"/>
    </row>
    <row r="14033" spans="2:4" ht="12.75" customHeight="1" x14ac:dyDescent="0.2">
      <c r="B14033" s="236"/>
      <c r="C14033" s="236"/>
      <c r="D14033" s="236"/>
    </row>
    <row r="14034" spans="2:4" x14ac:dyDescent="0.2">
      <c r="B14034" s="236"/>
      <c r="C14034" s="236"/>
      <c r="D14034" s="236"/>
    </row>
    <row r="14035" spans="2:4" ht="12.75" customHeight="1" x14ac:dyDescent="0.2">
      <c r="B14035" s="236"/>
      <c r="C14035" s="236"/>
      <c r="D14035" s="236"/>
    </row>
    <row r="14036" spans="2:4" x14ac:dyDescent="0.2">
      <c r="B14036" s="236"/>
      <c r="C14036" s="236"/>
      <c r="D14036" s="236"/>
    </row>
    <row r="14037" spans="2:4" ht="12.75" customHeight="1" x14ac:dyDescent="0.2">
      <c r="B14037" s="236"/>
      <c r="C14037" s="236"/>
      <c r="D14037" s="236"/>
    </row>
    <row r="14038" spans="2:4" x14ac:dyDescent="0.2">
      <c r="B14038" s="236"/>
      <c r="C14038" s="236"/>
      <c r="D14038" s="236"/>
    </row>
    <row r="14039" spans="2:4" x14ac:dyDescent="0.2">
      <c r="B14039" s="236"/>
      <c r="C14039" s="236"/>
      <c r="D14039" s="236"/>
    </row>
    <row r="14040" spans="2:4" x14ac:dyDescent="0.2">
      <c r="B14040" s="236"/>
      <c r="C14040" s="236"/>
      <c r="D14040" s="236"/>
    </row>
    <row r="14041" spans="2:4" ht="12.75" customHeight="1" x14ac:dyDescent="0.2">
      <c r="B14041" s="236"/>
      <c r="C14041" s="236"/>
      <c r="D14041" s="236"/>
    </row>
    <row r="14042" spans="2:4" ht="12.75" customHeight="1" x14ac:dyDescent="0.2">
      <c r="B14042" s="236"/>
      <c r="C14042" s="236"/>
      <c r="D14042" s="236"/>
    </row>
    <row r="14043" spans="2:4" x14ac:dyDescent="0.2">
      <c r="B14043" s="236"/>
      <c r="C14043" s="236"/>
      <c r="D14043" s="236"/>
    </row>
    <row r="14044" spans="2:4" ht="12.75" customHeight="1" x14ac:dyDescent="0.2">
      <c r="B14044" s="236"/>
      <c r="C14044" s="236"/>
      <c r="D14044" s="236"/>
    </row>
    <row r="14045" spans="2:4" x14ac:dyDescent="0.2">
      <c r="B14045" s="236"/>
      <c r="C14045" s="236"/>
      <c r="D14045" s="236"/>
    </row>
    <row r="14046" spans="2:4" ht="12.75" customHeight="1" x14ac:dyDescent="0.2">
      <c r="B14046" s="236"/>
      <c r="C14046" s="236"/>
      <c r="D14046" s="236"/>
    </row>
    <row r="14047" spans="2:4" ht="12.75" customHeight="1" x14ac:dyDescent="0.2">
      <c r="B14047" s="236"/>
      <c r="C14047" s="236"/>
      <c r="D14047" s="236"/>
    </row>
    <row r="14048" spans="2:4" ht="12.75" customHeight="1" x14ac:dyDescent="0.2">
      <c r="B14048" s="236"/>
      <c r="C14048" s="236"/>
      <c r="D14048" s="236"/>
    </row>
    <row r="14049" spans="2:4" ht="12.75" customHeight="1" x14ac:dyDescent="0.2">
      <c r="B14049" s="236"/>
      <c r="C14049" s="236"/>
      <c r="D14049" s="236"/>
    </row>
    <row r="14050" spans="2:4" x14ac:dyDescent="0.2">
      <c r="B14050" s="236"/>
      <c r="C14050" s="236"/>
      <c r="D14050" s="236"/>
    </row>
    <row r="14051" spans="2:4" ht="12.75" customHeight="1" x14ac:dyDescent="0.2">
      <c r="B14051" s="236"/>
      <c r="C14051" s="236"/>
      <c r="D14051" s="236"/>
    </row>
    <row r="14052" spans="2:4" ht="12.75" customHeight="1" x14ac:dyDescent="0.2">
      <c r="B14052" s="236"/>
      <c r="C14052" s="236"/>
      <c r="D14052" s="236"/>
    </row>
    <row r="14053" spans="2:4" ht="12.75" customHeight="1" x14ac:dyDescent="0.2">
      <c r="B14053" s="236"/>
      <c r="C14053" s="236"/>
      <c r="D14053" s="236"/>
    </row>
    <row r="14054" spans="2:4" ht="12.75" customHeight="1" x14ac:dyDescent="0.2">
      <c r="B14054" s="236"/>
      <c r="C14054" s="236"/>
      <c r="D14054" s="236"/>
    </row>
    <row r="14055" spans="2:4" ht="12.75" customHeight="1" x14ac:dyDescent="0.2">
      <c r="B14055" s="236"/>
      <c r="C14055" s="236"/>
      <c r="D14055" s="236"/>
    </row>
    <row r="14056" spans="2:4" ht="12.75" customHeight="1" x14ac:dyDescent="0.2">
      <c r="B14056" s="236"/>
      <c r="C14056" s="236"/>
      <c r="D14056" s="236"/>
    </row>
    <row r="14057" spans="2:4" x14ac:dyDescent="0.2">
      <c r="B14057" s="236"/>
      <c r="C14057" s="236"/>
      <c r="D14057" s="236"/>
    </row>
    <row r="14058" spans="2:4" ht="12.75" customHeight="1" x14ac:dyDescent="0.2">
      <c r="B14058" s="236"/>
      <c r="C14058" s="236"/>
      <c r="D14058" s="236"/>
    </row>
    <row r="14059" spans="2:4" ht="12.75" customHeight="1" x14ac:dyDescent="0.2">
      <c r="B14059" s="236"/>
      <c r="C14059" s="236"/>
      <c r="D14059" s="236"/>
    </row>
    <row r="14060" spans="2:4" ht="12.75" customHeight="1" x14ac:dyDescent="0.2">
      <c r="B14060" s="236"/>
      <c r="C14060" s="236"/>
      <c r="D14060" s="236"/>
    </row>
    <row r="14061" spans="2:4" ht="12.75" customHeight="1" x14ac:dyDescent="0.2">
      <c r="B14061" s="236"/>
      <c r="C14061" s="236"/>
      <c r="D14061" s="236"/>
    </row>
    <row r="14062" spans="2:4" ht="12.75" customHeight="1" x14ac:dyDescent="0.2">
      <c r="B14062" s="236"/>
      <c r="C14062" s="236"/>
      <c r="D14062" s="236"/>
    </row>
    <row r="14063" spans="2:4" x14ac:dyDescent="0.2">
      <c r="B14063" s="236"/>
      <c r="C14063" s="236"/>
      <c r="D14063" s="236"/>
    </row>
    <row r="14064" spans="2:4" x14ac:dyDescent="0.2">
      <c r="B14064" s="236"/>
      <c r="C14064" s="236"/>
      <c r="D14064" s="236"/>
    </row>
    <row r="14065" spans="2:4" ht="12.75" customHeight="1" x14ac:dyDescent="0.2">
      <c r="B14065" s="236"/>
      <c r="C14065" s="236"/>
      <c r="D14065" s="236"/>
    </row>
    <row r="14066" spans="2:4" ht="12.75" customHeight="1" x14ac:dyDescent="0.2">
      <c r="B14066" s="236"/>
      <c r="C14066" s="236"/>
      <c r="D14066" s="236"/>
    </row>
    <row r="14067" spans="2:4" ht="12.75" customHeight="1" x14ac:dyDescent="0.2">
      <c r="B14067" s="236"/>
      <c r="C14067" s="236"/>
      <c r="D14067" s="236"/>
    </row>
    <row r="14068" spans="2:4" x14ac:dyDescent="0.2">
      <c r="B14068" s="236"/>
      <c r="C14068" s="236"/>
      <c r="D14068" s="236"/>
    </row>
    <row r="14069" spans="2:4" ht="12.75" customHeight="1" x14ac:dyDescent="0.2">
      <c r="B14069" s="236"/>
      <c r="C14069" s="236"/>
      <c r="D14069" s="236"/>
    </row>
    <row r="14070" spans="2:4" x14ac:dyDescent="0.2">
      <c r="B14070" s="236"/>
      <c r="C14070" s="236"/>
      <c r="D14070" s="236"/>
    </row>
    <row r="14071" spans="2:4" ht="12.75" customHeight="1" x14ac:dyDescent="0.2">
      <c r="B14071" s="236"/>
      <c r="C14071" s="236"/>
      <c r="D14071" s="236"/>
    </row>
    <row r="14072" spans="2:4" ht="12.75" customHeight="1" x14ac:dyDescent="0.2">
      <c r="B14072" s="236"/>
      <c r="C14072" s="236"/>
      <c r="D14072" s="236"/>
    </row>
    <row r="14073" spans="2:4" ht="12.75" customHeight="1" x14ac:dyDescent="0.2">
      <c r="B14073" s="236"/>
      <c r="C14073" s="236"/>
      <c r="D14073" s="236"/>
    </row>
    <row r="14074" spans="2:4" ht="12.75" customHeight="1" x14ac:dyDescent="0.2">
      <c r="B14074" s="236"/>
      <c r="C14074" s="236"/>
      <c r="D14074" s="236"/>
    </row>
    <row r="14075" spans="2:4" ht="12.75" customHeight="1" x14ac:dyDescent="0.2">
      <c r="B14075" s="236"/>
      <c r="C14075" s="236"/>
      <c r="D14075" s="236"/>
    </row>
    <row r="14076" spans="2:4" ht="12.75" customHeight="1" x14ac:dyDescent="0.2">
      <c r="B14076" s="236"/>
      <c r="C14076" s="236"/>
      <c r="D14076" s="236"/>
    </row>
    <row r="14077" spans="2:4" ht="12.75" customHeight="1" x14ac:dyDescent="0.2">
      <c r="B14077" s="236"/>
      <c r="C14077" s="236"/>
      <c r="D14077" s="236"/>
    </row>
    <row r="14078" spans="2:4" ht="12.75" customHeight="1" x14ac:dyDescent="0.2">
      <c r="B14078" s="236"/>
      <c r="C14078" s="236"/>
      <c r="D14078" s="236"/>
    </row>
    <row r="14079" spans="2:4" ht="12.75" customHeight="1" x14ac:dyDescent="0.2">
      <c r="B14079" s="236"/>
      <c r="C14079" s="236"/>
      <c r="D14079" s="236"/>
    </row>
    <row r="14080" spans="2:4" ht="12.75" customHeight="1" x14ac:dyDescent="0.2">
      <c r="B14080" s="236"/>
      <c r="C14080" s="236"/>
      <c r="D14080" s="236"/>
    </row>
    <row r="14081" spans="2:4" ht="12.75" customHeight="1" x14ac:dyDescent="0.2">
      <c r="B14081" s="236"/>
      <c r="C14081" s="236"/>
      <c r="D14081" s="236"/>
    </row>
    <row r="14082" spans="2:4" ht="12.75" customHeight="1" x14ac:dyDescent="0.2">
      <c r="B14082" s="236"/>
      <c r="C14082" s="236"/>
      <c r="D14082" s="236"/>
    </row>
    <row r="14083" spans="2:4" ht="12.75" customHeight="1" x14ac:dyDescent="0.2">
      <c r="B14083" s="236"/>
      <c r="C14083" s="236"/>
      <c r="D14083" s="236"/>
    </row>
    <row r="14084" spans="2:4" ht="12.75" customHeight="1" x14ac:dyDescent="0.2">
      <c r="B14084" s="236"/>
      <c r="C14084" s="236"/>
      <c r="D14084" s="236"/>
    </row>
    <row r="14085" spans="2:4" ht="12.75" customHeight="1" x14ac:dyDescent="0.2">
      <c r="B14085" s="236"/>
      <c r="C14085" s="236"/>
      <c r="D14085" s="236"/>
    </row>
    <row r="14086" spans="2:4" ht="12.75" customHeight="1" x14ac:dyDescent="0.2">
      <c r="B14086" s="236"/>
      <c r="C14086" s="236"/>
      <c r="D14086" s="236"/>
    </row>
    <row r="14087" spans="2:4" x14ac:dyDescent="0.2">
      <c r="B14087" s="236"/>
      <c r="C14087" s="236"/>
      <c r="D14087" s="236"/>
    </row>
    <row r="14088" spans="2:4" ht="12.75" customHeight="1" x14ac:dyDescent="0.2">
      <c r="B14088" s="236"/>
      <c r="C14088" s="236"/>
      <c r="D14088" s="236"/>
    </row>
    <row r="14089" spans="2:4" ht="12.75" customHeight="1" x14ac:dyDescent="0.2">
      <c r="B14089" s="236"/>
      <c r="C14089" s="236"/>
      <c r="D14089" s="236"/>
    </row>
    <row r="14090" spans="2:4" ht="12.75" customHeight="1" x14ac:dyDescent="0.2">
      <c r="B14090" s="236"/>
      <c r="C14090" s="236"/>
      <c r="D14090" s="236"/>
    </row>
    <row r="14091" spans="2:4" ht="12.75" customHeight="1" x14ac:dyDescent="0.2">
      <c r="B14091" s="236"/>
      <c r="C14091" s="236"/>
      <c r="D14091" s="236"/>
    </row>
    <row r="14092" spans="2:4" x14ac:dyDescent="0.2">
      <c r="B14092" s="236"/>
      <c r="C14092" s="236"/>
      <c r="D14092" s="236"/>
    </row>
    <row r="14093" spans="2:4" ht="12.75" customHeight="1" x14ac:dyDescent="0.2">
      <c r="B14093" s="236"/>
      <c r="C14093" s="236"/>
      <c r="D14093" s="236"/>
    </row>
    <row r="14094" spans="2:4" ht="12.75" customHeight="1" x14ac:dyDescent="0.2">
      <c r="B14094" s="236"/>
      <c r="C14094" s="236"/>
      <c r="D14094" s="236"/>
    </row>
    <row r="14095" spans="2:4" ht="12.75" customHeight="1" x14ac:dyDescent="0.2">
      <c r="B14095" s="236"/>
      <c r="C14095" s="236"/>
      <c r="D14095" s="236"/>
    </row>
    <row r="14096" spans="2:4" x14ac:dyDescent="0.2">
      <c r="B14096" s="236"/>
      <c r="C14096" s="236"/>
      <c r="D14096" s="236"/>
    </row>
    <row r="14097" spans="2:4" ht="12.75" customHeight="1" x14ac:dyDescent="0.2">
      <c r="B14097" s="236"/>
      <c r="C14097" s="236"/>
      <c r="D14097" s="236"/>
    </row>
    <row r="14098" spans="2:4" ht="12.75" customHeight="1" x14ac:dyDescent="0.2">
      <c r="B14098" s="236"/>
      <c r="C14098" s="236"/>
      <c r="D14098" s="236"/>
    </row>
    <row r="14099" spans="2:4" ht="12.75" customHeight="1" x14ac:dyDescent="0.2">
      <c r="B14099" s="236"/>
      <c r="C14099" s="236"/>
      <c r="D14099" s="236"/>
    </row>
    <row r="14100" spans="2:4" x14ac:dyDescent="0.2">
      <c r="B14100" s="236"/>
      <c r="C14100" s="236"/>
      <c r="D14100" s="236"/>
    </row>
    <row r="14101" spans="2:4" ht="12.75" customHeight="1" x14ac:dyDescent="0.2">
      <c r="B14101" s="236"/>
      <c r="C14101" s="236"/>
      <c r="D14101" s="236"/>
    </row>
    <row r="14102" spans="2:4" x14ac:dyDescent="0.2">
      <c r="B14102" s="236"/>
      <c r="C14102" s="236"/>
      <c r="D14102" s="236"/>
    </row>
    <row r="14103" spans="2:4" ht="12.75" customHeight="1" x14ac:dyDescent="0.2">
      <c r="B14103" s="236"/>
      <c r="C14103" s="236"/>
      <c r="D14103" s="236"/>
    </row>
    <row r="14104" spans="2:4" ht="12.75" customHeight="1" x14ac:dyDescent="0.2">
      <c r="B14104" s="236"/>
      <c r="C14104" s="236"/>
      <c r="D14104" s="236"/>
    </row>
    <row r="14105" spans="2:4" ht="12.75" customHeight="1" x14ac:dyDescent="0.2">
      <c r="B14105" s="236"/>
      <c r="C14105" s="236"/>
      <c r="D14105" s="236"/>
    </row>
    <row r="14106" spans="2:4" ht="12.75" customHeight="1" x14ac:dyDescent="0.2">
      <c r="B14106" s="236"/>
      <c r="C14106" s="236"/>
      <c r="D14106" s="236"/>
    </row>
    <row r="14107" spans="2:4" ht="12.75" customHeight="1" x14ac:dyDescent="0.2">
      <c r="B14107" s="236"/>
      <c r="C14107" s="236"/>
      <c r="D14107" s="236"/>
    </row>
    <row r="14108" spans="2:4" ht="12.75" customHeight="1" x14ac:dyDescent="0.2">
      <c r="B14108" s="236"/>
      <c r="C14108" s="236"/>
      <c r="D14108" s="236"/>
    </row>
    <row r="14109" spans="2:4" x14ac:dyDescent="0.2">
      <c r="B14109" s="236"/>
      <c r="C14109" s="236"/>
      <c r="D14109" s="236"/>
    </row>
    <row r="14110" spans="2:4" ht="12.75" customHeight="1" x14ac:dyDescent="0.2">
      <c r="B14110" s="236"/>
      <c r="C14110" s="236"/>
      <c r="D14110" s="236"/>
    </row>
    <row r="14111" spans="2:4" x14ac:dyDescent="0.2">
      <c r="B14111" s="236"/>
      <c r="C14111" s="236"/>
      <c r="D14111" s="236"/>
    </row>
    <row r="14112" spans="2:4" ht="12.75" customHeight="1" x14ac:dyDescent="0.2">
      <c r="B14112" s="236"/>
      <c r="C14112" s="236"/>
      <c r="D14112" s="236"/>
    </row>
    <row r="14113" spans="2:4" x14ac:dyDescent="0.2">
      <c r="B14113" s="236"/>
      <c r="C14113" s="236"/>
      <c r="D14113" s="236"/>
    </row>
    <row r="14114" spans="2:4" ht="12.75" customHeight="1" x14ac:dyDescent="0.2">
      <c r="B14114" s="236"/>
      <c r="C14114" s="236"/>
      <c r="D14114" s="236"/>
    </row>
    <row r="14115" spans="2:4" ht="12.75" customHeight="1" x14ac:dyDescent="0.2">
      <c r="B14115" s="236"/>
      <c r="C14115" s="236"/>
      <c r="D14115" s="236"/>
    </row>
    <row r="14116" spans="2:4" ht="12.75" customHeight="1" x14ac:dyDescent="0.2">
      <c r="B14116" s="236"/>
      <c r="C14116" s="236"/>
      <c r="D14116" s="236"/>
    </row>
    <row r="14117" spans="2:4" ht="12.75" customHeight="1" x14ac:dyDescent="0.2">
      <c r="B14117" s="236"/>
      <c r="C14117" s="236"/>
      <c r="D14117" s="236"/>
    </row>
    <row r="14118" spans="2:4" x14ac:dyDescent="0.2">
      <c r="B14118" s="236"/>
      <c r="C14118" s="236"/>
      <c r="D14118" s="236"/>
    </row>
    <row r="14119" spans="2:4" ht="12.75" customHeight="1" x14ac:dyDescent="0.2">
      <c r="B14119" s="236"/>
      <c r="C14119" s="236"/>
      <c r="D14119" s="236"/>
    </row>
    <row r="14120" spans="2:4" ht="12.75" customHeight="1" x14ac:dyDescent="0.2">
      <c r="B14120" s="236"/>
      <c r="C14120" s="236"/>
      <c r="D14120" s="236"/>
    </row>
    <row r="14121" spans="2:4" ht="12.75" customHeight="1" x14ac:dyDescent="0.2">
      <c r="B14121" s="236"/>
      <c r="C14121" s="236"/>
      <c r="D14121" s="236"/>
    </row>
    <row r="14122" spans="2:4" ht="12.75" customHeight="1" x14ac:dyDescent="0.2">
      <c r="B14122" s="236"/>
      <c r="C14122" s="236"/>
      <c r="D14122" s="236"/>
    </row>
    <row r="14123" spans="2:4" ht="12.75" customHeight="1" x14ac:dyDescent="0.2">
      <c r="B14123" s="236"/>
      <c r="C14123" s="236"/>
      <c r="D14123" s="236"/>
    </row>
    <row r="14124" spans="2:4" ht="12.75" customHeight="1" x14ac:dyDescent="0.2">
      <c r="B14124" s="236"/>
      <c r="C14124" s="236"/>
      <c r="D14124" s="236"/>
    </row>
    <row r="14125" spans="2:4" ht="12.75" customHeight="1" x14ac:dyDescent="0.2">
      <c r="B14125" s="236"/>
      <c r="C14125" s="236"/>
      <c r="D14125" s="236"/>
    </row>
    <row r="14126" spans="2:4" ht="12.75" customHeight="1" x14ac:dyDescent="0.2">
      <c r="B14126" s="236"/>
      <c r="C14126" s="236"/>
      <c r="D14126" s="236"/>
    </row>
    <row r="14127" spans="2:4" x14ac:dyDescent="0.2">
      <c r="B14127" s="236"/>
      <c r="C14127" s="236"/>
      <c r="D14127" s="236"/>
    </row>
    <row r="14128" spans="2:4" ht="12.75" customHeight="1" x14ac:dyDescent="0.2">
      <c r="B14128" s="236"/>
      <c r="C14128" s="236"/>
      <c r="D14128" s="236"/>
    </row>
    <row r="14129" spans="2:4" ht="12.75" customHeight="1" x14ac:dyDescent="0.2">
      <c r="B14129" s="236"/>
      <c r="C14129" s="236"/>
      <c r="D14129" s="236"/>
    </row>
    <row r="14130" spans="2:4" ht="12.75" customHeight="1" x14ac:dyDescent="0.2">
      <c r="B14130" s="236"/>
      <c r="C14130" s="236"/>
      <c r="D14130" s="236"/>
    </row>
    <row r="14131" spans="2:4" x14ac:dyDescent="0.2">
      <c r="B14131" s="236"/>
      <c r="C14131" s="236"/>
      <c r="D14131" s="236"/>
    </row>
    <row r="14132" spans="2:4" ht="12.75" customHeight="1" x14ac:dyDescent="0.2">
      <c r="B14132" s="236"/>
      <c r="C14132" s="236"/>
      <c r="D14132" s="236"/>
    </row>
    <row r="14133" spans="2:4" x14ac:dyDescent="0.2">
      <c r="B14133" s="236"/>
      <c r="C14133" s="236"/>
      <c r="D14133" s="236"/>
    </row>
    <row r="14134" spans="2:4" ht="12.75" customHeight="1" x14ac:dyDescent="0.2">
      <c r="B14134" s="236"/>
      <c r="C14134" s="236"/>
      <c r="D14134" s="236"/>
    </row>
    <row r="14135" spans="2:4" x14ac:dyDescent="0.2">
      <c r="B14135" s="236"/>
      <c r="C14135" s="236"/>
      <c r="D14135" s="236"/>
    </row>
    <row r="14136" spans="2:4" ht="12.75" customHeight="1" x14ac:dyDescent="0.2">
      <c r="B14136" s="236"/>
      <c r="C14136" s="236"/>
      <c r="D14136" s="236"/>
    </row>
    <row r="14137" spans="2:4" x14ac:dyDescent="0.2">
      <c r="B14137" s="236"/>
      <c r="C14137" s="236"/>
      <c r="D14137" s="236"/>
    </row>
    <row r="14138" spans="2:4" ht="12.75" customHeight="1" x14ac:dyDescent="0.2">
      <c r="B14138" s="236"/>
      <c r="C14138" s="236"/>
      <c r="D14138" s="236"/>
    </row>
    <row r="14139" spans="2:4" ht="12.75" customHeight="1" x14ac:dyDescent="0.2">
      <c r="B14139" s="236"/>
      <c r="C14139" s="236"/>
      <c r="D14139" s="236"/>
    </row>
    <row r="14140" spans="2:4" x14ac:dyDescent="0.2">
      <c r="B14140" s="236"/>
      <c r="C14140" s="236"/>
      <c r="D14140" s="236"/>
    </row>
    <row r="14141" spans="2:4" ht="12.75" customHeight="1" x14ac:dyDescent="0.2">
      <c r="B14141" s="236"/>
      <c r="C14141" s="236"/>
      <c r="D14141" s="236"/>
    </row>
    <row r="14142" spans="2:4" ht="12.75" customHeight="1" x14ac:dyDescent="0.2">
      <c r="B14142" s="236"/>
      <c r="C14142" s="236"/>
      <c r="D14142" s="236"/>
    </row>
    <row r="14143" spans="2:4" ht="12.75" customHeight="1" x14ac:dyDescent="0.2">
      <c r="B14143" s="236"/>
      <c r="C14143" s="236"/>
      <c r="D14143" s="236"/>
    </row>
    <row r="14144" spans="2:4" ht="12.75" customHeight="1" x14ac:dyDescent="0.2">
      <c r="B14144" s="236"/>
      <c r="C14144" s="236"/>
      <c r="D14144" s="236"/>
    </row>
    <row r="14145" spans="2:4" ht="12.75" customHeight="1" x14ac:dyDescent="0.2">
      <c r="B14145" s="236"/>
      <c r="C14145" s="236"/>
      <c r="D14145" s="236"/>
    </row>
    <row r="14146" spans="2:4" ht="12.75" customHeight="1" x14ac:dyDescent="0.2">
      <c r="B14146" s="236"/>
      <c r="C14146" s="236"/>
      <c r="D14146" s="236"/>
    </row>
    <row r="14147" spans="2:4" x14ac:dyDescent="0.2">
      <c r="B14147" s="236"/>
      <c r="C14147" s="236"/>
      <c r="D14147" s="236"/>
    </row>
    <row r="14148" spans="2:4" ht="12.75" customHeight="1" x14ac:dyDescent="0.2">
      <c r="B14148" s="236"/>
      <c r="C14148" s="236"/>
      <c r="D14148" s="236"/>
    </row>
    <row r="14149" spans="2:4" ht="12.75" customHeight="1" x14ac:dyDescent="0.2">
      <c r="B14149" s="236"/>
      <c r="C14149" s="236"/>
      <c r="D14149" s="236"/>
    </row>
    <row r="14150" spans="2:4" ht="12.75" customHeight="1" x14ac:dyDescent="0.2">
      <c r="B14150" s="236"/>
      <c r="C14150" s="236"/>
      <c r="D14150" s="236"/>
    </row>
    <row r="14151" spans="2:4" ht="12.75" customHeight="1" x14ac:dyDescent="0.2">
      <c r="B14151" s="236"/>
      <c r="C14151" s="236"/>
      <c r="D14151" s="236"/>
    </row>
    <row r="14152" spans="2:4" x14ac:dyDescent="0.2">
      <c r="B14152" s="236"/>
      <c r="C14152" s="236"/>
      <c r="D14152" s="236"/>
    </row>
    <row r="14153" spans="2:4" ht="12.75" customHeight="1" x14ac:dyDescent="0.2">
      <c r="B14153" s="236"/>
      <c r="C14153" s="236"/>
      <c r="D14153" s="236"/>
    </row>
    <row r="14154" spans="2:4" x14ac:dyDescent="0.2">
      <c r="B14154" s="236"/>
      <c r="C14154" s="236"/>
      <c r="D14154" s="236"/>
    </row>
    <row r="14155" spans="2:4" ht="12.75" customHeight="1" x14ac:dyDescent="0.2">
      <c r="B14155" s="236"/>
      <c r="C14155" s="236"/>
      <c r="D14155" s="236"/>
    </row>
    <row r="14156" spans="2:4" x14ac:dyDescent="0.2">
      <c r="B14156" s="236"/>
      <c r="C14156" s="236"/>
      <c r="D14156" s="236"/>
    </row>
    <row r="14157" spans="2:4" ht="12.75" customHeight="1" x14ac:dyDescent="0.2">
      <c r="B14157" s="236"/>
      <c r="C14157" s="236"/>
      <c r="D14157" s="236"/>
    </row>
    <row r="14158" spans="2:4" x14ac:dyDescent="0.2">
      <c r="B14158" s="236"/>
      <c r="C14158" s="236"/>
      <c r="D14158" s="236"/>
    </row>
    <row r="14159" spans="2:4" ht="12.75" customHeight="1" x14ac:dyDescent="0.2">
      <c r="B14159" s="236"/>
      <c r="C14159" s="236"/>
      <c r="D14159" s="236"/>
    </row>
    <row r="14160" spans="2:4" x14ac:dyDescent="0.2">
      <c r="B14160" s="236"/>
      <c r="C14160" s="236"/>
      <c r="D14160" s="236"/>
    </row>
    <row r="14161" spans="2:4" ht="12.75" customHeight="1" x14ac:dyDescent="0.2">
      <c r="B14161" s="236"/>
      <c r="C14161" s="236"/>
      <c r="D14161" s="236"/>
    </row>
    <row r="14162" spans="2:4" x14ac:dyDescent="0.2">
      <c r="B14162" s="236"/>
      <c r="C14162" s="236"/>
      <c r="D14162" s="236"/>
    </row>
    <row r="14163" spans="2:4" ht="12.75" customHeight="1" x14ac:dyDescent="0.2">
      <c r="B14163" s="236"/>
      <c r="C14163" s="236"/>
      <c r="D14163" s="236"/>
    </row>
    <row r="14164" spans="2:4" ht="12.75" customHeight="1" x14ac:dyDescent="0.2">
      <c r="B14164" s="236"/>
      <c r="C14164" s="236"/>
      <c r="D14164" s="236"/>
    </row>
    <row r="14165" spans="2:4" ht="12.75" customHeight="1" x14ac:dyDescent="0.2">
      <c r="B14165" s="236"/>
      <c r="C14165" s="236"/>
      <c r="D14165" s="236"/>
    </row>
    <row r="14166" spans="2:4" x14ac:dyDescent="0.2">
      <c r="B14166" s="236"/>
      <c r="C14166" s="236"/>
      <c r="D14166" s="236"/>
    </row>
    <row r="14167" spans="2:4" x14ac:dyDescent="0.2">
      <c r="B14167" s="236"/>
      <c r="C14167" s="236"/>
      <c r="D14167" s="236"/>
    </row>
    <row r="14168" spans="2:4" ht="12.75" customHeight="1" x14ac:dyDescent="0.2">
      <c r="B14168" s="236"/>
      <c r="C14168" s="236"/>
      <c r="D14168" s="236"/>
    </row>
    <row r="14169" spans="2:4" ht="12.75" customHeight="1" x14ac:dyDescent="0.2">
      <c r="B14169" s="236"/>
      <c r="C14169" s="236"/>
      <c r="D14169" s="236"/>
    </row>
    <row r="14170" spans="2:4" ht="12.75" customHeight="1" x14ac:dyDescent="0.2">
      <c r="B14170" s="236"/>
      <c r="C14170" s="236"/>
      <c r="D14170" s="236"/>
    </row>
    <row r="14171" spans="2:4" ht="12.75" customHeight="1" x14ac:dyDescent="0.2">
      <c r="B14171" s="236"/>
      <c r="C14171" s="236"/>
      <c r="D14171" s="236"/>
    </row>
    <row r="14172" spans="2:4" ht="12.75" customHeight="1" x14ac:dyDescent="0.2">
      <c r="B14172" s="236"/>
      <c r="C14172" s="236"/>
      <c r="D14172" s="236"/>
    </row>
    <row r="14173" spans="2:4" ht="12.75" customHeight="1" x14ac:dyDescent="0.2">
      <c r="B14173" s="236"/>
      <c r="C14173" s="236"/>
      <c r="D14173" s="236"/>
    </row>
    <row r="14174" spans="2:4" ht="12.75" customHeight="1" x14ac:dyDescent="0.2">
      <c r="B14174" s="236"/>
      <c r="C14174" s="236"/>
      <c r="D14174" s="236"/>
    </row>
    <row r="14175" spans="2:4" x14ac:dyDescent="0.2">
      <c r="B14175" s="236"/>
      <c r="C14175" s="236"/>
      <c r="D14175" s="236"/>
    </row>
    <row r="14176" spans="2:4" ht="12.75" customHeight="1" x14ac:dyDescent="0.2">
      <c r="B14176" s="236"/>
      <c r="C14176" s="236"/>
      <c r="D14176" s="236"/>
    </row>
    <row r="14177" spans="2:4" x14ac:dyDescent="0.2">
      <c r="B14177" s="236"/>
      <c r="C14177" s="236"/>
      <c r="D14177" s="236"/>
    </row>
    <row r="14178" spans="2:4" ht="12.75" customHeight="1" x14ac:dyDescent="0.2">
      <c r="B14178" s="236"/>
      <c r="C14178" s="236"/>
      <c r="D14178" s="236"/>
    </row>
    <row r="14179" spans="2:4" ht="12.75" customHeight="1" x14ac:dyDescent="0.2">
      <c r="B14179" s="236"/>
      <c r="C14179" s="236"/>
      <c r="D14179" s="236"/>
    </row>
    <row r="14180" spans="2:4" ht="12.75" customHeight="1" x14ac:dyDescent="0.2">
      <c r="B14180" s="236"/>
      <c r="C14180" s="236"/>
      <c r="D14180" s="236"/>
    </row>
    <row r="14181" spans="2:4" ht="12.75" customHeight="1" x14ac:dyDescent="0.2">
      <c r="B14181" s="236"/>
      <c r="C14181" s="236"/>
      <c r="D14181" s="236"/>
    </row>
    <row r="14182" spans="2:4" ht="12.75" customHeight="1" x14ac:dyDescent="0.2">
      <c r="B14182" s="236"/>
      <c r="C14182" s="236"/>
      <c r="D14182" s="236"/>
    </row>
    <row r="14183" spans="2:4" ht="12.75" customHeight="1" x14ac:dyDescent="0.2">
      <c r="B14183" s="236"/>
      <c r="C14183" s="236"/>
      <c r="D14183" s="236"/>
    </row>
    <row r="14184" spans="2:4" ht="12.75" customHeight="1" x14ac:dyDescent="0.2">
      <c r="B14184" s="236"/>
      <c r="C14184" s="236"/>
      <c r="D14184" s="236"/>
    </row>
    <row r="14185" spans="2:4" ht="12.75" customHeight="1" x14ac:dyDescent="0.2">
      <c r="B14185" s="236"/>
      <c r="C14185" s="236"/>
      <c r="D14185" s="236"/>
    </row>
    <row r="14186" spans="2:4" x14ac:dyDescent="0.2">
      <c r="B14186" s="236"/>
      <c r="C14186" s="236"/>
      <c r="D14186" s="236"/>
    </row>
    <row r="14187" spans="2:4" ht="12.75" customHeight="1" x14ac:dyDescent="0.2">
      <c r="B14187" s="236"/>
      <c r="C14187" s="236"/>
      <c r="D14187" s="236"/>
    </row>
    <row r="14188" spans="2:4" ht="12.75" customHeight="1" x14ac:dyDescent="0.2">
      <c r="B14188" s="236"/>
      <c r="C14188" s="236"/>
      <c r="D14188" s="236"/>
    </row>
    <row r="14189" spans="2:4" ht="12.75" customHeight="1" x14ac:dyDescent="0.2">
      <c r="B14189" s="236"/>
      <c r="C14189" s="236"/>
      <c r="D14189" s="236"/>
    </row>
    <row r="14190" spans="2:4" ht="12.75" customHeight="1" x14ac:dyDescent="0.2">
      <c r="B14190" s="236"/>
      <c r="C14190" s="236"/>
      <c r="D14190" s="236"/>
    </row>
    <row r="14191" spans="2:4" ht="12.75" customHeight="1" x14ac:dyDescent="0.2">
      <c r="B14191" s="236"/>
      <c r="C14191" s="236"/>
      <c r="D14191" s="236"/>
    </row>
    <row r="14192" spans="2:4" ht="12.75" customHeight="1" x14ac:dyDescent="0.2">
      <c r="B14192" s="236"/>
      <c r="C14192" s="236"/>
      <c r="D14192" s="236"/>
    </row>
    <row r="14193" spans="2:4" ht="12.75" customHeight="1" x14ac:dyDescent="0.2">
      <c r="B14193" s="236"/>
      <c r="C14193" s="236"/>
      <c r="D14193" s="236"/>
    </row>
    <row r="14194" spans="2:4" ht="12.75" customHeight="1" x14ac:dyDescent="0.2">
      <c r="B14194" s="236"/>
      <c r="C14194" s="236"/>
      <c r="D14194" s="236"/>
    </row>
    <row r="14195" spans="2:4" ht="12.75" customHeight="1" x14ac:dyDescent="0.2">
      <c r="B14195" s="236"/>
      <c r="C14195" s="236"/>
      <c r="D14195" s="236"/>
    </row>
    <row r="14196" spans="2:4" ht="12.75" customHeight="1" x14ac:dyDescent="0.2">
      <c r="B14196" s="236"/>
      <c r="C14196" s="236"/>
      <c r="D14196" s="236"/>
    </row>
    <row r="14197" spans="2:4" ht="12.75" customHeight="1" x14ac:dyDescent="0.2">
      <c r="B14197" s="236"/>
      <c r="C14197" s="236"/>
      <c r="D14197" s="236"/>
    </row>
    <row r="14198" spans="2:4" ht="12.75" customHeight="1" x14ac:dyDescent="0.2">
      <c r="B14198" s="236"/>
      <c r="C14198" s="236"/>
      <c r="D14198" s="236"/>
    </row>
    <row r="14199" spans="2:4" ht="12.75" customHeight="1" x14ac:dyDescent="0.2">
      <c r="B14199" s="236"/>
      <c r="C14199" s="236"/>
      <c r="D14199" s="236"/>
    </row>
    <row r="14200" spans="2:4" ht="12.75" customHeight="1" x14ac:dyDescent="0.2">
      <c r="B14200" s="236"/>
      <c r="C14200" s="236"/>
      <c r="D14200" s="236"/>
    </row>
    <row r="14201" spans="2:4" x14ac:dyDescent="0.2">
      <c r="B14201" s="236"/>
      <c r="C14201" s="236"/>
      <c r="D14201" s="236"/>
    </row>
    <row r="14202" spans="2:4" ht="12.75" customHeight="1" x14ac:dyDescent="0.2">
      <c r="B14202" s="236"/>
      <c r="C14202" s="236"/>
      <c r="D14202" s="236"/>
    </row>
    <row r="14203" spans="2:4" x14ac:dyDescent="0.2">
      <c r="B14203" s="236"/>
      <c r="C14203" s="236"/>
      <c r="D14203" s="236"/>
    </row>
    <row r="14204" spans="2:4" x14ac:dyDescent="0.2">
      <c r="B14204" s="236"/>
      <c r="C14204" s="236"/>
      <c r="D14204" s="236"/>
    </row>
    <row r="14205" spans="2:4" ht="12.75" customHeight="1" x14ac:dyDescent="0.2">
      <c r="B14205" s="236"/>
      <c r="C14205" s="236"/>
      <c r="D14205" s="236"/>
    </row>
    <row r="14206" spans="2:4" ht="12.75" customHeight="1" x14ac:dyDescent="0.2">
      <c r="B14206" s="236"/>
      <c r="C14206" s="236"/>
      <c r="D14206" s="236"/>
    </row>
    <row r="14207" spans="2:4" ht="12.75" customHeight="1" x14ac:dyDescent="0.2">
      <c r="B14207" s="236"/>
      <c r="C14207" s="236"/>
      <c r="D14207" s="236"/>
    </row>
    <row r="14208" spans="2:4" ht="12.75" customHeight="1" x14ac:dyDescent="0.2">
      <c r="B14208" s="236"/>
      <c r="C14208" s="236"/>
      <c r="D14208" s="236"/>
    </row>
    <row r="14209" spans="2:4" ht="12.75" customHeight="1" x14ac:dyDescent="0.2">
      <c r="B14209" s="236"/>
      <c r="C14209" s="236"/>
      <c r="D14209" s="236"/>
    </row>
    <row r="14210" spans="2:4" ht="12.75" customHeight="1" x14ac:dyDescent="0.2">
      <c r="B14210" s="236"/>
      <c r="C14210" s="236"/>
      <c r="D14210" s="236"/>
    </row>
    <row r="14211" spans="2:4" ht="12.75" customHeight="1" x14ac:dyDescent="0.2">
      <c r="B14211" s="236"/>
      <c r="C14211" s="236"/>
      <c r="D14211" s="236"/>
    </row>
    <row r="14212" spans="2:4" x14ac:dyDescent="0.2">
      <c r="B14212" s="236"/>
      <c r="C14212" s="236"/>
      <c r="D14212" s="236"/>
    </row>
    <row r="14213" spans="2:4" ht="12.75" customHeight="1" x14ac:dyDescent="0.2">
      <c r="B14213" s="236"/>
      <c r="C14213" s="236"/>
      <c r="D14213" s="236"/>
    </row>
    <row r="14214" spans="2:4" ht="12.75" customHeight="1" x14ac:dyDescent="0.2">
      <c r="B14214" s="236"/>
      <c r="C14214" s="236"/>
      <c r="D14214" s="236"/>
    </row>
    <row r="14215" spans="2:4" x14ac:dyDescent="0.2">
      <c r="B14215" s="236"/>
      <c r="C14215" s="236"/>
      <c r="D14215" s="236"/>
    </row>
    <row r="14216" spans="2:4" ht="12.75" customHeight="1" x14ac:dyDescent="0.2">
      <c r="B14216" s="236"/>
      <c r="C14216" s="236"/>
      <c r="D14216" s="236"/>
    </row>
    <row r="14217" spans="2:4" ht="12.75" customHeight="1" x14ac:dyDescent="0.2">
      <c r="B14217" s="236"/>
      <c r="C14217" s="236"/>
      <c r="D14217" s="236"/>
    </row>
    <row r="14218" spans="2:4" x14ac:dyDescent="0.2">
      <c r="B14218" s="236"/>
      <c r="C14218" s="236"/>
      <c r="D14218" s="236"/>
    </row>
    <row r="14219" spans="2:4" ht="12.75" customHeight="1" x14ac:dyDescent="0.2">
      <c r="B14219" s="236"/>
      <c r="C14219" s="236"/>
      <c r="D14219" s="236"/>
    </row>
    <row r="14220" spans="2:4" x14ac:dyDescent="0.2">
      <c r="B14220" s="236"/>
      <c r="C14220" s="236"/>
      <c r="D14220" s="236"/>
    </row>
    <row r="14221" spans="2:4" ht="12.75" customHeight="1" x14ac:dyDescent="0.2">
      <c r="B14221" s="236"/>
      <c r="C14221" s="236"/>
      <c r="D14221" s="236"/>
    </row>
    <row r="14222" spans="2:4" x14ac:dyDescent="0.2">
      <c r="B14222" s="236"/>
      <c r="C14222" s="236"/>
      <c r="D14222" s="236"/>
    </row>
    <row r="14223" spans="2:4" ht="12.75" customHeight="1" x14ac:dyDescent="0.2">
      <c r="B14223" s="236"/>
      <c r="C14223" s="236"/>
      <c r="D14223" s="236"/>
    </row>
    <row r="14224" spans="2:4" x14ac:dyDescent="0.2">
      <c r="B14224" s="236"/>
      <c r="C14224" s="236"/>
      <c r="D14224" s="236"/>
    </row>
    <row r="14225" spans="2:4" ht="12.75" customHeight="1" x14ac:dyDescent="0.2">
      <c r="B14225" s="236"/>
      <c r="C14225" s="236"/>
      <c r="D14225" s="236"/>
    </row>
    <row r="14226" spans="2:4" x14ac:dyDescent="0.2">
      <c r="B14226" s="236"/>
      <c r="C14226" s="236"/>
      <c r="D14226" s="236"/>
    </row>
    <row r="14227" spans="2:4" ht="12.75" customHeight="1" x14ac:dyDescent="0.2">
      <c r="B14227" s="236"/>
      <c r="C14227" s="236"/>
      <c r="D14227" s="236"/>
    </row>
    <row r="14228" spans="2:4" x14ac:dyDescent="0.2">
      <c r="B14228" s="236"/>
      <c r="C14228" s="236"/>
      <c r="D14228" s="236"/>
    </row>
    <row r="14229" spans="2:4" ht="12.75" customHeight="1" x14ac:dyDescent="0.2">
      <c r="B14229" s="236"/>
      <c r="C14229" s="236"/>
      <c r="D14229" s="236"/>
    </row>
    <row r="14230" spans="2:4" ht="12.75" customHeight="1" x14ac:dyDescent="0.2">
      <c r="B14230" s="236"/>
      <c r="C14230" s="236"/>
      <c r="D14230" s="236"/>
    </row>
    <row r="14231" spans="2:4" x14ac:dyDescent="0.2">
      <c r="B14231" s="236"/>
      <c r="C14231" s="236"/>
      <c r="D14231" s="236"/>
    </row>
    <row r="14232" spans="2:4" ht="12.75" customHeight="1" x14ac:dyDescent="0.2">
      <c r="B14232" s="236"/>
      <c r="C14232" s="236"/>
      <c r="D14232" s="236"/>
    </row>
    <row r="14233" spans="2:4" ht="12.75" customHeight="1" x14ac:dyDescent="0.2">
      <c r="B14233" s="236"/>
      <c r="C14233" s="236"/>
      <c r="D14233" s="236"/>
    </row>
    <row r="14234" spans="2:4" ht="12.75" customHeight="1" x14ac:dyDescent="0.2">
      <c r="B14234" s="236"/>
      <c r="C14234" s="236"/>
      <c r="D14234" s="236"/>
    </row>
    <row r="14235" spans="2:4" ht="12.75" customHeight="1" x14ac:dyDescent="0.2">
      <c r="B14235" s="236"/>
      <c r="C14235" s="236"/>
      <c r="D14235" s="236"/>
    </row>
    <row r="14236" spans="2:4" ht="12.75" customHeight="1" x14ac:dyDescent="0.2">
      <c r="B14236" s="236"/>
      <c r="C14236" s="236"/>
      <c r="D14236" s="236"/>
    </row>
    <row r="14237" spans="2:4" x14ac:dyDescent="0.2">
      <c r="B14237" s="236"/>
      <c r="C14237" s="236"/>
      <c r="D14237" s="236"/>
    </row>
    <row r="14238" spans="2:4" ht="12.75" customHeight="1" x14ac:dyDescent="0.2">
      <c r="B14238" s="236"/>
      <c r="C14238" s="236"/>
      <c r="D14238" s="236"/>
    </row>
    <row r="14239" spans="2:4" ht="12.75" customHeight="1" x14ac:dyDescent="0.2">
      <c r="B14239" s="236"/>
      <c r="C14239" s="236"/>
      <c r="D14239" s="236"/>
    </row>
    <row r="14240" spans="2:4" x14ac:dyDescent="0.2">
      <c r="B14240" s="236"/>
      <c r="C14240" s="236"/>
      <c r="D14240" s="236"/>
    </row>
    <row r="14241" spans="2:4" ht="12.75" customHeight="1" x14ac:dyDescent="0.2">
      <c r="B14241" s="236"/>
      <c r="C14241" s="236"/>
      <c r="D14241" s="236"/>
    </row>
    <row r="14242" spans="2:4" x14ac:dyDescent="0.2">
      <c r="B14242" s="236"/>
      <c r="C14242" s="236"/>
      <c r="D14242" s="236"/>
    </row>
    <row r="14243" spans="2:4" ht="12.75" customHeight="1" x14ac:dyDescent="0.2">
      <c r="B14243" s="236"/>
      <c r="C14243" s="236"/>
      <c r="D14243" s="236"/>
    </row>
    <row r="14244" spans="2:4" ht="12.75" customHeight="1" x14ac:dyDescent="0.2">
      <c r="B14244" s="236"/>
      <c r="C14244" s="236"/>
      <c r="D14244" s="236"/>
    </row>
    <row r="14245" spans="2:4" ht="12.75" customHeight="1" x14ac:dyDescent="0.2">
      <c r="B14245" s="236"/>
      <c r="C14245" s="236"/>
      <c r="D14245" s="236"/>
    </row>
    <row r="14246" spans="2:4" x14ac:dyDescent="0.2">
      <c r="B14246" s="236"/>
      <c r="C14246" s="236"/>
      <c r="D14246" s="236"/>
    </row>
    <row r="14247" spans="2:4" x14ac:dyDescent="0.2">
      <c r="B14247" s="236"/>
      <c r="C14247" s="236"/>
      <c r="D14247" s="236"/>
    </row>
    <row r="14248" spans="2:4" ht="12.75" customHeight="1" x14ac:dyDescent="0.2">
      <c r="B14248" s="236"/>
      <c r="C14248" s="236"/>
      <c r="D14248" s="236"/>
    </row>
    <row r="14249" spans="2:4" ht="12.75" customHeight="1" x14ac:dyDescent="0.2">
      <c r="B14249" s="236"/>
      <c r="C14249" s="236"/>
      <c r="D14249" s="236"/>
    </row>
    <row r="14250" spans="2:4" ht="12.75" customHeight="1" x14ac:dyDescent="0.2">
      <c r="B14250" s="236"/>
      <c r="C14250" s="236"/>
      <c r="D14250" s="236"/>
    </row>
    <row r="14251" spans="2:4" ht="12.75" customHeight="1" x14ac:dyDescent="0.2">
      <c r="B14251" s="236"/>
      <c r="C14251" s="236"/>
      <c r="D14251" s="236"/>
    </row>
    <row r="14252" spans="2:4" ht="12.75" customHeight="1" x14ac:dyDescent="0.2">
      <c r="B14252" s="236"/>
      <c r="C14252" s="236"/>
      <c r="D14252" s="236"/>
    </row>
    <row r="14253" spans="2:4" ht="12.75" customHeight="1" x14ac:dyDescent="0.2">
      <c r="B14253" s="236"/>
      <c r="C14253" s="236"/>
      <c r="D14253" s="236"/>
    </row>
    <row r="14254" spans="2:4" ht="12.75" customHeight="1" x14ac:dyDescent="0.2">
      <c r="B14254" s="236"/>
      <c r="C14254" s="236"/>
      <c r="D14254" s="236"/>
    </row>
    <row r="14255" spans="2:4" ht="12.75" customHeight="1" x14ac:dyDescent="0.2">
      <c r="B14255" s="236"/>
      <c r="C14255" s="236"/>
      <c r="D14255" s="236"/>
    </row>
    <row r="14256" spans="2:4" x14ac:dyDescent="0.2">
      <c r="B14256" s="236"/>
      <c r="C14256" s="236"/>
      <c r="D14256" s="236"/>
    </row>
    <row r="14257" spans="2:4" ht="12.75" customHeight="1" x14ac:dyDescent="0.2">
      <c r="B14257" s="236"/>
      <c r="C14257" s="236"/>
      <c r="D14257" s="236"/>
    </row>
    <row r="14258" spans="2:4" ht="12.75" customHeight="1" x14ac:dyDescent="0.2">
      <c r="B14258" s="236"/>
      <c r="C14258" s="236"/>
      <c r="D14258" s="236"/>
    </row>
    <row r="14259" spans="2:4" ht="12.75" customHeight="1" x14ac:dyDescent="0.2">
      <c r="B14259" s="236"/>
      <c r="C14259" s="236"/>
      <c r="D14259" s="236"/>
    </row>
    <row r="14260" spans="2:4" ht="12.75" customHeight="1" x14ac:dyDescent="0.2">
      <c r="B14260" s="236"/>
      <c r="C14260" s="236"/>
      <c r="D14260" s="236"/>
    </row>
    <row r="14261" spans="2:4" x14ac:dyDescent="0.2">
      <c r="B14261" s="236"/>
      <c r="C14261" s="236"/>
      <c r="D14261" s="236"/>
    </row>
    <row r="14262" spans="2:4" ht="12.75" customHeight="1" x14ac:dyDescent="0.2">
      <c r="B14262" s="236"/>
      <c r="C14262" s="236"/>
      <c r="D14262" s="236"/>
    </row>
    <row r="14263" spans="2:4" x14ac:dyDescent="0.2">
      <c r="B14263" s="236"/>
      <c r="C14263" s="236"/>
      <c r="D14263" s="236"/>
    </row>
    <row r="14264" spans="2:4" ht="12.75" customHeight="1" x14ac:dyDescent="0.2">
      <c r="B14264" s="236"/>
      <c r="C14264" s="236"/>
      <c r="D14264" s="236"/>
    </row>
    <row r="14265" spans="2:4" ht="12.75" customHeight="1" x14ac:dyDescent="0.2">
      <c r="B14265" s="236"/>
      <c r="C14265" s="236"/>
      <c r="D14265" s="236"/>
    </row>
    <row r="14266" spans="2:4" x14ac:dyDescent="0.2">
      <c r="B14266" s="236"/>
      <c r="C14266" s="236"/>
      <c r="D14266" s="236"/>
    </row>
    <row r="14267" spans="2:4" ht="12.75" customHeight="1" x14ac:dyDescent="0.2">
      <c r="B14267" s="236"/>
      <c r="C14267" s="236"/>
      <c r="D14267" s="236"/>
    </row>
    <row r="14268" spans="2:4" ht="12.75" customHeight="1" x14ac:dyDescent="0.2">
      <c r="B14268" s="236"/>
      <c r="C14268" s="236"/>
      <c r="D14268" s="236"/>
    </row>
    <row r="14269" spans="2:4" ht="12.75" customHeight="1" x14ac:dyDescent="0.2">
      <c r="B14269" s="236"/>
      <c r="C14269" s="236"/>
      <c r="D14269" s="236"/>
    </row>
    <row r="14270" spans="2:4" ht="12.75" customHeight="1" x14ac:dyDescent="0.2">
      <c r="B14270" s="236"/>
      <c r="C14270" s="236"/>
      <c r="D14270" s="236"/>
    </row>
    <row r="14271" spans="2:4" ht="12.75" customHeight="1" x14ac:dyDescent="0.2">
      <c r="B14271" s="236"/>
      <c r="C14271" s="236"/>
      <c r="D14271" s="236"/>
    </row>
    <row r="14272" spans="2:4" ht="12.75" customHeight="1" x14ac:dyDescent="0.2">
      <c r="B14272" s="236"/>
      <c r="C14272" s="236"/>
      <c r="D14272" s="236"/>
    </row>
    <row r="14273" spans="2:4" x14ac:dyDescent="0.2">
      <c r="B14273" s="236"/>
      <c r="C14273" s="236"/>
      <c r="D14273" s="236"/>
    </row>
    <row r="14274" spans="2:4" ht="12.75" customHeight="1" x14ac:dyDescent="0.2">
      <c r="B14274" s="236"/>
      <c r="C14274" s="236"/>
      <c r="D14274" s="236"/>
    </row>
    <row r="14275" spans="2:4" x14ac:dyDescent="0.2">
      <c r="B14275" s="236"/>
      <c r="C14275" s="236"/>
      <c r="D14275" s="236"/>
    </row>
    <row r="14276" spans="2:4" ht="12.75" customHeight="1" x14ac:dyDescent="0.2">
      <c r="B14276" s="236"/>
      <c r="C14276" s="236"/>
      <c r="D14276" s="236"/>
    </row>
    <row r="14277" spans="2:4" ht="12.75" customHeight="1" x14ac:dyDescent="0.2">
      <c r="B14277" s="236"/>
      <c r="C14277" s="236"/>
      <c r="D14277" s="236"/>
    </row>
    <row r="14278" spans="2:4" ht="12.75" customHeight="1" x14ac:dyDescent="0.2">
      <c r="B14278" s="236"/>
      <c r="C14278" s="236"/>
      <c r="D14278" s="236"/>
    </row>
    <row r="14279" spans="2:4" ht="12.75" customHeight="1" x14ac:dyDescent="0.2">
      <c r="B14279" s="236"/>
      <c r="C14279" s="236"/>
      <c r="D14279" s="236"/>
    </row>
    <row r="14280" spans="2:4" ht="12.75" customHeight="1" x14ac:dyDescent="0.2"/>
    <row r="14281" spans="2:4" ht="12.75" customHeight="1" x14ac:dyDescent="0.2"/>
    <row r="14282" spans="2:4" ht="12.75" customHeight="1" x14ac:dyDescent="0.2"/>
  </sheetData>
  <autoFilter ref="B2:F339" xr:uid="{00000000-0001-0000-0600-000000000000}">
    <filterColumn colId="1">
      <filters>
        <filter val="ENV"/>
      </filters>
    </filterColumn>
  </autoFilter>
  <conditionalFormatting sqref="B3:B292 B294 B296:B314 B316:B352 B354:B782">
    <cfRule type="duplicateValues" dxfId="0" priority="1"/>
  </conditionalFormatting>
  <dataValidations count="1">
    <dataValidation type="list" allowBlank="1" showInputMessage="1" showErrorMessage="1" sqref="C282:C294 C20:C89" xr:uid="{2A7528FA-E399-46B0-9359-4DA3EBA7A928}">
      <formula1>ZONAS</formula1>
    </dataValidation>
  </dataValidations>
  <pageMargins left="0.7" right="0.7" top="0.75" bottom="0.75" header="0.3" footer="0.3"/>
  <pageSetup paperSize="9" orientation="portrait"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2ED65-8527-4AE2-BFF8-13642E41BAB3}">
  <dimension ref="A1"/>
  <sheetViews>
    <sheetView workbookViewId="0"/>
  </sheetViews>
  <sheetFormatPr baseColWidth="10" defaultColWidth="11.42578125"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917ECF5DC41DD45BCB01913395063FA" ma:contentTypeVersion="18" ma:contentTypeDescription="Crear nuevo documento." ma:contentTypeScope="" ma:versionID="9a34a0ee7e58910a295006060d9aff9f">
  <xsd:schema xmlns:xsd="http://www.w3.org/2001/XMLSchema" xmlns:xs="http://www.w3.org/2001/XMLSchema" xmlns:p="http://schemas.microsoft.com/office/2006/metadata/properties" xmlns:ns2="e57bbc28-b801-4bb3-ac5d-631085d2276a" xmlns:ns3="6653045d-0cb4-4037-b838-cd1cc075bc3e" targetNamespace="http://schemas.microsoft.com/office/2006/metadata/properties" ma:root="true" ma:fieldsID="a91e41f124e059bce91bdeaef989865b" ns2:_="" ns3:_="">
    <xsd:import namespace="e57bbc28-b801-4bb3-ac5d-631085d2276a"/>
    <xsd:import namespace="6653045d-0cb4-4037-b838-cd1cc075bc3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7bbc28-b801-4bb3-ac5d-631085d2276a"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c8cacf00-a12e-4177-a43e-f1511e3dd9fc}" ma:internalName="TaxCatchAll" ma:showField="CatchAllData" ma:web="e57bbc28-b801-4bb3-ac5d-631085d2276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653045d-0cb4-4037-b838-cd1cc075bc3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79ed1ce-c262-46b3-9374-eb47cb41d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57bbc28-b801-4bb3-ac5d-631085d2276a">
      <UserInfo>
        <DisplayName>Jiménez, Evaristo</DisplayName>
        <AccountId>25</AccountId>
        <AccountType/>
      </UserInfo>
    </SharedWithUsers>
    <lcf76f155ced4ddcb4097134ff3c332f xmlns="6653045d-0cb4-4037-b838-cd1cc075bc3e">
      <Terms xmlns="http://schemas.microsoft.com/office/infopath/2007/PartnerControls"/>
    </lcf76f155ced4ddcb4097134ff3c332f>
    <TaxCatchAll xmlns="e57bbc28-b801-4bb3-ac5d-631085d2276a" xsi:nil="true"/>
  </documentManagement>
</p:properties>
</file>

<file path=customXml/itemProps1.xml><?xml version="1.0" encoding="utf-8"?>
<ds:datastoreItem xmlns:ds="http://schemas.openxmlformats.org/officeDocument/2006/customXml" ds:itemID="{CEF3B662-6FE9-4E2D-9888-461F6784D380}">
  <ds:schemaRefs>
    <ds:schemaRef ds:uri="http://schemas.microsoft.com/sharepoint/v3/contenttype/forms"/>
  </ds:schemaRefs>
</ds:datastoreItem>
</file>

<file path=customXml/itemProps2.xml><?xml version="1.0" encoding="utf-8"?>
<ds:datastoreItem xmlns:ds="http://schemas.openxmlformats.org/officeDocument/2006/customXml" ds:itemID="{AC73B1B5-923C-401D-89A4-DD0C86C7E7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7bbc28-b801-4bb3-ac5d-631085d2276a"/>
    <ds:schemaRef ds:uri="6653045d-0cb4-4037-b838-cd1cc075bc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68066F-BB1D-435D-8E5B-768D693120C6}">
  <ds:schemaRefs>
    <ds:schemaRef ds:uri="http://schemas.microsoft.com/office/2006/metadata/properties"/>
    <ds:schemaRef ds:uri="http://schemas.microsoft.com/office/infopath/2007/PartnerControls"/>
    <ds:schemaRef ds:uri="e57bbc28-b801-4bb3-ac5d-631085d2276a"/>
    <ds:schemaRef ds:uri="6653045d-0cb4-4037-b838-cd1cc075bc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17</vt:i4>
      </vt:variant>
    </vt:vector>
  </HeadingPairs>
  <TitlesOfParts>
    <vt:vector size="30" baseType="lpstr">
      <vt:lpstr>Help</vt:lpstr>
      <vt:lpstr>0. Change Control</vt:lpstr>
      <vt:lpstr>1.1. Bill of materials</vt:lpstr>
      <vt:lpstr>1.2. Working plan</vt:lpstr>
      <vt:lpstr>1.3. Machine Cost Sheet</vt:lpstr>
      <vt:lpstr>1.4. Investments &amp; Development</vt:lpstr>
      <vt:lpstr>4. Quote OEM</vt:lpstr>
      <vt:lpstr>2. Cost Summary</vt:lpstr>
      <vt:lpstr>3. Price decision matrix</vt:lpstr>
      <vt:lpstr>MOD+MOI+Overheads</vt:lpstr>
      <vt:lpstr>LISTAS DATOS</vt:lpstr>
      <vt:lpstr>NO ACTIVO - Coste máquina</vt:lpstr>
      <vt:lpstr>Hoja3</vt:lpstr>
      <vt:lpstr>'0. Change Control'!Área_de_impresión</vt:lpstr>
      <vt:lpstr>'1.1. Bill of materials'!Área_de_impresión</vt:lpstr>
      <vt:lpstr>'1.2. Working plan'!Área_de_impresión</vt:lpstr>
      <vt:lpstr>'1.3. Machine Cost Sheet'!Área_de_impresión</vt:lpstr>
      <vt:lpstr>'1.4. Investments &amp; Development'!Área_de_impresión</vt:lpstr>
      <vt:lpstr>'2. Cost Summary'!Área_de_impresión</vt:lpstr>
      <vt:lpstr>'3. Price decision matrix'!Área_de_impresión</vt:lpstr>
      <vt:lpstr>'4. Quote OEM'!Área_de_impresión</vt:lpstr>
      <vt:lpstr>Help!Área_de_impresión</vt:lpstr>
      <vt:lpstr>COMPLEJIDAD</vt:lpstr>
      <vt:lpstr>MÁQUINA_INY</vt:lpstr>
      <vt:lpstr>OPCIÓN_PROCESO</vt:lpstr>
      <vt:lpstr>PLANTA</vt:lpstr>
      <vt:lpstr>TIPO_amort</vt:lpstr>
      <vt:lpstr>TIPO_PRECIO</vt:lpstr>
      <vt:lpstr>'2. Cost Summary'!Títulos_a_imprimir</vt:lpstr>
      <vt:lpstr>ZONAS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Calculación NK</dc:title>
  <dc:subject/>
  <dc:creator>Joel Nuñez Vera</dc:creator>
  <cp:keywords/>
  <dc:description/>
  <cp:lastModifiedBy>Joel Nuñez Vera</cp:lastModifiedBy>
  <cp:revision/>
  <dcterms:created xsi:type="dcterms:W3CDTF">1999-10-18T09:27:32Z</dcterms:created>
  <dcterms:modified xsi:type="dcterms:W3CDTF">2026-03-10T08:23:29Z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xt Last Modified Timestamp attrFormat=UTC~~">
    <vt:lpwstr>0:00:00</vt:lpwstr>
  </property>
  <property fmtid="{D5CDD505-2E9C-101B-9397-08002B2CF9AE}" pid="3" name="Context Create Timestamp attrFormat=UTC~~">
    <vt:lpwstr/>
  </property>
  <property fmtid="{D5CDD505-2E9C-101B-9397-08002B2CF9AE}" pid="4" name="Context Creator~~WCP|76939|14662">
    <vt:lpwstr>Koen García</vt:lpwstr>
  </property>
  <property fmtid="{D5CDD505-2E9C-101B-9397-08002B2CF9AE}" pid="5" name="Context Creator~~WCP|76939|14713">
    <vt:lpwstr>Koen García</vt:lpwstr>
  </property>
  <property fmtid="{D5CDD505-2E9C-101B-9397-08002B2CF9AE}" pid="6" name="Context Creator~~WCP|76939|14717">
    <vt:lpwstr>Koen García</vt:lpwstr>
  </property>
  <property fmtid="{D5CDD505-2E9C-101B-9397-08002B2CF9AE}" pid="7" name="Context Creator~~WCP|76939|14733">
    <vt:lpwstr>Koen García</vt:lpwstr>
  </property>
  <property fmtid="{D5CDD505-2E9C-101B-9397-08002B2CF9AE}" pid="8" name="Context Creator~~WCP|76939|14739">
    <vt:lpwstr>Koen García</vt:lpwstr>
  </property>
  <property fmtid="{D5CDD505-2E9C-101B-9397-08002B2CF9AE}" pid="9" name="Context Creator~~WCP|76939|14741">
    <vt:lpwstr>Koen García</vt:lpwstr>
  </property>
  <property fmtid="{D5CDD505-2E9C-101B-9397-08002B2CF9AE}" pid="10" name="Context Creator~~WCP|76939|14746">
    <vt:lpwstr>Koen García</vt:lpwstr>
  </property>
  <property fmtid="{D5CDD505-2E9C-101B-9397-08002B2CF9AE}" pid="11" name="Context Creator~~WCP|76939|14750">
    <vt:lpwstr>Koen García</vt:lpwstr>
  </property>
  <property fmtid="{D5CDD505-2E9C-101B-9397-08002B2CF9AE}" pid="12" name="Context Creator~~WCP|76939|14752">
    <vt:lpwstr>Koen García</vt:lpwstr>
  </property>
  <property fmtid="{D5CDD505-2E9C-101B-9397-08002B2CF9AE}" pid="13" name="Context Creator~~WCP|76939|14756">
    <vt:lpwstr>Koen García</vt:lpwstr>
  </property>
  <property fmtid="{D5CDD505-2E9C-101B-9397-08002B2CF9AE}" pid="14" name="Context Creator~~WCP|76939|14806">
    <vt:lpwstr>Koen García</vt:lpwstr>
  </property>
  <property fmtid="{D5CDD505-2E9C-101B-9397-08002B2CF9AE}" pid="15" name="Context Creator~~WCP|76939|14823">
    <vt:lpwstr>Koen García</vt:lpwstr>
  </property>
  <property fmtid="{D5CDD505-2E9C-101B-9397-08002B2CF9AE}" pid="16" name="Project Actual Work">
    <vt:lpwstr/>
  </property>
  <property fmtid="{D5CDD505-2E9C-101B-9397-08002B2CF9AE}" pid="17" name="Project Priority">
    <vt:lpwstr/>
  </property>
  <property fmtid="{D5CDD505-2E9C-101B-9397-08002B2CF9AE}" pid="18" name="Project Deadline">
    <vt:lpwstr>0:00:00</vt:lpwstr>
  </property>
  <property fmtid="{D5CDD505-2E9C-101B-9397-08002B2CF9AE}" pid="19" name="Doc ModifiedBy Name">
    <vt:lpwstr>Gemma Davant</vt:lpwstr>
  </property>
  <property fmtid="{D5CDD505-2E9C-101B-9397-08002B2CF9AE}" pid="20" name="ptc.c|FAE_PACKAGING">
    <vt:lpwstr>According to IE-000205</vt:lpwstr>
  </property>
  <property fmtid="{D5CDD505-2E9C-101B-9397-08002B2CF9AE}" pid="21" name="Project Est Finish">
    <vt:lpwstr>0:00:00</vt:lpwstr>
  </property>
  <property fmtid="{D5CDD505-2E9C-101B-9397-08002B2CF9AE}" pid="22" name="MBA|FAE_OBSERVACIONES_PRO">
    <vt:lpwstr/>
  </property>
  <property fmtid="{D5CDD505-2E9C-101B-9397-08002B2CF9AE}" pid="23" name="Project Description">
    <vt:lpwstr>SONDAS_LAMBDA</vt:lpwstr>
  </property>
  <property fmtid="{D5CDD505-2E9C-101B-9397-08002B2CF9AE}" pid="24" name="ptc.c|FAE_PRIORIDAD">
    <vt:lpwstr>A</vt:lpwstr>
  </property>
  <property fmtid="{D5CDD505-2E9C-101B-9397-08002B2CF9AE}" pid="25" name="RevisionInfo">
    <vt:lpwstr>A</vt:lpwstr>
  </property>
  <property fmtid="{D5CDD505-2E9C-101B-9397-08002B2CF9AE}" pid="26" name="Create Timestamp">
    <vt:lpwstr>11/06/2019 14:52:44</vt:lpwstr>
  </property>
  <property fmtid="{D5CDD505-2E9C-101B-9397-08002B2CF9AE}" pid="27" name="IBA|FAE_COSTE_IND">
    <vt:lpwstr/>
  </property>
  <property fmtid="{D5CDD505-2E9C-101B-9397-08002B2CF9AE}" pid="28" name="MBA|FAE_CANTIDAD_PREVISTA">
    <vt:lpwstr>90000</vt:lpwstr>
  </property>
  <property fmtid="{D5CDD505-2E9C-101B-9397-08002B2CF9AE}" pid="29" name="Project Status Descr">
    <vt:lpwstr/>
  </property>
  <property fmtid="{D5CDD505-2E9C-101B-9397-08002B2CF9AE}" pid="30" name="Project Est Cost">
    <vt:lpwstr/>
  </property>
  <property fmtid="{D5CDD505-2E9C-101B-9397-08002B2CF9AE}" pid="31" name="Project Est Work">
    <vt:lpwstr/>
  </property>
  <property fmtid="{D5CDD505-2E9C-101B-9397-08002B2CF9AE}" pid="32" name="Project State">
    <vt:lpwstr>En ejecución</vt:lpwstr>
  </property>
  <property fmtid="{D5CDD505-2E9C-101B-9397-08002B2CF9AE}" pid="33" name="MBA|typeInfoProject2.ptc_str_2">
    <vt:lpwstr/>
  </property>
  <property fmtid="{D5CDD505-2E9C-101B-9397-08002B2CF9AE}" pid="34" name="IBA|FAE_CREATED_AT">
    <vt:lpwstr/>
  </property>
  <property fmtid="{D5CDD505-2E9C-101B-9397-08002B2CF9AE}" pid="35" name="IBA|FAE_BASE_TARIFA_E">
    <vt:lpwstr/>
  </property>
  <property fmtid="{D5CDD505-2E9C-101B-9397-08002B2CF9AE}" pid="36" name="ptc.c|FAE_OBSERVACIONES_PRO">
    <vt:lpwstr/>
  </property>
  <property fmtid="{D5CDD505-2E9C-101B-9397-08002B2CF9AE}" pid="37" name="ptc.c|P01CAD">
    <vt:lpwstr>TBD</vt:lpwstr>
  </property>
  <property fmtid="{D5CDD505-2E9C-101B-9397-08002B2CF9AE}" pid="38" name="Project Actual Cost">
    <vt:lpwstr/>
  </property>
  <property fmtid="{D5CDD505-2E9C-101B-9397-08002B2CF9AE}" pid="39" name="Project Completion Date">
    <vt:lpwstr>0:00:00</vt:lpwstr>
  </property>
  <property fmtid="{D5CDD505-2E9C-101B-9397-08002B2CF9AE}" pid="40" name="Project Risk Descr">
    <vt:lpwstr/>
  </property>
  <property fmtid="{D5CDD505-2E9C-101B-9397-08002B2CF9AE}" pid="41" name="Project Est Start">
    <vt:lpwstr>0:00:00</vt:lpwstr>
  </property>
  <property fmtid="{D5CDD505-2E9C-101B-9397-08002B2CF9AE}" pid="42" name="Project Business Unit">
    <vt:lpwstr/>
  </property>
  <property fmtid="{D5CDD505-2E9C-101B-9397-08002B2CF9AE}" pid="43" name="ptc.c|P03CAD">
    <vt:lpwstr>Logo Dell'Orto + 1935.00.48</vt:lpwstr>
  </property>
  <property fmtid="{D5CDD505-2E9C-101B-9397-08002B2CF9AE}" pid="44" name="IBA|FAE_RELEASED_BY">
    <vt:lpwstr/>
  </property>
  <property fmtid="{D5CDD505-2E9C-101B-9397-08002B2CF9AE}" pid="45" name="Project Actual Finish">
    <vt:lpwstr>0:00:00</vt:lpwstr>
  </property>
  <property fmtid="{D5CDD505-2E9C-101B-9397-08002B2CF9AE}" pid="46" name="ptc.c|FAE_CLIENTE">
    <vt:lpwstr>Dell'Orto</vt:lpwstr>
  </property>
  <property fmtid="{D5CDD505-2E9C-101B-9397-08002B2CF9AE}" pid="47" name="Project Budget">
    <vt:lpwstr>0</vt:lpwstr>
  </property>
  <property fmtid="{D5CDD505-2E9C-101B-9397-08002B2CF9AE}" pid="48" name="Project Site">
    <vt:lpwstr/>
  </property>
  <property fmtid="{D5CDD505-2E9C-101B-9397-08002B2CF9AE}" pid="49" name="Project Type~~">
    <vt:lpwstr>Proyecto</vt:lpwstr>
  </property>
  <property fmtid="{D5CDD505-2E9C-101B-9397-08002B2CF9AE}" pid="50" name="IBA|FAE_DESARROLLO">
    <vt:lpwstr/>
  </property>
  <property fmtid="{D5CDD505-2E9C-101B-9397-08002B2CF9AE}" pid="51" name="Type">
    <vt:lpwstr>Escandallo</vt:lpwstr>
  </property>
  <property fmtid="{D5CDD505-2E9C-101B-9397-08002B2CF9AE}" pid="52" name="Project Plan State">
    <vt:lpwstr/>
  </property>
  <property fmtid="{D5CDD505-2E9C-101B-9397-08002B2CF9AE}" pid="53" name="ptc.c|FAE_CANTIDAD_PREVISTA">
    <vt:lpwstr>90000</vt:lpwstr>
  </property>
  <property fmtid="{D5CDD505-2E9C-101B-9397-08002B2CF9AE}" pid="54" name="MBA|P01CAD">
    <vt:lpwstr>TBD</vt:lpwstr>
  </property>
  <property fmtid="{D5CDD505-2E9C-101B-9397-08002B2CF9AE}" pid="55" name="wtname">
    <vt:lpwstr>ESCANDALLO</vt:lpwstr>
  </property>
  <property fmtid="{D5CDD505-2E9C-101B-9397-08002B2CF9AE}" pid="56" name="Project Owner">
    <vt:lpwstr>Koen García</vt:lpwstr>
  </property>
  <property fmtid="{D5CDD505-2E9C-101B-9397-08002B2CF9AE}" pid="57" name="Project Scope">
    <vt:lpwstr/>
  </property>
  <property fmtid="{D5CDD505-2E9C-101B-9397-08002B2CF9AE}" pid="58" name="MBA|P01FEC">
    <vt:lpwstr/>
  </property>
  <property fmtid="{D5CDD505-2E9C-101B-9397-08002B2CF9AE}" pid="59" name="Project Actual Start">
    <vt:lpwstr>0:00:00</vt:lpwstr>
  </property>
  <property fmtid="{D5CDD505-2E9C-101B-9397-08002B2CF9AE}" pid="60" name="Project Initiation Date">
    <vt:lpwstr>06/11/2019 11:31:17</vt:lpwstr>
  </property>
  <property fmtid="{D5CDD505-2E9C-101B-9397-08002B2CF9AE}" pid="61" name="organization">
    <vt:lpwstr>FAE</vt:lpwstr>
  </property>
  <property fmtid="{D5CDD505-2E9C-101B-9397-08002B2CF9AE}" pid="62" name="IBA|FAE_RELEASED_AT">
    <vt:lpwstr/>
  </property>
  <property fmtid="{D5CDD505-2E9C-101B-9397-08002B2CF9AE}" pid="63" name="Project Category">
    <vt:lpwstr>General</vt:lpwstr>
  </property>
  <property fmtid="{D5CDD505-2E9C-101B-9397-08002B2CF9AE}" pid="64" name="MBA|P03CAD">
    <vt:lpwstr>Logo Dell'Orto + 1935.00.48</vt:lpwstr>
  </property>
  <property fmtid="{D5CDD505-2E9C-101B-9397-08002B2CF9AE}" pid="65" name="URL">
    <vt:lpwstr>http://faevmwdchl01.fae.dom:8085/Windchill/servlet/WindchillGW/wt.fv.master.StandardMasterService/doDirectDownload/Escandallo%20version%202021.xlsx?folderId=219508971&amp;ft=FF&amp;userid=76497&amp;adId=226133009&amp;fileName=0000000041931e&amp;refsize=347362&amp;mime=application/vnd.openxmlformats-officedocument.spreadsheetml.sheet&amp;mk=wt.fv.master.StandardMasterService&amp;ofn=Escandallo%20version%202021.xlsx&amp;c=17&amp;riid=-1&amp;sT=1634891958&amp;sign=2A2VBjGVwWNL08T6Y0TaTw%3D%3D&amp;site=http%3A%2F%2Ffaevmwdchl01.fae.dom%3A8085%2FWindchill%2Fservlet%2FWindchillGW&amp;AUTH_CODE=HmacMD5&amp;isProxy=true</vt:lpwstr>
  </property>
  <property fmtid="{D5CDD505-2E9C-101B-9397-08002B2CF9AE}" pid="66" name="IBA|FAE_INVERSIONES">
    <vt:lpwstr/>
  </property>
  <property fmtid="{D5CDD505-2E9C-101B-9397-08002B2CF9AE}" pid="67" name="ptc.c|P01FEC">
    <vt:lpwstr/>
  </property>
  <property fmtid="{D5CDD505-2E9C-101B-9397-08002B2CF9AE}" pid="68" name="IBA|FAE_COSTE_TOTAL">
    <vt:lpwstr/>
  </property>
  <property fmtid="{D5CDD505-2E9C-101B-9397-08002B2CF9AE}" pid="69" name="Project Risk Status">
    <vt:lpwstr/>
  </property>
  <property fmtid="{D5CDD505-2E9C-101B-9397-08002B2CF9AE}" pid="70" name="Project Status">
    <vt:lpwstr/>
  </property>
  <property fmtid="{D5CDD505-2E9C-101B-9397-08002B2CF9AE}" pid="71" name="iterationObid">
    <vt:lpwstr>OR:wt.doc.WTDocument:226133007</vt:lpwstr>
  </property>
  <property fmtid="{D5CDD505-2E9C-101B-9397-08002B2CF9AE}" pid="72" name="Project Phase">
    <vt:lpwstr>Consolidación</vt:lpwstr>
  </property>
  <property fmtid="{D5CDD505-2E9C-101B-9397-08002B2CF9AE}" pid="73" name="MBA|FAE_CLIENTE">
    <vt:lpwstr>Dell'Orto</vt:lpwstr>
  </property>
  <property fmtid="{D5CDD505-2E9C-101B-9397-08002B2CF9AE}" pid="74" name="lifeCycleState">
    <vt:lpwstr>Aprobado</vt:lpwstr>
  </property>
  <property fmtid="{D5CDD505-2E9C-101B-9397-08002B2CF9AE}" pid="75" name="Project % Done">
    <vt:lpwstr/>
  </property>
  <property fmtid="{D5CDD505-2E9C-101B-9397-08002B2CF9AE}" pid="76" name="MBA|FAE_PRIORIDAD">
    <vt:lpwstr>A</vt:lpwstr>
  </property>
  <property fmtid="{D5CDD505-2E9C-101B-9397-08002B2CF9AE}" pid="77" name="Context Number">
    <vt:lpwstr>006399</vt:lpwstr>
  </property>
  <property fmtid="{D5CDD505-2E9C-101B-9397-08002B2CF9AE}" pid="78" name="Context Name~~">
    <vt:lpwstr>7762424-7770524-7760024</vt:lpwstr>
  </property>
  <property fmtid="{D5CDD505-2E9C-101B-9397-08002B2CF9AE}" pid="79" name="context">
    <vt:lpwstr>FAE</vt:lpwstr>
  </property>
  <property fmtid="{D5CDD505-2E9C-101B-9397-08002B2CF9AE}" pid="80" name="IBA|FAE_AMORTIZACION">
    <vt:lpwstr/>
  </property>
  <property fmtid="{D5CDD505-2E9C-101B-9397-08002B2CF9AE}" pid="81" name="Context Creator~~WCP|76939|15200">
    <vt:lpwstr>Koen García</vt:lpwstr>
  </property>
  <property fmtid="{D5CDD505-2E9C-101B-9397-08002B2CF9AE}" pid="82" name="Doc LastUpdated">
    <vt:lpwstr>22/10/2021 10:39:17</vt:lpwstr>
  </property>
  <property fmtid="{D5CDD505-2E9C-101B-9397-08002B2CF9AE}" pid="83" name="MBA|FAE_PACKAGING">
    <vt:lpwstr>According to IE-000205</vt:lpwstr>
  </property>
  <property fmtid="{D5CDD505-2E9C-101B-9397-08002B2CF9AE}" pid="84" name="IBA|FAE_CREATED_BY">
    <vt:lpwstr/>
  </property>
  <property fmtid="{D5CDD505-2E9C-101B-9397-08002B2CF9AE}" pid="85" name="Context Creator~~WCP|76939|15244">
    <vt:lpwstr>Koen García</vt:lpwstr>
  </property>
  <property fmtid="{D5CDD505-2E9C-101B-9397-08002B2CF9AE}" pid="86" name="Context Creator~~WCP|76939|15410">
    <vt:lpwstr>Koen García</vt:lpwstr>
  </property>
  <property fmtid="{D5CDD505-2E9C-101B-9397-08002B2CF9AE}" pid="87" name="Context Creator~~WCP|76939|16400">
    <vt:lpwstr>Koen García</vt:lpwstr>
  </property>
  <property fmtid="{D5CDD505-2E9C-101B-9397-08002B2CF9AE}" pid="88" name="Context Creator~~WCP|76939|16416">
    <vt:lpwstr>Koen García</vt:lpwstr>
  </property>
  <property fmtid="{D5CDD505-2E9C-101B-9397-08002B2CF9AE}" pid="89" name="Context Creator~~WCP|76939|17676">
    <vt:lpwstr>Koen García</vt:lpwstr>
  </property>
  <property fmtid="{D5CDD505-2E9C-101B-9397-08002B2CF9AE}" pid="90" name="Context Creator~~WCP|76939|17679">
    <vt:lpwstr>Koen García</vt:lpwstr>
  </property>
  <property fmtid="{D5CDD505-2E9C-101B-9397-08002B2CF9AE}" pid="91" name="Context Creator~~WCP|76939|17932">
    <vt:lpwstr>Koen García</vt:lpwstr>
  </property>
  <property fmtid="{D5CDD505-2E9C-101B-9397-08002B2CF9AE}" pid="92" name="ContentTypeId">
    <vt:lpwstr>0x0101003917ECF5DC41DD45BCB01913395063FA</vt:lpwstr>
  </property>
  <property fmtid="{D5CDD505-2E9C-101B-9397-08002B2CF9AE}" pid="93" name="obid">
    <vt:lpwstr>VR:wt.doc.WTDocument:192714844:393168572-1422285018708-1872342874-157-0-168-192@faevmwdchl01.fae.dom</vt:lpwstr>
  </property>
  <property fmtid="{D5CDD505-2E9C-101B-9397-08002B2CF9AE}" pid="94" name="Context Create Timestamp">
    <vt:lpwstr>27/01/2015 10:39:33</vt:lpwstr>
  </property>
  <property fmtid="{D5CDD505-2E9C-101B-9397-08002B2CF9AE}" pid="95" name="Context Creator">
    <vt:lpwstr>wcadmin</vt:lpwstr>
  </property>
  <property fmtid="{D5CDD505-2E9C-101B-9397-08002B2CF9AE}" pid="96" name="Context Last Modified Timestamp">
    <vt:lpwstr>18/11/2015 13:44:16</vt:lpwstr>
  </property>
  <property fmtid="{D5CDD505-2E9C-101B-9397-08002B2CF9AE}" pid="97" name="Document number" linkTarget="wc_Número">
    <vt:lpwstr/>
  </property>
  <property fmtid="{D5CDD505-2E9C-101B-9397-08002B2CF9AE}" pid="98" name="versionInfo" linkTarget="wc_Identificadordelaversión">
    <vt:lpwstr/>
  </property>
  <property fmtid="{D5CDD505-2E9C-101B-9397-08002B2CF9AE}" pid="99" name="MediaServiceImageTags">
    <vt:lpwstr/>
  </property>
</Properties>
</file>